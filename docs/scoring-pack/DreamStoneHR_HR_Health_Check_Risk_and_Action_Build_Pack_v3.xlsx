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Client Preview" sheetId="2" state="visible" r:id="rId2"/>
    <sheet xmlns:r="http://schemas.openxmlformats.org/officeDocument/2006/relationships" name="Questions" sheetId="3" state="visible" r:id="rId3"/>
    <sheet xmlns:r="http://schemas.openxmlformats.org/officeDocument/2006/relationships" name="Answers" sheetId="4" state="visible" r:id="rId4"/>
    <sheet xmlns:r="http://schemas.openxmlformats.org/officeDocument/2006/relationships" name="Action Library" sheetId="5" state="visible" r:id="rId5"/>
    <sheet xmlns:r="http://schemas.openxmlformats.org/officeDocument/2006/relationships" name="Answer Outcomes" sheetId="6" state="visible" r:id="rId6"/>
    <sheet xmlns:r="http://schemas.openxmlformats.org/officeDocument/2006/relationships" name="Risk Method" sheetId="7" state="visible" r:id="rId7"/>
    <sheet xmlns:r="http://schemas.openxmlformats.org/officeDocument/2006/relationships" name="Risk Context" sheetId="8" state="visible" r:id="rId8"/>
    <sheet xmlns:r="http://schemas.openxmlformats.org/officeDocument/2006/relationships" name="Risk Register" sheetId="9" state="visible" r:id="rId9"/>
    <sheet xmlns:r="http://schemas.openxmlformats.org/officeDocument/2006/relationships" name="Profile &amp; Routes" sheetId="10" state="visible" r:id="rId10"/>
    <sheet xmlns:r="http://schemas.openxmlformats.org/officeDocument/2006/relationships" name="Scoring" sheetId="11" state="visible" r:id="rId11"/>
    <sheet xmlns:r="http://schemas.openxmlformats.org/officeDocument/2006/relationships" name="Score Sandbox" sheetId="12" state="visible" r:id="rId12"/>
    <sheet xmlns:r="http://schemas.openxmlformats.org/officeDocument/2006/relationships" name="Report Copy" sheetId="13" state="visible" r:id="rId13"/>
    <sheet xmlns:r="http://schemas.openxmlformats.org/officeDocument/2006/relationships" name="Build Rules" sheetId="14" state="visible" r:id="rId14"/>
    <sheet xmlns:r="http://schemas.openxmlformats.org/officeDocument/2006/relationships" name="Sources" sheetId="15" state="visible" r:id="rId15"/>
    <sheet xmlns:r="http://schemas.openxmlformats.org/officeDocument/2006/relationships" name="Test Cases" sheetId="16" state="visible" r:id="rId16"/>
    <sheet xmlns:r="http://schemas.openxmlformats.org/officeDocument/2006/relationships" name="Current Review" sheetId="17" state="visible" r:id="rId17"/>
    <sheet xmlns:r="http://schemas.openxmlformats.org/officeDocument/2006/relationships" name="Original Options" sheetId="18" state="visible" r:id="rId18"/>
  </sheets>
  <definedNames>
    <definedName name="_xlnm._FilterDatabase" localSheetId="0" hidden="1">'Read Me'!$A$5:$C$24</definedName>
    <definedName name="_xlnm.Print_Titles" localSheetId="0">'Read Me'!$1:$5</definedName>
    <definedName name="_xlnm.Print_Area" localSheetId="0">'Read Me'!$A$1:$C$24</definedName>
    <definedName name="_xlnm.Print_Area" localSheetId="1">'Client Preview'!$A$1:$H$70</definedName>
    <definedName name="_xlnm._FilterDatabase" localSheetId="2" hidden="1">'Questions'!$A$5:$R$74</definedName>
    <definedName name="_xlnm.Print_Titles" localSheetId="2">'Questions'!$1:$5</definedName>
    <definedName name="_xlnm.Print_Area" localSheetId="2">'Questions'!$A$1:$R$74</definedName>
    <definedName name="_xlnm._FilterDatabase" localSheetId="3" hidden="1">'Answers'!$A$5:$K$350</definedName>
    <definedName name="_xlnm.Print_Titles" localSheetId="3">'Answers'!$1:$5</definedName>
    <definedName name="_xlnm.Print_Area" localSheetId="3">'Answers'!$A$1:$K$350</definedName>
    <definedName name="_xlnm._FilterDatabase" localSheetId="4" hidden="1">'Action Library'!$A$5:$U$74</definedName>
    <definedName name="_xlnm.Print_Titles" localSheetId="4">'Action Library'!$1:$5</definedName>
    <definedName name="_xlnm.Print_Area" localSheetId="4">'Action Library'!$A$1:$U$74</definedName>
    <definedName name="_xlnm._FilterDatabase" localSheetId="5" hidden="1">'Answer Outcomes'!$A$5:$Z$350</definedName>
    <definedName name="_xlnm.Print_Titles" localSheetId="5">'Answer Outcomes'!$1:$5</definedName>
    <definedName name="_xlnm.Print_Area" localSheetId="5">'Answer Outcomes'!$A$1:$Z$350</definedName>
    <definedName name="_xlnm._FilterDatabase" localSheetId="6" hidden="1">'Risk Method'!$A$5:$D$31</definedName>
    <definedName name="_xlnm.Print_Titles" localSheetId="6">'Risk Method'!$1:$5</definedName>
    <definedName name="_xlnm.Print_Area" localSheetId="6">'Risk Method'!$A$1:$D$31</definedName>
    <definedName name="_xlnm._FilterDatabase" localSheetId="7" hidden="1">'Risk Context'!$A$5:$F$13</definedName>
    <definedName name="_xlnm.Print_Titles" localSheetId="7">'Risk Context'!$1:$5</definedName>
    <definedName name="_xlnm.Print_Area" localSheetId="7">'Risk Context'!$A$1:$F$13</definedName>
    <definedName name="_xlnm._FilterDatabase" localSheetId="8" hidden="1">'Risk Register'!$A$5:$AI$74</definedName>
    <definedName name="_xlnm.Print_Titles" localSheetId="8">'Risk Register'!$1:$5</definedName>
    <definedName name="_xlnm.Print_Area" localSheetId="8">'Risk Register'!$A$1:$AI$74</definedName>
    <definedName name="_xlnm._FilterDatabase" localSheetId="9" hidden="1">'Profile &amp; Routes'!$A$5:$H$42</definedName>
    <definedName name="_xlnm.Print_Area" localSheetId="9">'Profile &amp; Routes'!$A$1:$H$42</definedName>
    <definedName name="_xlnm._FilterDatabase" localSheetId="11" hidden="1">'Score Sandbox'!$A$25:$O$94</definedName>
    <definedName name="_xlnm._FilterDatabase" localSheetId="13" hidden="1">'Build Rules'!$A$5:$E$42</definedName>
    <definedName name="_xlnm.Print_Area" localSheetId="13">'Build Rules'!$A$1:$E$42</definedName>
    <definedName name="_xlnm._FilterDatabase" localSheetId="14" hidden="1">'Sources'!$A$5:$F$48</definedName>
    <definedName name="_xlnm.Print_Area" localSheetId="14">'Sources'!$A$1:$F$48</definedName>
    <definedName name="_xlnm._FilterDatabase" localSheetId="15" hidden="1">'Test Cases'!$A$5:$G$78</definedName>
    <definedName name="_xlnm.Print_Area" localSheetId="15">'Test Cases'!$A$1:$G$78</definedName>
  </definedNames>
  <calcPr calcId="191029" fullCalcOnLoad="1"/>
</workbook>
</file>

<file path=xl/styles.xml><?xml version="1.0" encoding="utf-8"?>
<styleSheet xmlns="http://schemas.openxmlformats.org/spreadsheetml/2006/main">
  <numFmts count="3">
    <numFmt numFmtId="164" formatCode="d mmm yyyy"/>
    <numFmt numFmtId="165" formatCode="0.0"/>
    <numFmt numFmtId="166" formatCode="0.0%"/>
  </numFmts>
  <fonts count="21">
    <font>
      <name val="Calibri"/>
      <color theme="1"/>
      <sz val="11"/>
    </font>
    <font>
      <name val="Aptos"/>
      <b val="1"/>
      <color rgb="FFFFFFFF"/>
      <sz val="20"/>
    </font>
    <font>
      <name val="Aptos"/>
      <color rgb="FF596466"/>
      <sz val="11"/>
    </font>
    <font>
      <name val="Aptos"/>
      <b val="1"/>
      <color rgb="FF08685F"/>
      <sz val="9"/>
    </font>
    <font>
      <name val="Aptos"/>
      <b val="1"/>
      <color rgb="FFFFFFFF"/>
      <sz val="11"/>
    </font>
    <font>
      <name val="Aptos"/>
      <color rgb="FF253336"/>
      <sz val="11"/>
    </font>
    <font>
      <name val="Aptos"/>
      <color rgb="FF111111"/>
      <sz val="11"/>
    </font>
    <font>
      <name val="Aptos"/>
      <color rgb="FF276245"/>
      <sz val="11"/>
    </font>
    <font>
      <name val="Aptos"/>
      <color rgb="FF08685F"/>
      <sz val="11"/>
    </font>
    <font>
      <name val="Aptos"/>
      <b val="1"/>
      <color rgb="FF472C5B"/>
      <sz val="11"/>
    </font>
    <font>
      <name val="Aptos"/>
      <color rgb="FF472C5B"/>
      <sz val="11"/>
    </font>
    <font>
      <name val="Aptos"/>
      <b val="1"/>
      <color rgb="00FFFFFF"/>
      <sz val="20"/>
    </font>
    <font>
      <name val="Aptos"/>
      <color rgb="00596466"/>
      <sz val="11"/>
    </font>
    <font>
      <name val="Aptos"/>
      <b val="1"/>
      <color rgb="0008685F"/>
      <sz val="9"/>
    </font>
    <font>
      <name val="Aptos"/>
      <b val="1"/>
      <color rgb="00FFFFFF"/>
      <sz val="11"/>
    </font>
    <font>
      <name val="Aptos"/>
      <color rgb="00253336"/>
      <sz val="11"/>
    </font>
    <font>
      <name val="Aptos"/>
      <color rgb="00000000"/>
      <sz val="11"/>
    </font>
    <font>
      <name val="Aptos"/>
      <color rgb="0008685F"/>
      <sz val="11"/>
    </font>
    <font>
      <name val="Aptos"/>
      <b val="1"/>
      <color rgb="00FFFFFF"/>
      <sz val="16"/>
    </font>
    <font>
      <name val="Aptos"/>
      <b val="1"/>
      <color rgb="0008685F"/>
      <sz val="11"/>
    </font>
    <font>
      <name val="Aptos"/>
      <color rgb="0008685F"/>
      <sz val="11"/>
      <u val="single"/>
    </font>
  </fonts>
  <fills count="12">
    <fill>
      <patternFill/>
    </fill>
    <fill>
      <patternFill patternType="gray125"/>
    </fill>
    <fill>
      <patternFill patternType="solid">
        <fgColor rgb="FF472C5B"/>
      </patternFill>
    </fill>
    <fill>
      <patternFill patternType="solid">
        <fgColor rgb="FF08685F"/>
      </patternFill>
    </fill>
    <fill>
      <patternFill patternType="solid">
        <fgColor rgb="FFF6F8F7"/>
      </patternFill>
    </fill>
    <fill>
      <patternFill patternType="solid">
        <fgColor rgb="FFEAF4F1"/>
      </patternFill>
    </fill>
    <fill>
      <patternFill patternType="solid">
        <fgColor rgb="FFF1EDF5"/>
      </patternFill>
    </fill>
    <fill>
      <patternFill patternType="solid">
        <fgColor rgb="00472C5B"/>
      </patternFill>
    </fill>
    <fill>
      <patternFill patternType="solid">
        <fgColor rgb="0008685F"/>
      </patternFill>
    </fill>
    <fill>
      <patternFill patternType="solid">
        <fgColor rgb="00F6F8F7"/>
      </patternFill>
    </fill>
    <fill>
      <patternFill patternType="solid">
        <fgColor rgb="00FFFFFF"/>
      </patternFill>
    </fill>
    <fill>
      <patternFill patternType="solid">
        <fgColor rgb="00EAF4F1"/>
      </patternFill>
    </fill>
  </fills>
  <borders count="1">
    <border/>
  </borders>
  <cellStyleXfs count="1">
    <xf numFmtId="0" fontId="0" fillId="0" borderId="0"/>
  </cellStyleXfs>
  <cellXfs count="6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4" fillId="3" borderId="0" applyAlignment="1" pivotButton="0" quotePrefix="0" xfId="0">
      <alignment vertical="center" wrapText="1"/>
    </xf>
    <xf numFmtId="0" fontId="5" fillId="4"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4" borderId="0" applyAlignment="1" pivotButton="0" quotePrefix="0" xfId="0">
      <alignment vertical="center" wrapText="1"/>
    </xf>
    <xf numFmtId="0" fontId="6" fillId="4" borderId="0" applyAlignment="1" pivotButton="0" quotePrefix="0" xfId="0">
      <alignment horizontal="center" vertical="center" wrapText="1"/>
    </xf>
    <xf numFmtId="0" fontId="7" fillId="0" borderId="0" applyAlignment="1" pivotButton="0" quotePrefix="0" xfId="0">
      <alignment vertical="center" wrapText="1"/>
    </xf>
    <xf numFmtId="0" fontId="6" fillId="0" borderId="0" applyAlignment="1" pivotButton="0" quotePrefix="0" xfId="0">
      <alignment horizontal="center" vertical="center" wrapText="1"/>
    </xf>
    <xf numFmtId="0" fontId="8" fillId="5" borderId="0" applyAlignment="1" pivotButton="0" quotePrefix="0" xfId="0">
      <alignment vertical="center" wrapText="1"/>
    </xf>
    <xf numFmtId="0" fontId="8" fillId="5"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0" borderId="0" applyAlignment="1" pivotButton="0" quotePrefix="0" xfId="0">
      <alignment horizontal="center" vertical="center" wrapText="1"/>
    </xf>
    <xf numFmtId="0" fontId="10" fillId="6" borderId="0" applyAlignment="1" pivotButton="0" quotePrefix="0" xfId="0">
      <alignment horizontal="center" vertical="center" wrapText="1"/>
    </xf>
    <xf numFmtId="9" fontId="8" fillId="5" borderId="0" applyAlignment="1" pivotButton="0" quotePrefix="0" xfId="0">
      <alignment horizontal="center" vertical="center" wrapText="1"/>
    </xf>
    <xf numFmtId="0" fontId="4" fillId="2" borderId="0" applyAlignment="1" pivotButton="0" quotePrefix="0" xfId="0">
      <alignment vertical="center" wrapText="1"/>
    </xf>
    <xf numFmtId="0" fontId="9" fillId="6" borderId="0" applyAlignment="1" pivotButton="0" quotePrefix="0" xfId="0">
      <alignment vertical="center" wrapText="1"/>
    </xf>
    <xf numFmtId="0" fontId="9" fillId="6" borderId="0" applyAlignment="1" pivotButton="0" quotePrefix="0" xfId="0">
      <alignment horizontal="center" vertical="center" wrapText="1"/>
    </xf>
    <xf numFmtId="164" fontId="7" fillId="4" borderId="0" applyAlignment="1" pivotButton="0" quotePrefix="0" xfId="0">
      <alignment vertical="center" wrapText="1"/>
    </xf>
    <xf numFmtId="164" fontId="7" fillId="0" borderId="0" applyAlignment="1" pivotButton="0" quotePrefix="0" xfId="0">
      <alignment vertical="center" wrapText="1"/>
    </xf>
    <xf numFmtId="165" fontId="6" fillId="4" borderId="0" applyAlignment="1" pivotButton="0" quotePrefix="0" xfId="0">
      <alignment horizontal="center" vertical="center" wrapText="1"/>
    </xf>
    <xf numFmtId="166" fontId="6" fillId="4" borderId="0" applyAlignment="1" pivotButton="0" quotePrefix="0" xfId="0">
      <alignment horizontal="center" vertical="center" wrapText="1"/>
    </xf>
    <xf numFmtId="0" fontId="6" fillId="4" borderId="0" applyAlignment="1" pivotButton="0" quotePrefix="0" xfId="0">
      <alignment vertical="center" wrapText="1"/>
    </xf>
    <xf numFmtId="165" fontId="6" fillId="0" borderId="0" applyAlignment="1" pivotButton="0" quotePrefix="0" xfId="0">
      <alignment horizontal="center" vertical="center" wrapText="1"/>
    </xf>
    <xf numFmtId="166"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5" fontId="9" fillId="6" borderId="0" applyAlignment="1" pivotButton="0" quotePrefix="0" xfId="0">
      <alignment horizontal="center" vertical="center" wrapText="1"/>
    </xf>
    <xf numFmtId="166" fontId="9" fillId="6"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0" borderId="0" applyAlignment="1" pivotButton="0" quotePrefix="0" xfId="0">
      <alignment horizontal="center" vertical="center" wrapText="1"/>
    </xf>
    <xf numFmtId="0" fontId="11" fillId="7" borderId="0" applyAlignment="1" pivotButton="0" quotePrefix="0" xfId="0">
      <alignment vertical="center" indent="1"/>
    </xf>
    <xf numFmtId="0" fontId="12" fillId="0" borderId="0" applyAlignment="1" pivotButton="0" quotePrefix="0" xfId="0">
      <alignment vertical="center" wrapText="1" indent="1"/>
    </xf>
    <xf numFmtId="0" fontId="13" fillId="0" borderId="0" applyAlignment="1" pivotButton="0" quotePrefix="0" xfId="0">
      <alignment vertical="center" indent="1"/>
    </xf>
    <xf numFmtId="0" fontId="14" fillId="8" borderId="0" applyAlignment="1" pivotButton="0" quotePrefix="0" xfId="0">
      <alignment vertical="center" wrapText="1" indent="1"/>
    </xf>
    <xf numFmtId="0" fontId="15" fillId="9" borderId="0" applyAlignment="1" pivotButton="0" quotePrefix="0" xfId="0">
      <alignment horizontal="left" vertical="center" wrapText="1" indent="1"/>
    </xf>
    <xf numFmtId="0" fontId="15" fillId="10" borderId="0" applyAlignment="1" pivotButton="0" quotePrefix="0" xfId="0">
      <alignment horizontal="left" vertical="center" wrapText="1" indent="1"/>
    </xf>
    <xf numFmtId="0" fontId="18" fillId="7" borderId="0" applyAlignment="1" pivotButton="0" quotePrefix="0" xfId="0">
      <alignment vertical="center" wrapText="1" indent="1"/>
    </xf>
    <xf numFmtId="0" fontId="19" fillId="10" borderId="0" applyAlignment="1" pivotButton="0" quotePrefix="0" xfId="0">
      <alignment vertical="center" wrapText="1" indent="1"/>
    </xf>
    <xf numFmtId="0" fontId="0" fillId="10" borderId="0" pivotButton="0" quotePrefix="0" xfId="0"/>
    <xf numFmtId="0" fontId="15" fillId="10" borderId="0" applyAlignment="1" pivotButton="0" quotePrefix="0" xfId="0">
      <alignment vertical="center" wrapText="1" indent="1"/>
    </xf>
    <xf numFmtId="0" fontId="19" fillId="9" borderId="0" applyAlignment="1" pivotButton="0" quotePrefix="0" xfId="0">
      <alignment vertical="center" wrapText="1" indent="1"/>
    </xf>
    <xf numFmtId="0" fontId="0" fillId="9" borderId="0" pivotButton="0" quotePrefix="0" xfId="0"/>
    <xf numFmtId="0" fontId="15" fillId="9" borderId="0" applyAlignment="1" pivotButton="0" quotePrefix="0" xfId="0">
      <alignment vertical="center" wrapText="1" indent="1"/>
    </xf>
    <xf numFmtId="0" fontId="18" fillId="8" borderId="0" applyAlignment="1" pivotButton="0" quotePrefix="0" xfId="0">
      <alignment vertical="center" wrapText="1" indent="1"/>
    </xf>
    <xf numFmtId="0" fontId="20" fillId="10" borderId="0" applyAlignment="1" pivotButton="0" quotePrefix="0" xfId="0">
      <alignment vertical="center" wrapText="1" indent="1"/>
    </xf>
    <xf numFmtId="0" fontId="15" fillId="9" borderId="0" applyAlignment="1" pivotButton="0" quotePrefix="0" xfId="0">
      <alignment horizontal="center" vertical="center" wrapText="1" indent="1"/>
    </xf>
    <xf numFmtId="0" fontId="15" fillId="10" borderId="0" applyAlignment="1" pivotButton="0" quotePrefix="0" xfId="0">
      <alignment horizontal="center" vertical="center" wrapText="1" indent="1"/>
    </xf>
    <xf numFmtId="0" fontId="14" fillId="8" borderId="0" applyAlignment="1" pivotButton="0" quotePrefix="0" xfId="0">
      <alignment vertical="center" wrapText="1"/>
    </xf>
    <xf numFmtId="0" fontId="15" fillId="9" borderId="0" applyAlignment="1" pivotButton="0" quotePrefix="0" xfId="0">
      <alignment vertical="center" wrapText="1"/>
    </xf>
    <xf numFmtId="0" fontId="16" fillId="9" borderId="0" applyAlignment="1" pivotButton="0" quotePrefix="0" xfId="0">
      <alignment horizontal="left" vertical="center" wrapText="1" indent="1"/>
    </xf>
    <xf numFmtId="0" fontId="17" fillId="11" borderId="0" applyAlignment="1" pivotButton="0" quotePrefix="0" xfId="0">
      <alignment horizontal="left" vertical="center" wrapText="1" indent="1"/>
    </xf>
    <xf numFmtId="0" fontId="16" fillId="10" borderId="0" applyAlignment="1" pivotButton="0" quotePrefix="0" xfId="0">
      <alignment horizontal="left" vertical="center" wrapText="1" indent="1"/>
    </xf>
    <xf numFmtId="165" fontId="6" fillId="4" borderId="0" applyAlignment="1" pivotButton="0" quotePrefix="0" xfId="0">
      <alignment horizontal="center" vertical="center" wrapText="1"/>
    </xf>
    <xf numFmtId="166" fontId="6" fillId="4" borderId="0" applyAlignment="1" pivotButton="0" quotePrefix="0" xfId="0">
      <alignment horizontal="center" vertical="center" wrapText="1"/>
    </xf>
    <xf numFmtId="165" fontId="6" fillId="0" borderId="0" applyAlignment="1" pivotButton="0" quotePrefix="0" xfId="0">
      <alignment horizontal="center" vertical="center" wrapText="1"/>
    </xf>
    <xf numFmtId="166" fontId="6" fillId="0" borderId="0" applyAlignment="1" pivotButton="0" quotePrefix="0" xfId="0">
      <alignment horizontal="center" vertical="center" wrapText="1"/>
    </xf>
    <xf numFmtId="165" fontId="9" fillId="6" borderId="0" applyAlignment="1" pivotButton="0" quotePrefix="0" xfId="0">
      <alignment horizontal="center" vertical="center" wrapText="1"/>
    </xf>
    <xf numFmtId="166" fontId="9" fillId="6" borderId="0" applyAlignment="1" pivotButton="0" quotePrefix="0" xfId="0">
      <alignment horizontal="center" vertical="center" wrapText="1"/>
    </xf>
    <xf numFmtId="164" fontId="7" fillId="4" borderId="0" applyAlignment="1" pivotButton="0" quotePrefix="0" xfId="0">
      <alignment vertical="center" wrapText="1"/>
    </xf>
    <xf numFmtId="164" fontId="7" fillId="0" borderId="0" applyAlignment="1" pivotButton="0" quotePrefix="0" xfId="0">
      <alignment vertical="center" wrapText="1"/>
    </xf>
  </cellXfs>
  <cellStyles count="1">
    <cellStyle name="Normal" xfId="0"/>
  </cellStyles>
  <dxfs count="7">
    <dxf>
      <font>
        <b val="1"/>
        <color rgb="0008685F"/>
      </font>
      <fill>
        <patternFill>
          <bgColor rgb="00EAF4F1"/>
        </patternFill>
      </fill>
    </dxf>
    <dxf>
      <font>
        <b val="1"/>
        <color rgb="00A65713"/>
      </font>
      <fill>
        <patternFill>
          <bgColor rgb="00FFF0D8"/>
        </patternFill>
      </fill>
    </dxf>
    <dxf>
      <font>
        <b val="1"/>
        <color rgb="009E2424"/>
      </font>
      <fill>
        <patternFill>
          <bgColor rgb="00FCE9E6"/>
        </patternFill>
      </fill>
    </dxf>
    <dxf>
      <fill>
        <patternFill patternType="solid">
          <fgColor rgb="00E9B5B1"/>
        </patternFill>
      </fill>
    </dxf>
    <dxf>
      <fill>
        <patternFill patternType="solid">
          <fgColor rgb="00F5D6BB"/>
        </patternFill>
      </fill>
    </dxf>
    <dxf>
      <fill>
        <patternFill patternType="solid">
          <fgColor rgb="00FFF0D7"/>
        </patternFill>
      </fill>
    </dxf>
    <dxf>
      <fill>
        <patternFill patternType="solid">
          <fgColor rgb="00EAF4F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hyperlink" Target="#'Risk Register'!A5" TargetMode="External" Id="rId1"/></Relationships>
</file>

<file path=xl/worksheets/_rels/sheet15.xml.rels><Relationships xmlns="http://schemas.openxmlformats.org/package/2006/relationships"><Relationship Type="http://schemas.openxmlformats.org/officeDocument/2006/relationships/hyperlink" Target="https://www.abs.gov.au/statistics/standards/abs-forms-design-standards/2023/general-forms-design-principles-question-structure" TargetMode="External" Id="rId1"/><Relationship Type="http://schemas.openxmlformats.org/officeDocument/2006/relationships/hyperlink" Target="https://www.fairwork.gov.au/taxonomy/term/527" TargetMode="External" Id="rId2"/><Relationship Type="http://schemas.openxmlformats.org/officeDocument/2006/relationships/hyperlink" Target="https://www.fairwork.gov.au/starting-employment/types-of-employees/casual-employees/becoming-a-permanent-employee" TargetMode="External" Id="rId3"/><Relationship Type="http://schemas.openxmlformats.org/officeDocument/2006/relationships/hyperlink" Target="https://www.fairwork.gov.au/employment-conditions/information-statements/casual-employment-information-statement" TargetMode="External" Id="rId4"/><Relationship Type="http://schemas.openxmlformats.org/officeDocument/2006/relationships/hyperlink" Target="https://www.ato.gov.au/businesses-and-organisations/super-for-employers/paying-super-on-payday/payment-deadlines-for-payday-super" TargetMode="External" Id="rId5"/><Relationship Type="http://schemas.openxmlformats.org/officeDocument/2006/relationships/hyperlink" Target="https://www.fairwork.gov.au/pay-and-wages/minimum-wages/annualised-salaries" TargetMode="External" Id="rId6"/><Relationship Type="http://schemas.openxmlformats.org/officeDocument/2006/relationships/hyperlink" Target="https://www.fairwork.gov.au/newsroom/news/offsetting-and-record-keeping-salaried-employees" TargetMode="External" Id="rId7"/><Relationship Type="http://schemas.openxmlformats.org/officeDocument/2006/relationships/hyperlink" Target="https://www.fairwork.gov.au/pay-and-wages/deductions-and-related-issues/deducting-pay" TargetMode="External" Id="rId8"/><Relationship Type="http://schemas.openxmlformats.org/officeDocument/2006/relationships/hyperlink" Target="https://www.fairwork.gov.au/starting-employment/types-of-employees/fixed-term-contract-employees" TargetMode="External" Id="rId9"/><Relationship Type="http://schemas.openxmlformats.org/officeDocument/2006/relationships/hyperlink" Target="https://humanrights.gov.au/resource-hub/resources-for-organisations-businesses/positive-duty-pdfs/guidelines-for-complying-with-the-positive-duty-under-the-sex-discrimination-act-1984-cth" TargetMode="External" Id="rId10"/><Relationship Type="http://schemas.openxmlformats.org/officeDocument/2006/relationships/hyperlink" Target="https://www.safeworkaustralia.gov.au/safety-topic/managing-health-and-safety/mental-health/managing-risks/identifying-assessing-controlling-and-reviewing" TargetMode="External" Id="rId11"/><Relationship Type="http://schemas.openxmlformats.org/officeDocument/2006/relationships/hyperlink" Target="https://www.safeworkaustralia.gov.au/safety-topic/managing-health-and-safety/mental-health/managing-risks/differences-between-whs-and-wellbeing" TargetMode="External" Id="rId12"/><Relationship Type="http://schemas.openxmlformats.org/officeDocument/2006/relationships/hyperlink" Target="https://www.safeworkaustralia.gov.au/safety-topic/managing-health-and-safety/identify-assess-and-control-hazards/managing-risks" TargetMode="External" Id="rId13"/><Relationship Type="http://schemas.openxmlformats.org/officeDocument/2006/relationships/hyperlink" Target="https://www.fairwork.gov.au/tools-and-resources/fact-sheets/rights-and-obligations/record-keeping-pay-slips" TargetMode="External" Id="rId14"/><Relationship Type="http://schemas.openxmlformats.org/officeDocument/2006/relationships/hyperlink" Target="https://www.oaic.gov.au/privacy/privacy-guidance-for-organisations-and-government-agencies/organisations/employee-records-exemption" TargetMode="External" Id="rId15"/><Relationship Type="http://schemas.openxmlformats.org/officeDocument/2006/relationships/hyperlink" Target="https://www.oaic.gov.au/privacy/privacy-guidance-for-organisations-and-government-agencies/organisations/small-business" TargetMode="External" Id="rId16"/><Relationship Type="http://schemas.openxmlformats.org/officeDocument/2006/relationships/hyperlink" Target="https://www.oaic.gov.au/news/media-centre/new-resources-on-transparency-for-use-of-ai-and-automated-decision-making" TargetMode="External" Id="rId17"/><Relationship Type="http://schemas.openxmlformats.org/officeDocument/2006/relationships/hyperlink" Target="https://www.wgea.gov.au/reporting/reporting-guide/eligibility" TargetMode="External" Id="rId18"/><Relationship Type="http://schemas.openxmlformats.org/officeDocument/2006/relationships/hyperlink" Target="https://www.wgea.gov.au/reporting/reporting-guide/corporate-structures" TargetMode="External" Id="rId19"/><Relationship Type="http://schemas.openxmlformats.org/officeDocument/2006/relationships/hyperlink" Target="https://www.fairwork.gov.au/newsroom/news/start-right-disconnect-and-casual-changes-small-businesses" TargetMode="External" Id="rId20"/><Relationship Type="http://schemas.openxmlformats.org/officeDocument/2006/relationships/hyperlink" Target="https://www.fairwork.gov.au/tools-and-resources/fact-sheets/minimum-workplace-entitlements/family-and-domestic-violence-leave" TargetMode="External" Id="rId21"/><Relationship Type="http://schemas.openxmlformats.org/officeDocument/2006/relationships/hyperlink" Target="https://www.fairwork.gov.au/tools-and-resources/fact-sheets/minimum-workplace-entitlements/requests-for-flexible-working-arrangements" TargetMode="External" Id="rId22"/><Relationship Type="http://schemas.openxmlformats.org/officeDocument/2006/relationships/hyperlink" Target="https://www.fairwork.gov.au/find-help-for/independent-contractors/whole-of-relationship-test" TargetMode="External" Id="rId23"/><Relationship Type="http://schemas.openxmlformats.org/officeDocument/2006/relationships/hyperlink" Target="https://www.ato.gov.au/businesses-and-organisations/super-for-employers/work-out-if-you-have-to-pay-super/super-for-independent-contractors" TargetMode="External" Id="rId24"/><Relationship Type="http://schemas.openxmlformats.org/officeDocument/2006/relationships/hyperlink" Target="https://www.fairwork.gov.au/tools-and-resources/best-practice-guides/consultation-and-cooperation-in-the-workplace" TargetMode="External" Id="rId25"/><Relationship Type="http://schemas.openxmlformats.org/officeDocument/2006/relationships/hyperlink" Target="https://www.fairwork.gov.au/tools-and-resources/fact-sheets/minimum-workplace-entitlements/ending-employment" TargetMode="External" Id="rId26"/><Relationship Type="http://schemas.openxmlformats.org/officeDocument/2006/relationships/hyperlink" Target="https://www.fairwork.gov.au/sites/default/files/migration/711/managing-underperformance-best-practice-guide.pdf" TargetMode="External" Id="rId27"/><Relationship Type="http://schemas.openxmlformats.org/officeDocument/2006/relationships/hyperlink" Target="https://www.fairwork.gov.au/leave/annual-leave/cashing-out-annual-leave" TargetMode="External" Id="rId28"/><Relationship Type="http://schemas.openxmlformats.org/officeDocument/2006/relationships/hyperlink" Target="https://www.fairwork.gov.au/leave/annual-leave/directing-an-employee-to-take-annual-leave/direction-to-take-annual-leave-during-a-shut-down" TargetMode="External" Id="rId29"/><Relationship Type="http://schemas.openxmlformats.org/officeDocument/2006/relationships/hyperlink" Target="https://www.fairwork.gov.au/employment-conditions/flexibility-in-the-workplace/individual-flexibility-arrangements" TargetMode="External" Id="rId30"/><Relationship Type="http://schemas.openxmlformats.org/officeDocument/2006/relationships/hyperlink" Target="https://www.nsw.gov.au/employment/rights-responsibilities/portable-long-service/csi-long-service-leave-scheme/employer-obligations" TargetMode="External" Id="rId31"/><Relationship Type="http://schemas.openxmlformats.org/officeDocument/2006/relationships/hyperlink" Target="https://immi.homeaffairs.gov.au/visa-conditions-subsite/Pages/Check-conditions-online-vevo.aspx" TargetMode="External" Id="rId32"/><Relationship Type="http://schemas.openxmlformats.org/officeDocument/2006/relationships/hyperlink" Target="https://www.fairwork.gov.au/pay-and-wages/minimum-wages/apprentice-and-trainee-pay-rates" TargetMode="External" Id="rId33"/><Relationship Type="http://schemas.openxmlformats.org/officeDocument/2006/relationships/hyperlink" Target="https://www.fairwork.gov.au/pay-and-wages/minimum-wages/junior-pay-rates" TargetMode="External" Id="rId34"/><Relationship Type="http://schemas.openxmlformats.org/officeDocument/2006/relationships/hyperlink" Target="https://www.wa.gov.au/organisation/private-sector-labour-relations/which-system-of-employment-law-applies" TargetMode="External" Id="rId35"/><Relationship Type="http://schemas.openxmlformats.org/officeDocument/2006/relationships/hyperlink" Target="https://library.fairwork.gov.au/viewer/?krn=K600619" TargetMode="External" Id="rId36"/><Relationship Type="http://schemas.openxmlformats.org/officeDocument/2006/relationships/hyperlink" Target="https://www.fwc.gov.au/what-enterprise-agreement" TargetMode="External" Id="rId37"/><Relationship Type="http://schemas.openxmlformats.org/officeDocument/2006/relationships/hyperlink" Target="https://www.safeworkaustralia.gov.au/workers-compensation" TargetMode="External" Id="rId38"/><Relationship Type="http://schemas.openxmlformats.org/officeDocument/2006/relationships/hyperlink" Target="https://www.fairwork.gov.au/employment-conditions/national-employment-standards" TargetMode="External" Id="rId39"/></Relationships>
</file>

<file path=xl/worksheets/sheet1.xml><?xml version="1.0" encoding="utf-8"?>
<worksheet xmlns="http://schemas.openxmlformats.org/spreadsheetml/2006/main">
  <sheetPr>
    <tabColor rgb="0008685F"/>
    <outlinePr summaryBelow="1" summaryRight="0"/>
    <pageSetUpPr fitToPage="1"/>
  </sheetPr>
  <dimension ref="A1:C2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3" customWidth="1" min="2" max="2"/>
    <col width="49" customWidth="1" min="3" max="3"/>
  </cols>
  <sheetData>
    <row r="1" ht="38" customHeight="1">
      <c r="A1" s="33" t="inlineStr">
        <is>
          <t>HR Health Check | risk and action build pack</t>
        </is>
      </c>
    </row>
    <row r="2" ht="42" customHeight="1">
      <c r="A2" s="34" t="inlineStr">
        <is>
          <t>V3 develops the existing workbook rather than replacing its structure. The customer sees a clear assessment and action plan; the additional detail is the controlled content and logic behind it.</t>
        </is>
      </c>
    </row>
    <row r="3" ht="22" customHeight="1">
      <c r="A3" s="35" t="inlineStr">
        <is>
          <t>DREAMSTONEHR | PROPOSED V3.0 | 10 OCTOBER 2026</t>
        </is>
      </c>
    </row>
    <row r="4" ht="12" customHeight="1"/>
    <row r="5" ht="43" customHeight="1">
      <c r="A5" s="36" t="inlineStr">
        <is>
          <t>Section</t>
        </is>
      </c>
      <c r="B5" s="36" t="inlineStr">
        <is>
          <t>Decision / guidance</t>
        </is>
      </c>
      <c r="C5" s="36" t="inlineStr">
        <is>
          <t>Where to work</t>
        </is>
      </c>
    </row>
    <row r="6" ht="46" customHeight="1">
      <c r="A6" s="37" t="inlineStr">
        <is>
          <t>Purpose</t>
        </is>
      </c>
      <c r="B6" s="37" t="inlineStr">
        <is>
          <t>A paid, self-reported HR decision-support assessment for businesses with 5-200 employees. Give a useful plan without requiring a second purchase.</t>
        </is>
      </c>
      <c r="C6" s="37" t="inlineStr">
        <is>
          <t>Client Preview</t>
        </is>
      </c>
    </row>
    <row r="7" ht="46" customHeight="1">
      <c r="A7" s="38" t="inlineStr">
        <is>
          <t>What changed in v3</t>
        </is>
      </c>
      <c r="B7" s="38" t="inlineStr">
        <is>
          <t>Retained 44 core questions; added three targeted conditional questions. All 69 questions now have five response pathways, risk reasoning and practical next steps.</t>
        </is>
      </c>
      <c r="C7" s="38" t="inlineStr">
        <is>
          <t>Questions; Answers; Answer Outcomes</t>
        </is>
      </c>
    </row>
    <row r="8" ht="46" customHeight="1">
      <c r="A8" s="37" t="inlineStr">
        <is>
          <t>What was already present</t>
        </is>
      </c>
      <c r="B8" s="37" t="inlineStr">
        <is>
          <t>V2 had 66 questions, 330 answer choices, broad action triggers and useful first-step action cards. It did not yet provide the full response-specific risk and context layer now added.</t>
        </is>
      </c>
      <c r="C8" s="37" t="inlineStr">
        <is>
          <t>Original v2 workbook remains unchanged.</t>
        </is>
      </c>
    </row>
    <row r="9" ht="46" customHeight="1">
      <c r="A9" s="38" t="inlineStr">
        <is>
          <t>Where to start</t>
        </is>
      </c>
      <c r="B9" s="38" t="inlineStr">
        <is>
          <t>Read Client Preview to see the intended outcome. Review Risk Method before changing ratings, then edit Questions, Answers and Action Library for content.</t>
        </is>
      </c>
      <c r="C9" s="38" t="inlineStr">
        <is>
          <t>Client Preview; Risk Method</t>
        </is>
      </c>
    </row>
    <row r="10" ht="46" customHeight="1">
      <c r="A10" s="37" t="inlineStr">
        <is>
          <t>Question catalogue</t>
        </is>
      </c>
      <c r="B10" s="37" t="inlineStr">
        <is>
          <t>44 core plus 25 conditional questions; eight additional unscored context prompts are routed and reused by workstream, not repeated per finding.</t>
        </is>
      </c>
      <c r="C10" s="37" t="inlineStr">
        <is>
          <t>Profile &amp; Routes; Risk Context</t>
        </is>
      </c>
    </row>
    <row r="11" ht="46" customHeight="1">
      <c r="A11" s="38" t="inlineStr">
        <is>
          <t>Customer outcome</t>
        </is>
      </c>
      <c r="B11" s="38" t="inlineStr">
        <is>
          <t>What was reported; the concern and reason; provisional risk; action priority; practical steps; owner; relevant timing; completion evidence; recheck trigger.</t>
        </is>
      </c>
      <c r="C11" s="38" t="inlineStr">
        <is>
          <t>Answer Outcomes; Risk Register</t>
        </is>
      </c>
    </row>
    <row r="12" ht="46" customHeight="1">
      <c r="A12" s="37" t="inlineStr">
        <is>
          <t>Score versus risk</t>
        </is>
      </c>
      <c r="B12" s="37" t="inlineStr">
        <is>
          <t>The reported-practice score remains separate from risk and urgency. An unresolved essential element can stay High even where the answer earns partial points.</t>
        </is>
      </c>
      <c r="C12" s="37" t="inlineStr">
        <is>
          <t>Scoring; Risk Method</t>
        </is>
      </c>
    </row>
    <row r="13" ht="46" customHeight="1">
      <c r="A13" s="38" t="inlineStr">
        <is>
          <t>Unknown is different</t>
        </is>
      </c>
      <c r="B13" s="38" t="inlineStr">
        <is>
          <t>DK receives no demonstrated practice points and remains in the eligible denominator, as in v2. Risk is Unverified; verification can still be High priority.</t>
        </is>
      </c>
      <c r="C13" s="38" t="inlineStr">
        <is>
          <t>Answers; Risk Method</t>
        </is>
      </c>
    </row>
    <row r="14" ht="46" customHeight="1">
      <c r="A14" s="37" t="inlineStr">
        <is>
          <t>Rating status</t>
        </is>
      </c>
      <c r="B14" s="37" t="inlineStr">
        <is>
          <t>Low / Medium / High / Critical are proposed triage ratings. Actual likelihood, legal compliance, WHS risk and residual-risk reduction are not established by this questionnaire.</t>
        </is>
      </c>
      <c r="C14" s="37" t="inlineStr">
        <is>
          <t>Risk Method; Sources</t>
        </is>
      </c>
    </row>
    <row r="15" ht="46" customHeight="1">
      <c r="A15" s="38" t="inlineStr">
        <is>
          <t>Timeframe safeguard</t>
        </is>
      </c>
      <c r="B15" s="38" t="inlineStr">
        <is>
          <t>Two business days, 30 days and 90 days are proposed response/planning targets, never grace periods. Current harm and earlier duties, decisions or deadlines take precedence.</t>
        </is>
      </c>
      <c r="C15" s="38" t="inlineStr">
        <is>
          <t>Risk Method</t>
        </is>
      </c>
    </row>
    <row r="16" ht="46" customHeight="1">
      <c r="A16" s="37" t="inlineStr">
        <is>
          <t>Working demonstration</t>
        </is>
      </c>
      <c r="B16" s="37" t="inlineStr">
        <is>
          <t>Edit Score Sandbox F/G for eligibility and responses. In Risk Register, G:K adds scoped context. Client Preview then changes through formulas. Defaults are fictional.</t>
        </is>
      </c>
      <c r="C16" s="37" t="inlineStr">
        <is>
          <t>Score Sandbox; Risk Register</t>
        </is>
      </c>
    </row>
    <row r="17" ht="46" customHeight="1">
      <c r="A17" s="38" t="inlineStr">
        <is>
          <t>Complete register</t>
        </is>
      </c>
      <c r="B17" s="38" t="inlineStr">
        <is>
          <t>The three preview workstreams do not replace the register. The app must show all High/Critical alerts, unknowns and related child actions.</t>
        </is>
      </c>
      <c r="C17" s="38" t="inlineStr">
        <is>
          <t>Risk Register; Build Rules</t>
        </is>
      </c>
    </row>
    <row r="18" ht="46" customHeight="1">
      <c r="A18" s="37" t="inlineStr">
        <is>
          <t>Proportionate evidence</t>
        </is>
      </c>
      <c r="B18" s="37" t="inlineStr">
        <is>
          <t>A five-person business can use concise, tested controls. A 200-person business needs consistency across relevant teams and work patterns. Neither is rewarded for document volume.</t>
        </is>
      </c>
      <c r="C18" s="37" t="inlineStr">
        <is>
          <t>Action Library</t>
        </is>
      </c>
    </row>
    <row r="19" ht="46" customHeight="1">
      <c r="A19" s="38" t="inlineStr">
        <is>
          <t>New follow-ups</t>
        </is>
      </c>
      <c r="B19" s="38" t="inlineStr">
        <is>
          <t>B23: resolving pay shortfalls. B24: workplace adjustments. B25: shared-work safety duties. Each has a defined route, answer choices, consequence and action card.</t>
        </is>
      </c>
      <c r="C19" s="38" t="inlineStr">
        <is>
          <t>Profile &amp; Routes</t>
        </is>
      </c>
    </row>
    <row r="20" ht="46" customHeight="1">
      <c r="A20" s="37" t="inlineStr">
        <is>
          <t>Legal precision</t>
        </is>
      </c>
      <c r="B20" s="37" t="inlineStr">
        <is>
          <t>B19 now states the refusal-unless-unreasonable test correctly. PAY04 clarifies earnings dates and receipt evidence. New topics have primary source links.</t>
        </is>
      </c>
      <c r="C20" s="37" t="inlineStr">
        <is>
          <t>Questions; Sources</t>
        </is>
      </c>
    </row>
    <row r="21" ht="46" customHeight="1">
      <c r="A21" s="38" t="inlineStr">
        <is>
          <t>Sources and provenance</t>
        </is>
      </c>
      <c r="B21" s="38" t="inlineStr">
        <is>
          <t>S40-S43 are newly reviewed sources; S05/S13 were rechecked. Remaining dates are carried forward from v2. Consequences, weights, ratings and action targets are product-design judgements.</t>
        </is>
      </c>
      <c r="C21" s="38" t="inlineStr">
        <is>
          <t>Sources</t>
        </is>
      </c>
    </row>
    <row r="22" ht="46" customHeight="1">
      <c r="A22" s="37" t="inlineStr">
        <is>
          <t>Do not collect</t>
        </is>
      </c>
      <c r="B22" s="37" t="inlineStr">
        <is>
          <t>Employee names, diagnoses, allegation narratives, identity documents or payroll files in a general assessment. Ask for an example type and verification status instead.</t>
        </is>
      </c>
      <c r="C22" s="37" t="inlineStr">
        <is>
          <t>Risk Context; Build Rules</t>
        </is>
      </c>
    </row>
    <row r="23" ht="46" customHeight="1">
      <c r="A23" s="38" t="inlineStr">
        <is>
          <t>Before public release</t>
        </is>
      </c>
      <c r="B23" s="38" t="inlineStr">
        <is>
          <t>Approve every proposed risk mapping, jurisdiction route and response statement; test the implemented app and pilot with real owners/leaders and independent record checks.</t>
        </is>
      </c>
      <c r="C23" s="38" t="inlineStr">
        <is>
          <t>Test Cases; Build Rules</t>
        </is>
      </c>
    </row>
    <row r="24" ht="46" customHeight="1">
      <c r="A24" s="37" t="inlineStr">
        <is>
          <t>Original traceability</t>
        </is>
      </c>
      <c r="B24" s="37" t="inlineStr">
        <is>
          <t>Current Review and Original Options preserve the original question review and source options. Historical test results are labelled as v2, not claims of v3 validation.</t>
        </is>
      </c>
      <c r="C24" s="37" t="inlineStr">
        <is>
          <t>Current Review; Original Options</t>
        </is>
      </c>
    </row>
  </sheetData>
  <autoFilter ref="A5:C24"/>
  <mergeCells count="3">
    <mergeCell ref="A1:C1"/>
    <mergeCell ref="A3:C3"/>
    <mergeCell ref="A2:C2"/>
  </mergeCells>
  <printOptions horizontalCentered="0"/>
  <pageMargins left="0.7" right="0.7" top="0.75" bottom="0.75" header="0.3" footer="0.3"/>
  <pageSetup orientation="landscape" paperSize="8" fitToHeight="0" fitToWidth="1"/>
</worksheet>
</file>

<file path=xl/worksheets/sheet2.xml><?xml version="1.0" encoding="utf-8"?>
<worksheet xmlns="http://schemas.openxmlformats.org/spreadsheetml/2006/main">
  <sheetPr>
    <tabColor rgb="00472C5B"/>
    <outlinePr summaryBelow="1" summaryRight="1"/>
    <pageSetUpPr/>
  </sheetPr>
  <dimension ref="A1:J70"/>
  <sheetViews>
    <sheetView showGridLines="0" workbookViewId="0">
      <pane ySplit="5" topLeftCell="A6"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hidden="1" width="13" customWidth="1" min="10" max="10"/>
  </cols>
  <sheetData>
    <row r="1" ht="32" customHeight="1">
      <c r="A1" s="39" t="inlineStr">
        <is>
          <t>Your HR priorities | illustrative report preview</t>
        </is>
      </c>
    </row>
    <row r="2" ht="33" customHeight="1">
      <c r="A2" s="34" t="inlineStr">
        <is>
          <t>Fictional example driven by Score Sandbox and Risk Register. Read the actions before the score. Ratings reflect reported practices and context, not an independent audit or a finding that the business has breached the law.</t>
        </is>
      </c>
    </row>
    <row r="3" ht="16" customHeight="1"/>
    <row r="4"/>
    <row r="5" ht="36" customHeight="1">
      <c r="A5" s="40" t="inlineStr">
        <is>
          <t>Overall position</t>
        </is>
      </c>
      <c r="C5" s="42" t="str">
        <f>'Score Sandbox'!K19</f>
        <v>Priority review required</v>
      </c>
    </row>
    <row r="6" ht="40" customHeight="1">
      <c r="A6" s="43" t="inlineStr">
        <is>
          <t>Reported-practice score</t>
        </is>
      </c>
      <c r="C6" s="45" t="str">
        <f>IF(ISNUMBER('Score Sandbox'!F21),TEXT('Score Sandbox'!F21,"0.0")&amp;" / 100. This is not a compliance percentage.","Withheld until information or configuration is resolved")</f>
        <v>91.0 / 100. This is not a compliance percentage.</v>
      </c>
    </row>
    <row r="7" ht="45" customHeight="1">
      <c r="A7" s="40" t="inlineStr">
        <is>
          <t>Risk and action alerts</t>
        </is>
      </c>
      <c r="C7" s="42" t="str">
        <f>COUNTIF('Risk Register'!$N$6:$N$74,4)&amp;" Critical action(s); "&amp;COUNTIF('Risk Register'!$N$6:$N$74,3)&amp;" High-priority action(s). Risk may remain Unverified where the task is to confirm information."</f>
        <v>0 Critical action(s); 4 High-priority action(s). Risk may remain Unverified where the task is to confirm information.</v>
      </c>
    </row>
    <row r="8" ht="44" customHeight="1">
      <c r="A8" s="43" t="inlineStr">
        <is>
          <t>Unknown information</t>
        </is>
      </c>
      <c r="C8" s="45" t="str">
        <f>TEXT('Score Sandbox'!H19,"0.0%")&amp;" of the domain-weighted assessment is not yet confirmed. Unknown is not the same as absent or unlawful."</f>
        <v>3.2% of the domain-weighted assessment is not yet confirmed. Unknown is not the same as absent or unlawful.</v>
      </c>
    </row>
    <row r="9" ht="54" customHeight="1">
      <c r="A9" s="40" t="inlineStr">
        <is>
          <t>Immediate safety notice</t>
        </is>
      </c>
      <c r="C9" s="42" t="str">
        <f>IF(COUNTIF('Risk Register'!$G$6:$G$74,"LIVE_HARM")&gt;0,"A serious current exposure has been reported. Take appropriate protective action and seek urgent help now. Do not wait for this assessment to be completed.","No immediate-harm override is selected in this demonstration. This does not establish that the workplace is free of immediate hazards.")</f>
        <v>No immediate-harm override is selected in this demonstration. This does not establish that the workplace is free of immediate hazards.</v>
      </c>
    </row>
    <row r="10"/>
    <row r="11" ht="32" customHeight="1">
      <c r="A11" s="46" t="inlineStr">
        <is>
          <t>Critical and High-priority alerts</t>
        </is>
      </c>
    </row>
    <row r="12" ht="44" customHeight="1">
      <c r="A12" s="43" t="inlineStr">
        <is>
          <t>Priority 1</t>
        </is>
      </c>
      <c r="C12" s="45" t="str">
        <f>IF($J$12=0,"",IF(INDEX('Risk Register'!$N$6:$N$74,$J$12)&lt;3,"",INDEX('Risk Register'!$O$6:$O$74,$J$12)&amp;" priority | "&amp;INDEX('Risk Register'!$M$6:$M$74,$J$12)&amp;" risk | "&amp;INDEX('Risk Register'!$P$6:$P$74,$J$12)))</f>
        <v>High priority | High risk | Test the payroll result, not just the base rate</v>
      </c>
      <c r="J12">
        <f>IFERROR(MATCH(1,'Risk Register'!$AA$6:$AA$74,0),0)</f>
        <v>2</v>
      </c>
    </row>
    <row r="13" ht="44" customHeight="1">
      <c r="A13" s="40" t="inlineStr">
        <is>
          <t>Priority 2</t>
        </is>
      </c>
      <c r="C13" s="42" t="str">
        <f>IF($J$13=0,"",IF(INDEX('Risk Register'!$N$6:$N$74,$J$13)&lt;3,"",INDEX('Risk Register'!$O$6:$O$74,$J$13)&amp;" priority | "&amp;INDEX('Risk Register'!$M$6:$M$74,$J$13)&amp;" risk | "&amp;INDEX('Risk Register'!$P$6:$P$74,$J$13)))</f>
        <v>High priority | High risk | Reduce reliance on one person</v>
      </c>
      <c r="J13">
        <f>IFERROR(MATCH(2,'Risk Register'!$AA$6:$AA$74,0),0)</f>
        <v>29</v>
      </c>
    </row>
    <row r="14" ht="44" customHeight="1">
      <c r="A14" s="43" t="inlineStr">
        <is>
          <t>Priority 3</t>
        </is>
      </c>
      <c r="C14" s="45" t="str">
        <f>IF($J$14=0,"",IF(INDEX('Risk Register'!$N$6:$N$74,$J$14)&lt;3,"",INDEX('Risk Register'!$O$6:$O$74,$J$14)&amp;" priority | "&amp;INDEX('Risk Register'!$M$6:$M$74,$J$14)&amp;" risk | "&amp;INDEX('Risk Register'!$P$6:$P$74,$J$14)))</f>
        <v>High priority | High risk | Make the reporting route work when power is involved</v>
      </c>
      <c r="J14">
        <f>IFERROR(MATCH(3,'Risk Register'!$AA$6:$AA$74,0),0)</f>
        <v>43</v>
      </c>
    </row>
    <row r="15" ht="44" customHeight="1">
      <c r="A15" s="40" t="inlineStr">
        <is>
          <t>Priority 4</t>
        </is>
      </c>
      <c r="C15" s="42" t="str">
        <f>IF($J$15=0,"",IF(INDEX('Risk Register'!$N$6:$N$74,$J$15)&lt;3,"",INDEX('Risk Register'!$O$6:$O$74,$J$15)&amp;" priority | "&amp;INDEX('Risk Register'!$M$6:$M$74,$J$15)&amp;" risk | "&amp;INDEX('Risk Register'!$P$6:$P$74,$J$15)))</f>
        <v>High priority | Unverified risk | Verify: confirm super reaches the fund</v>
      </c>
      <c r="J15">
        <f>IFERROR(MATCH(4,'Risk Register'!$AA$6:$AA$74,0),0)</f>
        <v>4</v>
      </c>
    </row>
    <row r="16" ht="44" customHeight="1">
      <c r="A16" s="43" t="inlineStr">
        <is>
          <t>Priority 5</t>
        </is>
      </c>
      <c r="C16" s="45" t="str">
        <f>IF($J$16=0,"",IF(INDEX('Risk Register'!$N$6:$N$74,$J$16)&lt;3,"",INDEX('Risk Register'!$O$6:$O$74,$J$16)&amp;" priority | "&amp;INDEX('Risk Register'!$M$6:$M$74,$J$16)&amp;" risk | "&amp;INDEX('Risk Register'!$P$6:$P$74,$J$16)))</f>
        <v/>
      </c>
      <c r="J16">
        <f>IFERROR(MATCH(5,'Risk Register'!$AA$6:$AA$74,0),0)</f>
        <v>1</v>
      </c>
    </row>
    <row r="17" ht="44" customHeight="1">
      <c r="A17" s="40" t="inlineStr">
        <is>
          <t>Priority 6</t>
        </is>
      </c>
      <c r="C17" s="42" t="str">
        <f>IF($J$17=0,"",IF(INDEX('Risk Register'!$N$6:$N$74,$J$17)&lt;3,"",INDEX('Risk Register'!$O$6:$O$74,$J$17)&amp;" priority | "&amp;INDEX('Risk Register'!$M$6:$M$74,$J$17)&amp;" risk | "&amp;INDEX('Risk Register'!$P$6:$P$74,$J$17)))</f>
        <v/>
      </c>
      <c r="J17">
        <f>IFERROR(MATCH(6,'Risk Register'!$AA$6:$AA$74,0),0)</f>
        <v>3</v>
      </c>
    </row>
    <row r="18" ht="44" customHeight="1">
      <c r="A18" s="43" t="inlineStr">
        <is>
          <t>Priority 7</t>
        </is>
      </c>
      <c r="C18" s="45" t="str">
        <f>IF($J$18=0,"",IF(INDEX('Risk Register'!$N$6:$N$74,$J$18)&lt;3,"",INDEX('Risk Register'!$O$6:$O$74,$J$18)&amp;" priority | "&amp;INDEX('Risk Register'!$M$6:$M$74,$J$18)&amp;" risk | "&amp;INDEX('Risk Register'!$P$6:$P$74,$J$18)))</f>
        <v/>
      </c>
      <c r="J18">
        <f>IFERROR(MATCH(7,'Risk Register'!$AA$6:$AA$74,0),0)</f>
        <v>6</v>
      </c>
    </row>
    <row r="19" ht="44" customHeight="1">
      <c r="A19" s="40" t="inlineStr">
        <is>
          <t>Priority 8</t>
        </is>
      </c>
      <c r="C19" s="42" t="str">
        <f>IF($J$19=0,"",IF(INDEX('Risk Register'!$N$6:$N$74,$J$19)&lt;3,"",INDEX('Risk Register'!$O$6:$O$74,$J$19)&amp;" priority | "&amp;INDEX('Risk Register'!$M$6:$M$74,$J$19)&amp;" risk | "&amp;INDEX('Risk Register'!$P$6:$P$74,$J$19)))</f>
        <v/>
      </c>
      <c r="J19">
        <f>IFERROR(MATCH(8,'Risk Register'!$AA$6:$AA$74,0),0)</f>
        <v>8</v>
      </c>
    </row>
    <row r="20"/>
    <row r="21" ht="50" customHeight="1">
      <c r="A21" s="40" t="inlineStr">
        <is>
          <t>Alert coverage</t>
        </is>
      </c>
      <c r="C21" s="42" t="str">
        <f>IF(COUNTIF('Risk Register'!$N$6:$N$74,"&gt;=3")&gt;8,COUNTIF('Risk Register'!$N$6:$N$74,"&gt;=3")-8&amp;" additional priority alerts are in Risk Register. This preview does not remove them.","Every Critical / High-priority alert in this example is shown above. The complete register also contains other improvements and maintenance.")</f>
        <v>Every Critical / High-priority alert in this example is shown above. The complete register also contains other improvements and maintenance.</v>
      </c>
    </row>
    <row r="22"/>
    <row r="23" ht="32" customHeight="1">
      <c r="A23" s="46" t="inlineStr">
        <is>
          <t>Start with these workstreams</t>
        </is>
      </c>
    </row>
    <row r="24" ht="62" customHeight="1">
      <c r="A24" s="43" t="inlineStr">
        <is>
          <t>How to use the plan</t>
        </is>
      </c>
      <c r="C24" s="45" t="inlineStr">
        <is>
          <t>Choose an owner for each workstream. The lead finding is shown below; keep related findings as separate tasks within it. Complete urgent or legally required action before routine improvements. Suggested targets are not legal grace periods.</t>
        </is>
      </c>
    </row>
    <row r="25"/>
    <row r="26" ht="32" customHeight="1">
      <c r="A26" s="39" t="inlineStr">
        <is>
          <t>Workstream 1</t>
        </is>
      </c>
      <c r="J26">
        <f>IFERROR(MATCH(1,'Risk Register'!$AH$6:$AH$74,0),0)</f>
        <v>2</v>
      </c>
    </row>
    <row r="27" ht="54" customHeight="1">
      <c r="A27" s="40" t="inlineStr">
        <is>
          <t>Lead finding</t>
        </is>
      </c>
      <c r="C27" s="42" t="str">
        <f>IF($J$26=0,"No further active workstream in this example",INDEX('Risk Register'!$P$6:$P$74,$J$26))</f>
        <v>Test the payroll result, not just the base rate</v>
      </c>
    </row>
    <row r="28" ht="46" customHeight="1">
      <c r="A28" s="43" t="inlineStr">
        <is>
          <t>Risk / priority</t>
        </is>
      </c>
      <c r="C28" s="45" t="str">
        <f>IF($J$26=0,"",INDEX('Risk Register'!$M$6:$M$74,$J$26)&amp;" provisional risk; "&amp;INDEX('Risk Register'!$O$6:$O$74,$J$26)&amp;" action priority. Basis: "&amp;INDEX('Risk Register'!$K$6:$K$74,$J$26))</f>
        <v>High provisional risk; High action priority. Basis: Self-report only</v>
      </c>
    </row>
    <row r="29" ht="65" customHeight="1">
      <c r="A29" s="40" t="inlineStr">
        <is>
          <t>Why it matters</t>
        </is>
      </c>
      <c r="C29" s="42" t="str">
        <f>IF($J$26=0,"No further active workstream in this example",INDEX('Risk Register'!$Q$6:$Q$74,$J$26))</f>
        <v>An unchecked pay rule can repeat across pay periods and employees. The initial gap is lack of assurance, not proof of an underpayment.</v>
      </c>
    </row>
    <row r="30" ht="95" customHeight="1">
      <c r="A30" s="43" t="inlineStr">
        <is>
          <t>Do first</t>
        </is>
      </c>
      <c r="C30" s="45" t="str">
        <f>IF($J$26=0,"No further active workstream in this example",INDEX('Risk Register'!$R$6:$R$74,$J$26))</f>
        <v>Replace the assumption with a current check. Select representative ordinary and exception pay periods and obtain the actual work records, applicable rules and payslips. Define the arrangements being checked before calculating any difference.</v>
      </c>
    </row>
    <row r="31" ht="123" customHeight="1">
      <c r="A31" s="40" t="inlineStr">
        <is>
          <t>Then</t>
        </is>
      </c>
      <c r="C31" s="42" t="str">
        <f>IF($J$26=0,"No further active workstream in this example",INDEX('Risk Register'!$S$6:$S$74,$J$26))</f>
        <v>1. Recalculate selected ordinary and exception pay periods using actual work records. Record differences by entitlement, period and affected arrangement.
2. Investigate the cause of each difference, extend the review where appropriate and test the next affected pay run after correction.</v>
      </c>
    </row>
    <row r="32" ht="38" customHeight="1">
      <c r="A32" s="43" t="inlineStr">
        <is>
          <t>Who owns it</t>
        </is>
      </c>
      <c r="C32" s="45" t="str">
        <f>IF($J$26=0,"No further active workstream in this example",INDEX('Risk Register'!$V$6:$V$74,$J$26))</f>
        <v>Payroll lead / owner</v>
      </c>
    </row>
    <row r="33" ht="75" customHeight="1">
      <c r="A33" s="40" t="inlineStr">
        <is>
          <t>When to act</t>
        </is>
      </c>
      <c r="C33" s="42" t="str">
        <f>IF($J$26=0,"No further active workstream in this example",INDEX('Risk Register'!$W$6:$W$74,$J$26))</f>
        <v>Review or verify within 2 business days, or before an earlier duty/event. Do not wait where harm or law requires immediate action.</v>
      </c>
    </row>
    <row r="34" ht="100" customHeight="1">
      <c r="A34" s="43" t="inlineStr">
        <is>
          <t>Finished means</t>
        </is>
      </c>
      <c r="C34" s="45" t="str">
        <f>IF($J$26=0,"No further active workstream in this example",INDEX('Risk Register'!$U$6:$U$74,$J$26))</f>
        <v>A dated pay-check record for each materially different pay arrangement, with discrepancies investigated, required corrections completed and the next affected pay run checked. Keep any unresolved scope or payment issue open. Confirm that the change works in practice, not only that a document exists.</v>
      </c>
    </row>
    <row r="35" ht="64" customHeight="1">
      <c r="A35" s="40" t="inlineStr">
        <is>
          <t>You reported</t>
        </is>
      </c>
      <c r="C35" s="42" t="str">
        <f>IF($J$26=0,"",INDEX('Answer Outcomes'!$D$6:$D$350,INDEX('Risk Register'!$AF$6:$AF$74,$J$26)))</f>
        <v>We assume our software, payroll provider or above-award rates make the payments correct.</v>
      </c>
    </row>
    <row r="36" ht="56" customHeight="1">
      <c r="A36" s="43" t="inlineStr">
        <is>
          <t>Related findings</t>
        </is>
      </c>
      <c r="C36" s="45" t="str">
        <f>IF($J$26=0,"",INDEX('Risk Register'!$X$6:$X$74,$J$26)&amp;": "&amp;COUNTIFS('Risk Register'!$X$6:$X$74,INDEX('Risk Register'!$X$6:$X$74,$J$26),'Risk Register'!$N$6:$N$74,"&gt;1")&amp;" active item(s) in this family. Use Risk Register to retain every child action and exception.")</f>
        <v>PAY_ASSURANCE: 1 active item(s) in this family. Use Risk Register to retain every child action and exception.</v>
      </c>
    </row>
    <row r="37" ht="45" customHeight="1">
      <c r="A37" s="40" t="inlineStr">
        <is>
          <t>Check again</t>
        </is>
      </c>
      <c r="C37" s="42" t="str">
        <f>IF($J$26=0,"No further active workstream in this example",INDEX('Risk Register'!$AC$6:$AC$74,$J$26))</f>
        <v>A pay-rule change, payroll migration, discrepancy or new work pattern.</v>
      </c>
    </row>
    <row r="38" ht="13" customHeight="1"/>
    <row r="39" ht="32" customHeight="1">
      <c r="A39" s="39" t="inlineStr">
        <is>
          <t>Workstream 2</t>
        </is>
      </c>
      <c r="J39">
        <f>IFERROR(MATCH(2,'Risk Register'!$AH$6:$AH$74,0),0)</f>
        <v>29</v>
      </c>
    </row>
    <row r="40" ht="54" customHeight="1">
      <c r="A40" s="43" t="inlineStr">
        <is>
          <t>Lead finding</t>
        </is>
      </c>
      <c r="C40" s="45" t="str">
        <f>IF($J$39=0,"No further active workstream in this example",INDEX('Risk Register'!$P$6:$P$74,$J$39))</f>
        <v>Reduce reliance on one person</v>
      </c>
    </row>
    <row r="41" ht="46" customHeight="1">
      <c r="A41" s="40" t="inlineStr">
        <is>
          <t>Risk / priority</t>
        </is>
      </c>
      <c r="C41" s="42" t="str">
        <f>IF($J$39=0,"",INDEX('Risk Register'!$M$6:$M$74,$J$39)&amp;" provisional risk; "&amp;INDEX('Risk Register'!$O$6:$O$74,$J$39)&amp;" action priority. Basis: "&amp;INDEX('Risk Register'!$K$6:$K$74,$J$39))</f>
        <v>High provisional risk; High action priority. Basis: Self-report only</v>
      </c>
    </row>
    <row r="42" ht="65" customHeight="1">
      <c r="A42" s="43" t="inlineStr">
        <is>
          <t>Why it matters</t>
        </is>
      </c>
      <c r="C42" s="45" t="str">
        <f>IF($J$39=0,"No further active workstream in this example",INDEX('Risk Register'!$Q$6:$Q$74,$J$39))</f>
        <v>If essential work depends on one unavailable person, payroll, client delivery or approvals can stop even when the rest of the team is capable.</v>
      </c>
    </row>
    <row r="43" ht="95" customHeight="1">
      <c r="A43" s="40" t="inlineStr">
        <is>
          <t>Do first</t>
        </is>
      </c>
      <c r="C43" s="42" t="str">
        <f>IF($J$39=0,"No further active workstream in this example",INDEX('Risk Register'!$R$6:$R$74,$J$39))</f>
        <v>Replace the assumption with a current check. Choose one business-critical task with no tested backup. Document the essentials and have the nominated backup perform a supervised run-through.</v>
      </c>
    </row>
    <row r="44" ht="123" customHeight="1">
      <c r="A44" s="43" t="inlineStr">
        <is>
          <t>Then</t>
        </is>
      </c>
      <c r="C44" s="45" t="str">
        <f>IF($J$39=0,"No further active workstream in this example",INDEX('Risk Register'!$S$6:$S$74,$J$39))</f>
        <v>1. Name a capable backup or external alternative and prepare secure, usable instructions for the critical task.
2. Test the backup without relying on the usual person. Record what failed and retest it.</v>
      </c>
    </row>
    <row r="45" ht="38" customHeight="1">
      <c r="A45" s="40" t="inlineStr">
        <is>
          <t>Who owns it</t>
        </is>
      </c>
      <c r="C45" s="42" t="str">
        <f>IF($J$39=0,"No further active workstream in this example",INDEX('Risk Register'!$V$6:$V$74,$J$39))</f>
        <v>Owner / people manager</v>
      </c>
    </row>
    <row r="46" ht="75" customHeight="1">
      <c r="A46" s="43" t="inlineStr">
        <is>
          <t>When to act</t>
        </is>
      </c>
      <c r="C46" s="45" t="str">
        <f>IF($J$39=0,"No further active workstream in this example",INDEX('Risk Register'!$W$6:$W$74,$J$39))</f>
        <v>Review or verify within 2 business days, or before an earlier duty/event. Do not wait where harm or law requires immediate action.</v>
      </c>
    </row>
    <row r="47" ht="100" customHeight="1">
      <c r="A47" s="40" t="inlineStr">
        <is>
          <t>Finished means</t>
        </is>
      </c>
      <c r="C47" s="42" t="str">
        <f>IF($J$39=0,"No further active workstream in this example",INDEX('Risk Register'!$U$6:$U$74,$J$39))</f>
        <v>A tested cover arrangement for priority tasks, including secure access and authorisations. Confirm that the change works in practice, not only that a document exists.</v>
      </c>
    </row>
    <row r="48" ht="64" customHeight="1">
      <c r="A48" s="43" t="inlineStr">
        <is>
          <t>You reported</t>
        </is>
      </c>
      <c r="C48" s="45" t="str">
        <f>IF($J$39=0,"",INDEX('Answer Outcomes'!$D$6:$D$350,INDEX('Risk Register'!$AF$6:$AF$74,$J$39)))</f>
        <v>We rely on that person explaining the work if they become unavailable.</v>
      </c>
    </row>
    <row r="49" ht="56" customHeight="1">
      <c r="A49" s="40" t="inlineStr">
        <is>
          <t>Related findings</t>
        </is>
      </c>
      <c r="C49" s="42" t="str">
        <f>IF($J$39=0,"",INDEX('Risk Register'!$X$6:$X$74,$J$39)&amp;": "&amp;COUNTIFS('Risk Register'!$X$6:$X$74,INDEX('Risk Register'!$X$6:$X$74,$J$39),'Risk Register'!$N$6:$N$74,"&gt;1")&amp;" active item(s) in this family. Use Risk Register to retain every child action and exception.")</f>
        <v>CAPABILITY: 1 active item(s) in this family. Use Risk Register to retain every child action and exception.</v>
      </c>
    </row>
    <row r="50" ht="45" customHeight="1">
      <c r="A50" s="43" t="inlineStr">
        <is>
          <t>Check again</t>
        </is>
      </c>
      <c r="C50" s="45" t="str">
        <f>IF($J$39=0,"No further active workstream in this example",INDEX('Risk Register'!$AC$6:$AC$74,$J$39))</f>
        <v>Key leave, resignation, changed systems or a failed continuity test.</v>
      </c>
    </row>
    <row r="51" ht="13" customHeight="1"/>
    <row r="52" ht="32" customHeight="1">
      <c r="A52" s="39" t="inlineStr">
        <is>
          <t>Workstream 3</t>
        </is>
      </c>
      <c r="J52">
        <f>IFERROR(MATCH(3,'Risk Register'!$AH$6:$AH$74,0),0)</f>
        <v>43</v>
      </c>
    </row>
    <row r="53" ht="54" customHeight="1">
      <c r="A53" s="40" t="inlineStr">
        <is>
          <t>Lead finding</t>
        </is>
      </c>
      <c r="C53" s="42" t="str">
        <f>IF($J$52=0,"No further active workstream in this example",INDEX('Risk Register'!$P$6:$P$74,$J$52))</f>
        <v>Make the reporting route work when power is involved</v>
      </c>
    </row>
    <row r="54" ht="46" customHeight="1">
      <c r="A54" s="43" t="inlineStr">
        <is>
          <t>Risk / priority</t>
        </is>
      </c>
      <c r="C54" s="45" t="str">
        <f>IF($J$52=0,"",INDEX('Risk Register'!$M$6:$M$74,$J$52)&amp;" provisional risk; "&amp;INDEX('Risk Register'!$O$6:$O$74,$J$52)&amp;" action priority. Basis: "&amp;INDEX('Risk Register'!$K$6:$K$74,$J$52))</f>
        <v>High provisional risk; High action priority. Basis: Self-report only</v>
      </c>
    </row>
    <row r="55" ht="65" customHeight="1">
      <c r="A55" s="40" t="inlineStr">
        <is>
          <t>Why it matters</t>
        </is>
      </c>
      <c r="C55" s="42" t="str">
        <f>IF($J$52=0,"No further active workstream in this example",INDEX('Risk Register'!$Q$6:$Q$74,$J$52))</f>
        <v>A reporting route can fail precisely when the concern involves the person controlling it, leaving the business without a credible way to hear and address the issue.</v>
      </c>
    </row>
    <row r="56" ht="95" customHeight="1">
      <c r="A56" s="43" t="inlineStr">
        <is>
          <t>Do first</t>
        </is>
      </c>
      <c r="C56" s="45" t="str">
        <f>IF($J$52=0,"No further active workstream in this example",INDEX('Risk Register'!$R$6:$R$74,$J$52))</f>
        <v>Identify who could receive a concern when the owner, manager or usual contact is involved, and whether that person has the authority and independence needed to arrange an appropriate response.</v>
      </c>
    </row>
    <row r="57" ht="123" customHeight="1">
      <c r="A57" s="40" t="inlineStr">
        <is>
          <t>Then</t>
        </is>
      </c>
      <c r="C57" s="42" t="str">
        <f>IF($J$52=0,"No further active workstream in this example",INDEX('Risk Register'!$S$6:$S$74,$J$52))</f>
        <v>1. Name an alternative recipient without a relevant conflict and document escalation, confidentiality boundaries and protection from retaliation.
2. Explain the route to staff, test a fictional owner-related concern and check that the recipient can arrange an appropriate response.</v>
      </c>
    </row>
    <row r="58" ht="38" customHeight="1">
      <c r="A58" s="43" t="inlineStr">
        <is>
          <t>Who owns it</t>
        </is>
      </c>
      <c r="C58" s="45" t="str">
        <f>IF($J$52=0,"No further active workstream in this example",INDEX('Risk Register'!$V$6:$V$74,$J$52))</f>
        <v>Business leader / safety lead</v>
      </c>
    </row>
    <row r="59" ht="75" customHeight="1">
      <c r="A59" s="40" t="inlineStr">
        <is>
          <t>When to act</t>
        </is>
      </c>
      <c r="C59" s="42" t="str">
        <f>IF($J$52=0,"No further active workstream in this example",INDEX('Risk Register'!$W$6:$W$74,$J$52))</f>
        <v>Review or verify within 2 business days, or before an earlier duty/event. Do not wait where harm or law requires immediate action.</v>
      </c>
    </row>
    <row r="60" ht="100" customHeight="1">
      <c r="A60" s="43" t="inlineStr">
        <is>
          <t>Finished means</t>
        </is>
      </c>
      <c r="C60" s="45" t="str">
        <f>IF($J$52=0,"No further active workstream in this example",INDEX('Risk Register'!$U$6:$U$74,$J$52))</f>
        <v>Staff can identify and use a credible alternative route when the normal contact is involved, the recipient can arrange an appropriate response, and confidentiality and protection-from-retaliation safeguards have been tested. Confirm that the change works in practice, not only that a document exists.</v>
      </c>
    </row>
    <row r="61" ht="64" customHeight="1">
      <c r="A61" s="40" t="inlineStr">
        <is>
          <t>You reported</t>
        </is>
      </c>
      <c r="C61" s="42" t="str">
        <f>IF($J$52=0,"",INDEX('Answer Outcomes'!$D$6:$D$350,INDEX('Risk Register'!$AF$6:$AF$74,$J$52)))</f>
        <v>There is no credible route for that situation.</v>
      </c>
    </row>
    <row r="62" ht="56" customHeight="1">
      <c r="A62" s="43" t="inlineStr">
        <is>
          <t>Related findings</t>
        </is>
      </c>
      <c r="C62" s="45" t="str">
        <f>IF($J$52=0,"",INDEX('Risk Register'!$X$6:$X$74,$J$52)&amp;": "&amp;COUNTIFS('Risk Register'!$X$6:$X$74,INDEX('Risk Register'!$X$6:$X$74,$J$52),'Risk Register'!$N$6:$N$74,"&gt;1")&amp;" active item(s) in this family. Use Risk Register to retain every child action and exception.")</f>
        <v>RESPECT: 1 active item(s) in this family. Use Risk Register to retain every child action and exception.</v>
      </c>
    </row>
    <row r="63" ht="45" customHeight="1">
      <c r="A63" s="40" t="inlineStr">
        <is>
          <t>Check again</t>
        </is>
      </c>
      <c r="C63" s="42" t="str">
        <f>IF($J$52=0,"No further active workstream in this example",INDEX('Risk Register'!$AC$6:$AC$74,$J$52))</f>
        <v>Changed ownership or reporting contacts, a conflict or concern about retaliation.</v>
      </c>
    </row>
    <row r="64" ht="13" customHeight="1"/>
    <row r="65"/>
    <row r="66" ht="32" customHeight="1">
      <c r="A66" s="46" t="inlineStr">
        <is>
          <t>No priority finding is removed by the short list</t>
        </is>
      </c>
    </row>
    <row r="67" ht="45" customHeight="1">
      <c r="A67" s="40" t="inlineStr">
        <is>
          <t>Full risk register</t>
        </is>
      </c>
      <c r="C67" s="47" t="inlineStr">
        <is>
          <t>Open the complete Risk Register, including every Critical / High action and verification task.</t>
        </is>
      </c>
    </row>
    <row r="68" ht="66" customHeight="1">
      <c r="A68" s="43" t="inlineStr">
        <is>
          <t>Completion safeguard</t>
        </is>
      </c>
      <c r="C68" s="45" t="inlineStr">
        <is>
          <t>Creating a policy, booking training or marking a task complete does not automatically lower a risk. Check that the change is implemented and works, preserve the earlier finding, then reassess.</t>
        </is>
      </c>
    </row>
    <row r="69" ht="65" customHeight="1">
      <c r="A69" s="40" t="inlineStr">
        <is>
          <t>Independent value</t>
        </is>
      </c>
      <c r="C69" s="42" t="inlineStr">
        <is>
          <t>The reasons, steps and completion evidence are available without a further purchase. DreamStoneHR support is an option for interpretation, specialist checks or implementation, not a condition of using the plan.</t>
        </is>
      </c>
    </row>
    <row r="70" ht="72" customHeight="1">
      <c r="A70" s="43" t="inlineStr">
        <is>
          <t>Scope and limitations</t>
        </is>
      </c>
      <c r="C70" s="45" t="inlineStr">
        <is>
          <t>This is a build-stage illustration, not a full rendered customer report. The implemented report must also show the selected responses, applicable scope, all High/Critical alerts, all unresolved questions, source links and any relevant actual dates.</t>
        </is>
      </c>
    </row>
  </sheetData>
  <mergeCells count="112">
    <mergeCell ref="A15:B15"/>
    <mergeCell ref="C55:H55"/>
    <mergeCell ref="C9:H9"/>
    <mergeCell ref="A2:H3"/>
    <mergeCell ref="A70:B70"/>
    <mergeCell ref="C59:H59"/>
    <mergeCell ref="C46:H46"/>
    <mergeCell ref="A54:B54"/>
    <mergeCell ref="A7:B7"/>
    <mergeCell ref="A41:B41"/>
    <mergeCell ref="C61:H61"/>
    <mergeCell ref="A66:H66"/>
    <mergeCell ref="C48:H48"/>
    <mergeCell ref="A56:B56"/>
    <mergeCell ref="A27:B27"/>
    <mergeCell ref="C32:H32"/>
    <mergeCell ref="C13:H13"/>
    <mergeCell ref="A33:B33"/>
    <mergeCell ref="A42:B42"/>
    <mergeCell ref="A17:B17"/>
    <mergeCell ref="A53:B53"/>
    <mergeCell ref="C15:H15"/>
    <mergeCell ref="A35:B35"/>
    <mergeCell ref="A62:B62"/>
    <mergeCell ref="C24:H24"/>
    <mergeCell ref="A19:B19"/>
    <mergeCell ref="A68:B68"/>
    <mergeCell ref="A28:B28"/>
    <mergeCell ref="A9:B9"/>
    <mergeCell ref="A48:B48"/>
    <mergeCell ref="C63:H63"/>
    <mergeCell ref="A30:B30"/>
    <mergeCell ref="C16:H16"/>
    <mergeCell ref="C41:H41"/>
    <mergeCell ref="C50:H50"/>
    <mergeCell ref="A59:B59"/>
    <mergeCell ref="A45:B45"/>
    <mergeCell ref="C43:H43"/>
    <mergeCell ref="A61:B61"/>
    <mergeCell ref="C36:H36"/>
    <mergeCell ref="A37:B37"/>
    <mergeCell ref="A46:B46"/>
    <mergeCell ref="C67:H67"/>
    <mergeCell ref="C19:H19"/>
    <mergeCell ref="C28:H28"/>
    <mergeCell ref="C37:H37"/>
    <mergeCell ref="C69:H69"/>
    <mergeCell ref="A8:B8"/>
    <mergeCell ref="C30:H30"/>
    <mergeCell ref="C6:H6"/>
    <mergeCell ref="C62:H62"/>
    <mergeCell ref="C14:H14"/>
    <mergeCell ref="A63:B63"/>
    <mergeCell ref="A34:B34"/>
    <mergeCell ref="C54:H54"/>
    <mergeCell ref="C40:H40"/>
    <mergeCell ref="A49:B49"/>
    <mergeCell ref="A36:B36"/>
    <mergeCell ref="C56:H56"/>
    <mergeCell ref="A69:B69"/>
    <mergeCell ref="C27:H27"/>
    <mergeCell ref="C8:H8"/>
    <mergeCell ref="C17:H17"/>
    <mergeCell ref="A55:B55"/>
    <mergeCell ref="A12:B12"/>
    <mergeCell ref="A21:B21"/>
    <mergeCell ref="A26:H26"/>
    <mergeCell ref="C57:H57"/>
    <mergeCell ref="A57:B57"/>
    <mergeCell ref="C53:H53"/>
    <mergeCell ref="A5:B5"/>
    <mergeCell ref="A32:B32"/>
    <mergeCell ref="A14:B14"/>
    <mergeCell ref="C34:H34"/>
    <mergeCell ref="C68:H68"/>
    <mergeCell ref="C58:H58"/>
    <mergeCell ref="A43:B43"/>
    <mergeCell ref="C5:H5"/>
    <mergeCell ref="C45:H45"/>
    <mergeCell ref="A40:B40"/>
    <mergeCell ref="A67:B67"/>
    <mergeCell ref="C29:H29"/>
    <mergeCell ref="A24:B24"/>
    <mergeCell ref="C47:H47"/>
    <mergeCell ref="A39:H39"/>
    <mergeCell ref="C44:H44"/>
    <mergeCell ref="A60:B60"/>
    <mergeCell ref="C31:H31"/>
    <mergeCell ref="A11:H11"/>
    <mergeCell ref="A1:H1"/>
    <mergeCell ref="C12:H12"/>
    <mergeCell ref="A6:B6"/>
    <mergeCell ref="C21:H21"/>
    <mergeCell ref="A16:B16"/>
    <mergeCell ref="C60:H60"/>
    <mergeCell ref="C70:H70"/>
    <mergeCell ref="A18:B18"/>
    <mergeCell ref="C7:H7"/>
    <mergeCell ref="A50:B50"/>
    <mergeCell ref="A47:B47"/>
    <mergeCell ref="C18:H18"/>
    <mergeCell ref="C49:H49"/>
    <mergeCell ref="A23:H23"/>
    <mergeCell ref="C33:H33"/>
    <mergeCell ref="C42:H42"/>
    <mergeCell ref="A29:B29"/>
    <mergeCell ref="A52:H52"/>
    <mergeCell ref="A13:B13"/>
    <mergeCell ref="C35:H35"/>
    <mergeCell ref="A44:B44"/>
    <mergeCell ref="A31:B31"/>
    <mergeCell ref="A58:B58"/>
  </mergeCells>
  <hyperlinks>
    <hyperlink xmlns:r="http://schemas.openxmlformats.org/officeDocument/2006/relationships" ref="C67" r:id="rId1"/>
  </hyperlinks>
  <printOptions horizontalCentered="1"/>
  <pageMargins left="0.75" right="0.75" top="1" bottom="1" header="0.5" footer="0.5"/>
  <pageSetup orientation="portrait" paperSize="9" fitToHeight="0" fitToWidth="1"/>
</worksheet>
</file>

<file path=xl/worksheets/sheet3.xml><?xml version="1.0" encoding="utf-8"?>
<worksheet xmlns="http://schemas.openxmlformats.org/spreadsheetml/2006/main">
  <sheetPr>
    <tabColor rgb="0008685F"/>
    <outlinePr summaryBelow="1" summaryRight="0"/>
    <pageSetUpPr fitToPage="1"/>
  </sheetPr>
  <dimension ref="A1:R74"/>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0" customWidth="1" min="2" max="2"/>
    <col width="29" customWidth="1" min="3" max="3"/>
    <col width="66" customWidth="1" min="4" max="4"/>
    <col width="19" customWidth="1" min="5" max="5"/>
    <col width="10" customWidth="1" min="6" max="6"/>
    <col width="12" customWidth="1" min="7" max="7"/>
    <col width="24" customWidth="1" min="8" max="8"/>
    <col width="79" customWidth="1" min="9" max="9"/>
    <col width="16" customWidth="1" min="10" max="10"/>
    <col width="16" customWidth="1" min="11" max="11"/>
    <col width="24" customWidth="1" min="12" max="12"/>
    <col width="16" customWidth="1" min="13" max="13"/>
    <col width="60" customWidth="1" min="14" max="14"/>
    <col width="28" customWidth="1" min="15" max="15"/>
    <col width="15" customWidth="1" min="16" max="16"/>
    <col width="15" customWidth="1" min="17" max="17"/>
    <col width="44" customWidth="1" min="18" max="18"/>
  </cols>
  <sheetData>
    <row r="1" ht="38" customHeight="1">
      <c r="A1" s="33" t="inlineStr">
        <is>
          <t>Question library | retained core, targeted additions</t>
        </is>
      </c>
    </row>
    <row r="2" ht="42" customHeight="1">
      <c r="A2" s="34" t="inlineStr">
        <is>
          <t>44 core questions and 25 conditional questions. Stable IDs retain traceability. Risk consequence is a proposed design judgement, separate from question weight and actual likelihood.</t>
        </is>
      </c>
    </row>
    <row r="3" ht="22" customHeight="1">
      <c r="A3" s="35" t="inlineStr">
        <is>
          <t>DREAMSTONEHR | PROPOSED V3.0 | 10 OCTOBER 2026</t>
        </is>
      </c>
    </row>
    <row r="4" ht="12" customHeight="1"/>
    <row r="5" ht="43" customHeight="1">
      <c r="A5" s="36" t="inlineStr">
        <is>
          <t>Question ID</t>
        </is>
      </c>
      <c r="B5" s="36" t="inlineStr">
        <is>
          <t>Domain</t>
        </is>
      </c>
      <c r="C5" s="36" t="inlineStr">
        <is>
          <t>Category</t>
        </is>
      </c>
      <c r="D5" s="36" t="inlineStr">
        <is>
          <t>Question</t>
        </is>
      </c>
      <c r="E5" s="36" t="inlineStr">
        <is>
          <t>Route</t>
        </is>
      </c>
      <c r="F5" s="36" t="inlineStr">
        <is>
          <t>Weight</t>
        </is>
      </c>
      <c r="G5" s="36" t="inlineStr">
        <is>
          <t>Critical flag</t>
        </is>
      </c>
      <c r="H5" s="36" t="inlineStr">
        <is>
          <t>Answer model</t>
        </is>
      </c>
      <c r="I5" s="36" t="inlineStr">
        <is>
          <t>Optional help / interpretation</t>
        </is>
      </c>
      <c r="J5" s="36" t="inlineStr">
        <is>
          <t>Original IDs</t>
        </is>
      </c>
      <c r="K5" s="36" t="inlineStr">
        <is>
          <t>Action ID</t>
        </is>
      </c>
      <c r="L5" s="36" t="inlineStr">
        <is>
          <t>Action family</t>
        </is>
      </c>
      <c r="M5" s="36" t="inlineStr">
        <is>
          <t>Source IDs</t>
        </is>
      </c>
      <c r="N5" s="36" t="inlineStr">
        <is>
          <t>Primary source URLs</t>
        </is>
      </c>
      <c r="O5" s="36" t="inlineStr">
        <is>
          <t>Risk type</t>
        </is>
      </c>
      <c r="P5" s="36" t="inlineStr">
        <is>
          <t>Potential consequence class</t>
        </is>
      </c>
      <c r="Q5" s="36" t="inlineStr">
        <is>
          <t>Partial answer remains High?</t>
        </is>
      </c>
      <c r="R5" s="36" t="inlineStr">
        <is>
          <t>Version note</t>
        </is>
      </c>
    </row>
    <row r="6" ht="76" customHeight="1">
      <c r="A6" s="37" t="inlineStr">
        <is>
          <t>PAY01</t>
        </is>
      </c>
      <c r="B6" s="37" t="inlineStr">
        <is>
          <t>PAY</t>
        </is>
      </c>
      <c r="C6" s="37" t="inlineStr">
        <is>
          <t>Pay &amp; Entitlements</t>
        </is>
      </c>
      <c r="D6" s="37" t="inlineStr">
        <is>
          <t>How has your business established which employment rules and classifications apply to each role?</t>
        </is>
      </c>
      <c r="E6" s="37" t="inlineStr">
        <is>
          <t>ALL</t>
        </is>
      </c>
      <c r="F6" s="48" t="n">
        <v>3</v>
      </c>
      <c r="G6" s="37" t="inlineStr">
        <is>
          <t>Yes</t>
        </is>
      </c>
      <c r="H6" s="37" t="inlineStr">
        <is>
          <t>Single choice: 0-3 / DK</t>
        </is>
      </c>
      <c r="I6" s="37" t="inlineStr">
        <is>
          <t>Think about the applicable employment system, award or enterprise agreement, and actual duties. A job title or an above-award salary is not enough to decide coverage.</t>
        </is>
      </c>
      <c r="J6" s="37" t="inlineStr">
        <is>
          <t>Q01;Q03</t>
        </is>
      </c>
      <c r="K6" s="37" t="inlineStr">
        <is>
          <t>A_PAY01</t>
        </is>
      </c>
      <c r="L6" s="37" t="inlineStr">
        <is>
          <t>PAY_ASSURANCE</t>
        </is>
      </c>
      <c r="M6" s="37" t="inlineStr">
        <is>
          <t>S06;S14</t>
        </is>
      </c>
      <c r="N6" s="37" t="inlineStr">
        <is>
          <t>https://www.fairwork.gov.au/pay-and-wages/minimum-wages/annualised-salaries
https://www.fairwork.gov.au/tools-and-resources/fact-sheets/rights-and-obligations/record-keeping-pay-slips</t>
        </is>
      </c>
      <c r="O6" s="37" t="inlineStr">
        <is>
          <t>Pay and employment rights</t>
        </is>
      </c>
      <c r="P6" s="48" t="n">
        <v>3</v>
      </c>
      <c r="Q6" s="37" t="inlineStr">
        <is>
          <t>Yes</t>
        </is>
      </c>
      <c r="R6" s="37" t="inlineStr">
        <is>
          <t>Question retained; answer guidance and risk/action pathways developed in v3.</t>
        </is>
      </c>
    </row>
    <row r="7" ht="106" customHeight="1">
      <c r="A7" s="38" t="inlineStr">
        <is>
          <t>PAY02</t>
        </is>
      </c>
      <c r="B7" s="38" t="inlineStr">
        <is>
          <t>PAY</t>
        </is>
      </c>
      <c r="C7" s="38" t="inlineStr">
        <is>
          <t>Pay &amp; Entitlements</t>
        </is>
      </c>
      <c r="D7" s="38" t="inlineStr">
        <is>
          <t>How do you check that employees receive the pay and entitlements required for the work they actually perform?</t>
        </is>
      </c>
      <c r="E7" s="38" t="inlineStr">
        <is>
          <t>ALL</t>
        </is>
      </c>
      <c r="F7" s="49" t="n">
        <v>3</v>
      </c>
      <c r="G7" s="38" t="inlineStr">
        <is>
          <t>Yes</t>
        </is>
      </c>
      <c r="H7" s="38" t="inlineStr">
        <is>
          <t>Single choice: 0-3 / DK</t>
        </is>
      </c>
      <c r="I7" s="38" t="inlineStr">
        <is>
          <t>Include current rates, ordinary hours, overtime, penalties, breaks and pay frequency where relevant. Outsourced payroll can satisfy this control when the business checks its outputs.</t>
        </is>
      </c>
      <c r="J7" s="38" t="inlineStr">
        <is>
          <t>Q04;Q05;Q24;Q47</t>
        </is>
      </c>
      <c r="K7" s="38" t="inlineStr">
        <is>
          <t>A_PAY02</t>
        </is>
      </c>
      <c r="L7" s="38" t="inlineStr">
        <is>
          <t>PAY_ASSURANCE</t>
        </is>
      </c>
      <c r="M7" s="38" t="inlineStr">
        <is>
          <t>S06;S07;S14</t>
        </is>
      </c>
      <c r="N7" s="38" t="inlineStr">
        <is>
          <t>https://www.fairwork.gov.au/pay-and-wages/minimum-wages/annualised-salaries
https://www.fairwork.gov.au/newsroom/news/offsetting-and-record-keeping-salaried-employees
https://www.fairwork.gov.au/tools-and-resources/fact-sheets/rights-and-obligations/record-keeping-pay-slips</t>
        </is>
      </c>
      <c r="O7" s="38" t="inlineStr">
        <is>
          <t>Pay and employment rights</t>
        </is>
      </c>
      <c r="P7" s="49" t="n">
        <v>3</v>
      </c>
      <c r="Q7" s="38" t="inlineStr">
        <is>
          <t>Yes</t>
        </is>
      </c>
      <c r="R7" s="38" t="inlineStr">
        <is>
          <t>Question retained; answer guidance and risk/action pathways developed in v3.</t>
        </is>
      </c>
    </row>
    <row r="8" ht="196" customHeight="1">
      <c r="A8" s="37" t="inlineStr">
        <is>
          <t>PAY03</t>
        </is>
      </c>
      <c r="B8" s="37" t="inlineStr">
        <is>
          <t>PAY</t>
        </is>
      </c>
      <c r="C8" s="37" t="inlineStr">
        <is>
          <t>Pay &amp; Entitlements</t>
        </is>
      </c>
      <c r="D8" s="37" t="inlineStr">
        <is>
          <t>How are leave entitlements and payments checked when employment patterns or circumstances change?</t>
        </is>
      </c>
      <c r="E8" s="37" t="inlineStr">
        <is>
          <t>ALL</t>
        </is>
      </c>
      <c r="F8" s="48" t="n">
        <v>3</v>
      </c>
      <c r="G8" s="37" t="inlineStr">
        <is>
          <t>No</t>
        </is>
      </c>
      <c r="H8" s="37" t="inlineStr">
        <is>
          <t>Single choice: 0-3 / DK</t>
        </is>
      </c>
      <c r="I8" s="37" t="inlineStr">
        <is>
          <t>Include annual, personal/carer's, parental, compassionate and long service leave, public holidays and relevant loading. Different entitlements have different eligibility and payment rules.</t>
        </is>
      </c>
      <c r="J8" s="37" t="inlineStr">
        <is>
          <t>Q02;Q28;Q29;Q37;Q58</t>
        </is>
      </c>
      <c r="K8" s="37" t="inlineStr">
        <is>
          <t>A_PAY03</t>
        </is>
      </c>
      <c r="L8" s="37" t="inlineStr">
        <is>
          <t>LEAVE</t>
        </is>
      </c>
      <c r="M8" s="37" t="inlineStr">
        <is>
          <t>S14;S21;S28;S31;S39</t>
        </is>
      </c>
      <c r="N8" s="37"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O8" s="37" t="inlineStr">
        <is>
          <t>Pay and employment rights</t>
        </is>
      </c>
      <c r="P8" s="48" t="n">
        <v>3</v>
      </c>
      <c r="Q8" s="37" t="inlineStr">
        <is>
          <t>No</t>
        </is>
      </c>
      <c r="R8" s="37" t="inlineStr">
        <is>
          <t>Question retained; answer guidance and risk/action pathways developed in v3.</t>
        </is>
      </c>
    </row>
    <row r="9" ht="106" customHeight="1">
      <c r="A9" s="38" t="inlineStr">
        <is>
          <t>PAY04</t>
        </is>
      </c>
      <c r="B9" s="38" t="inlineStr">
        <is>
          <t>PAY</t>
        </is>
      </c>
      <c r="C9" s="38" t="inlineStr">
        <is>
          <t>Pay &amp; Entitlements</t>
        </is>
      </c>
      <c r="D9" s="38" t="inlineStr">
        <is>
          <t>How do you confirm that required superannuation contributions are calculated correctly and reach employees' funds on time?</t>
        </is>
      </c>
      <c r="E9" s="38" t="inlineStr">
        <is>
          <t>ALL</t>
        </is>
      </c>
      <c r="F9" s="49" t="n">
        <v>3</v>
      </c>
      <c r="G9" s="38" t="inlineStr">
        <is>
          <t>Yes</t>
        </is>
      </c>
      <c r="H9" s="38" t="inlineStr">
        <is>
          <t>Single choice: 0-3 / DK</t>
        </is>
      </c>
      <c r="I9" s="38" t="inlineStr">
        <is>
          <t>For earnings paid from 1 July 2026, Payday Super generally requires receipt by the fund, with allocation information, within seven business days after payday; some exceptions apply. Trace receipt rather than submission. Earlier earnings use the applicable earlier rules.</t>
        </is>
      </c>
      <c r="J9" s="38" t="inlineStr">
        <is>
          <t>NEW</t>
        </is>
      </c>
      <c r="K9" s="38" t="inlineStr">
        <is>
          <t>A_PAY04</t>
        </is>
      </c>
      <c r="L9" s="38" t="inlineStr">
        <is>
          <t>SUPER</t>
        </is>
      </c>
      <c r="M9" s="38" t="inlineStr">
        <is>
          <t>S05;S24</t>
        </is>
      </c>
      <c r="N9" s="38" t="inlineStr">
        <is>
          <t>https://www.ato.gov.au/businesses-and-organisations/super-for-employers/paying-super-on-payday/payment-deadlines-for-payday-super
https://www.ato.gov.au/businesses-and-organisations/super-for-employers/work-out-if-you-have-to-pay-super/super-for-independent-contractors</t>
        </is>
      </c>
      <c r="O9" s="38" t="inlineStr">
        <is>
          <t>Superannuation and financial exposure</t>
        </is>
      </c>
      <c r="P9" s="49" t="n">
        <v>3</v>
      </c>
      <c r="Q9" s="38" t="inlineStr">
        <is>
          <t>Yes</t>
        </is>
      </c>
      <c r="R9" s="38" t="inlineStr">
        <is>
          <t>B19 legal-test wording clarified; PAY04 timing clarified; response outcomes developed in v3.</t>
        </is>
      </c>
    </row>
    <row r="10" ht="61" customHeight="1">
      <c r="A10" s="37" t="inlineStr">
        <is>
          <t>PAY05</t>
        </is>
      </c>
      <c r="B10" s="37" t="inlineStr">
        <is>
          <t>PAY</t>
        </is>
      </c>
      <c r="C10" s="37" t="inlineStr">
        <is>
          <t>Pay &amp; Entitlements</t>
        </is>
      </c>
      <c r="D10" s="37" t="inlineStr">
        <is>
          <t>How do you check the timing and accuracy of employee payslips?</t>
        </is>
      </c>
      <c r="E10" s="37" t="inlineStr">
        <is>
          <t>ALL</t>
        </is>
      </c>
      <c r="F10" s="48" t="n">
        <v>2</v>
      </c>
      <c r="G10" s="37" t="inlineStr">
        <is>
          <t>No</t>
        </is>
      </c>
      <c r="H10" s="37" t="inlineStr">
        <is>
          <t>Single choice: 0-3 / DK</t>
        </is>
      </c>
      <c r="I10" s="37" t="inlineStr">
        <is>
          <t>Check required information for the actual pay arrangement, not whether every payslip uses the same layout. Payslips must generally be provided within one working day of payday.</t>
        </is>
      </c>
      <c r="J10" s="37" t="inlineStr">
        <is>
          <t>Q22;Q23</t>
        </is>
      </c>
      <c r="K10" s="37" t="inlineStr">
        <is>
          <t>A_PAY05</t>
        </is>
      </c>
      <c r="L10" s="37" t="inlineStr">
        <is>
          <t>PAY_ASSURANCE</t>
        </is>
      </c>
      <c r="M10" s="37" t="inlineStr">
        <is>
          <t>S14</t>
        </is>
      </c>
      <c r="N10" s="37" t="inlineStr">
        <is>
          <t>https://www.fairwork.gov.au/tools-and-resources/fact-sheets/rights-and-obligations/record-keeping-pay-slips</t>
        </is>
      </c>
      <c r="O10" s="37" t="inlineStr">
        <is>
          <t>Employment records and transparency</t>
        </is>
      </c>
      <c r="P10" s="48" t="n">
        <v>2</v>
      </c>
      <c r="Q10" s="37" t="inlineStr">
        <is>
          <t>No</t>
        </is>
      </c>
      <c r="R10" s="37" t="inlineStr">
        <is>
          <t>Question retained; answer guidance and risk/action pathways developed in v3.</t>
        </is>
      </c>
    </row>
    <row r="11" ht="91" customHeight="1">
      <c r="A11" s="38" t="inlineStr">
        <is>
          <t>PAY06</t>
        </is>
      </c>
      <c r="B11" s="38" t="inlineStr">
        <is>
          <t>PAY</t>
        </is>
      </c>
      <c r="C11" s="38" t="inlineStr">
        <is>
          <t>Pay &amp; Entitlements</t>
        </is>
      </c>
      <c r="D11" s="38" t="inlineStr">
        <is>
          <t>Could your business process paid family and domestic violence leave without exposing the employee's circumstances?</t>
        </is>
      </c>
      <c r="E11" s="38" t="inlineStr">
        <is>
          <t>ALL</t>
        </is>
      </c>
      <c r="F11" s="49" t="n">
        <v>3</v>
      </c>
      <c r="G11" s="38" t="inlineStr">
        <is>
          <t>Yes</t>
        </is>
      </c>
      <c r="H11" s="38" t="inlineStr">
        <is>
          <t>Single choice: 0-3 / DK</t>
        </is>
      </c>
      <c r="I11" s="38" t="inlineStr">
        <is>
          <t>Consider the entitlement, payment, evidence handling and payslip description. Assess the process, not whether anyone has disclosed an experience of violence.</t>
        </is>
      </c>
      <c r="J11" s="38" t="inlineStr">
        <is>
          <t>Q57</t>
        </is>
      </c>
      <c r="K11" s="38" t="inlineStr">
        <is>
          <t>A_PAY06</t>
        </is>
      </c>
      <c r="L11" s="38" t="inlineStr">
        <is>
          <t>SENSITIVE_LEAVE</t>
        </is>
      </c>
      <c r="M11" s="38" t="inlineStr">
        <is>
          <t>S21;S14</t>
        </is>
      </c>
      <c r="N11" s="38" t="inlineStr">
        <is>
          <t>https://www.fairwork.gov.au/tools-and-resources/fact-sheets/minimum-workplace-entitlements/family-and-domestic-violence-leave
https://www.fairwork.gov.au/tools-and-resources/fact-sheets/rights-and-obligations/record-keeping-pay-slips</t>
        </is>
      </c>
      <c r="O11" s="38" t="inlineStr">
        <is>
          <t>Personal safety and confidential information</t>
        </is>
      </c>
      <c r="P11" s="49" t="n">
        <v>3</v>
      </c>
      <c r="Q11" s="38" t="inlineStr">
        <is>
          <t>Yes</t>
        </is>
      </c>
      <c r="R11" s="38" t="inlineStr">
        <is>
          <t>Question retained; answer guidance and risk/action pathways developed in v3.</t>
        </is>
      </c>
    </row>
    <row r="12" ht="76" customHeight="1">
      <c r="A12" s="37" t="inlineStr">
        <is>
          <t>CON01</t>
        </is>
      </c>
      <c r="B12" s="37" t="inlineStr">
        <is>
          <t>CON</t>
        </is>
      </c>
      <c r="C12" s="37" t="inlineStr">
        <is>
          <t>Employment Contracts</t>
        </is>
      </c>
      <c r="D12" s="37" t="inlineStr">
        <is>
          <t>How reliably do your written employment terms reflect each person's current arrangement?</t>
        </is>
      </c>
      <c r="E12" s="37" t="inlineStr">
        <is>
          <t>ALL</t>
        </is>
      </c>
      <c r="F12" s="48" t="n">
        <v>2</v>
      </c>
      <c r="G12" s="37" t="inlineStr">
        <is>
          <t>No</t>
        </is>
      </c>
      <c r="H12" s="37" t="inlineStr">
        <is>
          <t>Single choice: 0-3 / DK</t>
        </is>
      </c>
      <c r="I12" s="37" t="inlineStr">
        <is>
          <t>Look for clear pay, employment type, hours and relevant terms. A longer contract or restrictive clause is not automatically a better contract.</t>
        </is>
      </c>
      <c r="J12" s="37" t="inlineStr">
        <is>
          <t>Q13;Q14</t>
        </is>
      </c>
      <c r="K12" s="37" t="inlineStr">
        <is>
          <t>A_CON01</t>
        </is>
      </c>
      <c r="L12" s="37" t="inlineStr">
        <is>
          <t>TERMS</t>
        </is>
      </c>
      <c r="M12" s="37" t="inlineStr">
        <is>
          <t>S06;S09</t>
        </is>
      </c>
      <c r="N12" s="37" t="inlineStr">
        <is>
          <t>https://www.fairwork.gov.au/pay-and-wages/minimum-wages/annualised-salaries
https://www.fairwork.gov.au/starting-employment/types-of-employees/fixed-term-contract-employees</t>
        </is>
      </c>
      <c r="O12" s="37" t="inlineStr">
        <is>
          <t>Employment clarity and disputes</t>
        </is>
      </c>
      <c r="P12" s="48" t="n">
        <v>2</v>
      </c>
      <c r="Q12" s="37" t="inlineStr">
        <is>
          <t>No</t>
        </is>
      </c>
      <c r="R12" s="37" t="inlineStr">
        <is>
          <t>Question retained; answer guidance and risk/action pathways developed in v3.</t>
        </is>
      </c>
    </row>
    <row r="13" ht="106" customHeight="1">
      <c r="A13" s="38" t="inlineStr">
        <is>
          <t>CON02</t>
        </is>
      </c>
      <c r="B13" s="38" t="inlineStr">
        <is>
          <t>CON</t>
        </is>
      </c>
      <c r="C13" s="38" t="inlineStr">
        <is>
          <t>Employment Contracts</t>
        </is>
      </c>
      <c r="D13" s="38" t="inlineStr">
        <is>
          <t>How do you check that each person's employment type reflects the arrangement in practice?</t>
        </is>
      </c>
      <c r="E13" s="38" t="inlineStr">
        <is>
          <t>ALL</t>
        </is>
      </c>
      <c r="F13" s="49" t="n">
        <v>3</v>
      </c>
      <c r="G13" s="38" t="inlineStr">
        <is>
          <t>No</t>
        </is>
      </c>
      <c r="H13" s="38" t="inlineStr">
        <is>
          <t>Single choice: 0-3 / DK</t>
        </is>
      </c>
      <c r="I13" s="38" t="inlineStr">
        <is>
          <t>Consider permanent full-time, permanent part-time, casual and fixed-term employment. Use the relevant follow-up where an arrangement needs a more specific check.</t>
        </is>
      </c>
      <c r="J13" s="38" t="inlineStr">
        <is>
          <t>Q07</t>
        </is>
      </c>
      <c r="K13" s="38" t="inlineStr">
        <is>
          <t>A_CON02</t>
        </is>
      </c>
      <c r="L13" s="38" t="inlineStr">
        <is>
          <t>TERMS</t>
        </is>
      </c>
      <c r="M13" s="38" t="inlineStr">
        <is>
          <t>S03;S09;S23</t>
        </is>
      </c>
      <c r="N13" s="38"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O13" s="38" t="inlineStr">
        <is>
          <t>Employment status and entitlements</t>
        </is>
      </c>
      <c r="P13" s="49" t="n">
        <v>3</v>
      </c>
      <c r="Q13" s="38" t="inlineStr">
        <is>
          <t>No</t>
        </is>
      </c>
      <c r="R13" s="38" t="inlineStr">
        <is>
          <t>Question retained; answer guidance and risk/action pathways developed in v3.</t>
        </is>
      </c>
    </row>
    <row r="14" ht="76" customHeight="1">
      <c r="A14" s="37" t="inlineStr">
        <is>
          <t>CON03</t>
        </is>
      </c>
      <c r="B14" s="37" t="inlineStr">
        <is>
          <t>CON</t>
        </is>
      </c>
      <c r="C14" s="37" t="inlineStr">
        <is>
          <t>Employment Contracts</t>
        </is>
      </c>
      <c r="D14" s="37" t="inlineStr">
        <is>
          <t>How are changes to employment terms authorised, communicated and recorded?</t>
        </is>
      </c>
      <c r="E14" s="37" t="inlineStr">
        <is>
          <t>ALL</t>
        </is>
      </c>
      <c r="F14" s="48" t="n">
        <v>2</v>
      </c>
      <c r="G14" s="37" t="inlineStr">
        <is>
          <t>No</t>
        </is>
      </c>
      <c r="H14" s="37" t="inlineStr">
        <is>
          <t>Single choice: 0-3 / DK</t>
        </is>
      </c>
      <c r="I14" s="37" t="inlineStr">
        <is>
          <t>Distinguish a contractual change from a routine operational instruction. Identify consent, consultation or instrument requirements before the change.</t>
        </is>
      </c>
      <c r="J14" s="37" t="inlineStr">
        <is>
          <t>Q31</t>
        </is>
      </c>
      <c r="K14" s="37" t="inlineStr">
        <is>
          <t>A_CON03</t>
        </is>
      </c>
      <c r="L14" s="37" t="inlineStr">
        <is>
          <t>TERMS</t>
        </is>
      </c>
      <c r="M14" s="37" t="inlineStr">
        <is>
          <t>S25;S14</t>
        </is>
      </c>
      <c r="N14" s="37" t="inlineStr">
        <is>
          <t>https://www.fairwork.gov.au/tools-and-resources/best-practice-guides/consultation-and-cooperation-in-the-workplace
https://www.fairwork.gov.au/tools-and-resources/fact-sheets/rights-and-obligations/record-keeping-pay-slips</t>
        </is>
      </c>
      <c r="O14" s="37" t="inlineStr">
        <is>
          <t>Change control and pay accuracy</t>
        </is>
      </c>
      <c r="P14" s="48" t="n">
        <v>2</v>
      </c>
      <c r="Q14" s="37" t="inlineStr">
        <is>
          <t>No</t>
        </is>
      </c>
      <c r="R14" s="37" t="inlineStr">
        <is>
          <t>Question retained; answer guidance and risk/action pathways developed in v3.</t>
        </is>
      </c>
    </row>
    <row r="15" ht="91" customHeight="1">
      <c r="A15" s="38" t="inlineStr">
        <is>
          <t>REC01</t>
        </is>
      </c>
      <c r="B15" s="38" t="inlineStr">
        <is>
          <t>REC</t>
        </is>
      </c>
      <c r="C15" s="38" t="inlineStr">
        <is>
          <t>Recruitment &amp; Talent</t>
        </is>
      </c>
      <c r="D15" s="38" t="inlineStr">
        <is>
          <t>Before recruiting, how clearly do you define what the role needs to achieve?</t>
        </is>
      </c>
      <c r="E15" s="38" t="inlineStr">
        <is>
          <t>ALL</t>
        </is>
      </c>
      <c r="F15" s="49" t="n">
        <v>2</v>
      </c>
      <c r="G15" s="38" t="inlineStr">
        <is>
          <t>No</t>
        </is>
      </c>
      <c r="H15" s="38" t="inlineStr">
        <is>
          <t>Single choice: 0-3 / DK</t>
        </is>
      </c>
      <c r="I15" s="38" t="inlineStr">
        <is>
          <t>A short role brief can be sufficient. Assess clarity of outcomes, essential requirements and responsibilities, not a fixed number of duties.</t>
        </is>
      </c>
      <c r="J15" s="38" t="inlineStr">
        <is>
          <t>Q09;Q10</t>
        </is>
      </c>
      <c r="K15" s="38" t="inlineStr">
        <is>
          <t>A_REC01</t>
        </is>
      </c>
      <c r="L15" s="38" t="inlineStr">
        <is>
          <t>HIRING</t>
        </is>
      </c>
      <c r="M15" s="38" t="inlineStr">
        <is>
          <t>S01;S27</t>
        </is>
      </c>
      <c r="N15" s="38" t="inlineStr">
        <is>
          <t>https://www.abs.gov.au/statistics/standards/abs-forms-design-standards/2023/general-forms-design-principles-question-structure
https://www.fairwork.gov.au/sites/default/files/migration/711/managing-underperformance-best-practice-guide.pdf</t>
        </is>
      </c>
      <c r="O15" s="38" t="inlineStr">
        <is>
          <t>Hiring quality and role clarity</t>
        </is>
      </c>
      <c r="P15" s="49" t="n">
        <v>2</v>
      </c>
      <c r="Q15" s="38" t="inlineStr">
        <is>
          <t>No</t>
        </is>
      </c>
      <c r="R15" s="38" t="inlineStr">
        <is>
          <t>Question retained; answer guidance and risk/action pathways developed in v3.</t>
        </is>
      </c>
    </row>
    <row r="16" ht="106" customHeight="1">
      <c r="A16" s="37" t="inlineStr">
        <is>
          <t>REC02</t>
        </is>
      </c>
      <c r="B16" s="37" t="inlineStr">
        <is>
          <t>REC</t>
        </is>
      </c>
      <c r="C16" s="37" t="inlineStr">
        <is>
          <t>Recruitment &amp; Talent</t>
        </is>
      </c>
      <c r="D16" s="37" t="inlineStr">
        <is>
          <t>How do you make recruitment decisions fair, consistent and explainable?</t>
        </is>
      </c>
      <c r="E16" s="37" t="inlineStr">
        <is>
          <t>ALL</t>
        </is>
      </c>
      <c r="F16" s="48" t="n">
        <v>2</v>
      </c>
      <c r="G16" s="37" t="inlineStr">
        <is>
          <t>No</t>
        </is>
      </c>
      <c r="H16" s="37" t="inlineStr">
        <is>
          <t>Single choice: 0-3 / DK</t>
        </is>
      </c>
      <c r="I16" s="37" t="inlineStr">
        <is>
          <t>Comparable criteria matter more than mechanically identical conversations. Allow appropriate adjustments and assess evidence relevant to the role. Do not collect sensitive information that is unnecessary for assessing the role requirements.</t>
        </is>
      </c>
      <c r="J16" s="37" t="inlineStr">
        <is>
          <t>Q11;Q12</t>
        </is>
      </c>
      <c r="K16" s="37" t="inlineStr">
        <is>
          <t>A_REC02</t>
        </is>
      </c>
      <c r="L16" s="37" t="inlineStr">
        <is>
          <t>HIRING</t>
        </is>
      </c>
      <c r="M16" s="37" t="inlineStr">
        <is>
          <t>S01;S15</t>
        </is>
      </c>
      <c r="N16" s="37" t="inlineStr">
        <is>
          <t>https://www.abs.gov.au/statistics/standards/abs-forms-design-standards/2023/general-forms-design-principles-question-structure
https://www.oaic.gov.au/privacy/privacy-guidance-for-organisations-and-government-agencies/organisations/employee-records-exemption</t>
        </is>
      </c>
      <c r="O16" s="37" t="inlineStr">
        <is>
          <t>Fair selection and explainable decisions</t>
        </is>
      </c>
      <c r="P16" s="48" t="n">
        <v>3</v>
      </c>
      <c r="Q16" s="37" t="inlineStr">
        <is>
          <t>No</t>
        </is>
      </c>
      <c r="R16" s="37" t="inlineStr">
        <is>
          <t>Question retained; answer guidance and risk/action pathways developed in v3.</t>
        </is>
      </c>
    </row>
    <row r="17" ht="61" customHeight="1">
      <c r="A17" s="38" t="inlineStr">
        <is>
          <t>REC03</t>
        </is>
      </c>
      <c r="B17" s="38" t="inlineStr">
        <is>
          <t>REC</t>
        </is>
      </c>
      <c r="C17" s="38" t="inlineStr">
        <is>
          <t>Recruitment &amp; Talent</t>
        </is>
      </c>
      <c r="D17" s="38" t="inlineStr">
        <is>
          <t>How accurately does the recruitment experience describe the job someone is joining?</t>
        </is>
      </c>
      <c r="E17" s="38" t="inlineStr">
        <is>
          <t>ALL</t>
        </is>
      </c>
      <c r="F17" s="49" t="n">
        <v>1</v>
      </c>
      <c r="G17" s="38" t="inlineStr">
        <is>
          <t>No</t>
        </is>
      </c>
      <c r="H17" s="38" t="inlineStr">
        <is>
          <t>Single choice: 0-3 / DK</t>
        </is>
      </c>
      <c r="I17" s="38" t="inlineStr">
        <is>
          <t>Consider the advert, interview, offer and communication. Do not score the business on whether every unsuccessful applicant receives a phone call.</t>
        </is>
      </c>
      <c r="J17" s="38" t="inlineStr">
        <is>
          <t>Q10;Q12</t>
        </is>
      </c>
      <c r="K17" s="38" t="inlineStr">
        <is>
          <t>A_REC03</t>
        </is>
      </c>
      <c r="L17" s="38" t="inlineStr">
        <is>
          <t>HIRING</t>
        </is>
      </c>
      <c r="M17" s="38" t="inlineStr">
        <is>
          <t>S01</t>
        </is>
      </c>
      <c r="N17" s="38" t="inlineStr">
        <is>
          <t>https://www.abs.gov.au/statistics/standards/abs-forms-design-standards/2023/general-forms-design-principles-question-structure</t>
        </is>
      </c>
      <c r="O17" s="38" t="inlineStr">
        <is>
          <t>Expectation management and retention</t>
        </is>
      </c>
      <c r="P17" s="49" t="n">
        <v>2</v>
      </c>
      <c r="Q17" s="38" t="inlineStr">
        <is>
          <t>No</t>
        </is>
      </c>
      <c r="R17" s="38" t="inlineStr">
        <is>
          <t>Question retained; answer guidance and risk/action pathways developed in v3.</t>
        </is>
      </c>
    </row>
    <row r="18" ht="61" customHeight="1">
      <c r="A18" s="37" t="inlineStr">
        <is>
          <t>ONB01</t>
        </is>
      </c>
      <c r="B18" s="37" t="inlineStr">
        <is>
          <t>ONB</t>
        </is>
      </c>
      <c r="C18" s="37" t="inlineStr">
        <is>
          <t>New Hires &amp; Onboarding</t>
        </is>
      </c>
      <c r="D18" s="37" t="inlineStr">
        <is>
          <t>How do you verify that each new employee has the right to perform the work in Australia?</t>
        </is>
      </c>
      <c r="E18" s="37" t="inlineStr">
        <is>
          <t>ALL</t>
        </is>
      </c>
      <c r="F18" s="48" t="n">
        <v>3</v>
      </c>
      <c r="G18" s="37" t="inlineStr">
        <is>
          <t>Yes</t>
        </is>
      </c>
      <c r="H18" s="37" t="inlineStr">
        <is>
          <t>Single choice: 0-3 / DK</t>
        </is>
      </c>
      <c r="I18" s="37" t="inlineStr">
        <is>
          <t>Use a consistent evidence-based process. Where visa conditions apply, use an appropriate consent-based check and track relevant restrictions or expiry dates.</t>
        </is>
      </c>
      <c r="J18" s="37" t="inlineStr">
        <is>
          <t>Q18</t>
        </is>
      </c>
      <c r="K18" s="37" t="inlineStr">
        <is>
          <t>A_ONB01</t>
        </is>
      </c>
      <c r="L18" s="37" t="inlineStr">
        <is>
          <t>START_SAFE</t>
        </is>
      </c>
      <c r="M18" s="37" t="inlineStr">
        <is>
          <t>S32</t>
        </is>
      </c>
      <c r="N18" s="37" t="inlineStr">
        <is>
          <t>https://immi.homeaffairs.gov.au/visa-conditions-subsite/Pages/Check-conditions-online-vevo.aspx</t>
        </is>
      </c>
      <c r="O18" s="37" t="inlineStr">
        <is>
          <t>Work authorisation</t>
        </is>
      </c>
      <c r="P18" s="48" t="n">
        <v>3</v>
      </c>
      <c r="Q18" s="37" t="inlineStr">
        <is>
          <t>Yes</t>
        </is>
      </c>
      <c r="R18" s="37" t="inlineStr">
        <is>
          <t>Question retained; answer guidance and risk/action pathways developed in v3.</t>
        </is>
      </c>
    </row>
    <row r="19" ht="106" customHeight="1">
      <c r="A19" s="38" t="inlineStr">
        <is>
          <t>ONB02</t>
        </is>
      </c>
      <c r="B19" s="38" t="inlineStr">
        <is>
          <t>ONB</t>
        </is>
      </c>
      <c r="C19" s="38" t="inlineStr">
        <is>
          <t>New Hires &amp; Onboarding</t>
        </is>
      </c>
      <c r="D19" s="38" t="inlineStr">
        <is>
          <t>How do you ensure new employees receive the required employment information statements?</t>
        </is>
      </c>
      <c r="E19" s="38" t="inlineStr">
        <is>
          <t>ALL</t>
        </is>
      </c>
      <c r="F19" s="49" t="n">
        <v>2</v>
      </c>
      <c r="G19" s="38" t="inlineStr">
        <is>
          <t>No</t>
        </is>
      </c>
      <c r="H19" s="38" t="inlineStr">
        <is>
          <t>Single choice: 0-3 / DK</t>
        </is>
      </c>
      <c r="I19" s="38" t="inlineStr">
        <is>
          <t>The Fair Work Information Statement applies to new national-system employees. Casual and fixed-term arrangements have additional statement requirements covered by follow-ups.</t>
        </is>
      </c>
      <c r="J19" s="38" t="inlineStr">
        <is>
          <t>Q15</t>
        </is>
      </c>
      <c r="K19" s="38" t="inlineStr">
        <is>
          <t>A_ONB02</t>
        </is>
      </c>
      <c r="L19" s="38" t="inlineStr">
        <is>
          <t>START_SAFE</t>
        </is>
      </c>
      <c r="M19" s="38" t="inlineStr">
        <is>
          <t>S04;S09;S14</t>
        </is>
      </c>
      <c r="N19" s="38"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O19" s="38" t="inlineStr">
        <is>
          <t>Employment information obligations</t>
        </is>
      </c>
      <c r="P19" s="49" t="n">
        <v>2</v>
      </c>
      <c r="Q19" s="38" t="inlineStr">
        <is>
          <t>No</t>
        </is>
      </c>
      <c r="R19" s="38" t="inlineStr">
        <is>
          <t>Question retained; answer guidance and risk/action pathways developed in v3.</t>
        </is>
      </c>
    </row>
    <row r="20" ht="91" customHeight="1">
      <c r="A20" s="37" t="inlineStr">
        <is>
          <t>ONB03</t>
        </is>
      </c>
      <c r="B20" s="37" t="inlineStr">
        <is>
          <t>ONB</t>
        </is>
      </c>
      <c r="C20" s="37" t="inlineStr">
        <is>
          <t>New Hires &amp; Onboarding</t>
        </is>
      </c>
      <c r="D20" s="37" t="inlineStr">
        <is>
          <t>How do you check that new starters understand how to do their work safely and successfully?</t>
        </is>
      </c>
      <c r="E20" s="37" t="inlineStr">
        <is>
          <t>ALL</t>
        </is>
      </c>
      <c r="F20" s="48" t="n">
        <v>2</v>
      </c>
      <c r="G20" s="37" t="inlineStr">
        <is>
          <t>No</t>
        </is>
      </c>
      <c r="H20" s="37" t="inlineStr">
        <is>
          <t>Single choice: 0-3 / DK</t>
        </is>
      </c>
      <c r="I20" s="37" t="inlineStr">
        <is>
          <t>Include essential role training, where to get help, behaviour expectations and reporting concerns. Completion of an online module alone does not demonstrate understanding.</t>
        </is>
      </c>
      <c r="J20" s="37" t="inlineStr">
        <is>
          <t>Q30</t>
        </is>
      </c>
      <c r="K20" s="37" t="inlineStr">
        <is>
          <t>A_ONB03</t>
        </is>
      </c>
      <c r="L20" s="37" t="inlineStr">
        <is>
          <t>START_SAFE</t>
        </is>
      </c>
      <c r="M20" s="37" t="inlineStr">
        <is>
          <t>S13;S27</t>
        </is>
      </c>
      <c r="N20" s="37" t="inlineStr">
        <is>
          <t>https://www.safeworkaustralia.gov.au/safety-topic/managing-health-and-safety/identify-assess-and-control-hazards/managing-risks
https://www.fairwork.gov.au/sites/default/files/migration/711/managing-underperformance-best-practice-guide.pdf</t>
        </is>
      </c>
      <c r="O20" s="37" t="inlineStr">
        <is>
          <t>Safe work and early capability</t>
        </is>
      </c>
      <c r="P20" s="48" t="n">
        <v>3</v>
      </c>
      <c r="Q20" s="37" t="inlineStr">
        <is>
          <t>No</t>
        </is>
      </c>
      <c r="R20" s="37" t="inlineStr">
        <is>
          <t>Question retained; answer guidance and risk/action pathways developed in v3.</t>
        </is>
      </c>
    </row>
    <row r="21" ht="166" customHeight="1">
      <c r="A21" s="38" t="inlineStr">
        <is>
          <t>POL01</t>
        </is>
      </c>
      <c r="B21" s="38" t="inlineStr">
        <is>
          <t>POL</t>
        </is>
      </c>
      <c r="C21" s="38" t="inlineStr">
        <is>
          <t>Policies &amp; Procedures</t>
        </is>
      </c>
      <c r="D21" s="38" t="inlineStr">
        <is>
          <t>How do you decide which people policies your business needs and keep them usable?</t>
        </is>
      </c>
      <c r="E21" s="38" t="inlineStr">
        <is>
          <t>ALL</t>
        </is>
      </c>
      <c r="F21" s="49" t="n">
        <v>2</v>
      </c>
      <c r="G21" s="38" t="inlineStr">
        <is>
          <t>No</t>
        </is>
      </c>
      <c r="H21" s="38" t="inlineStr">
        <is>
          <t>Single choice: 0-3 / DK</t>
        </is>
      </c>
      <c r="I21" s="38" t="inlineStr">
        <is>
          <t>A small business may use concise policies rather than a large handbook. Policies should address actual work, obligations and decisions, including use of employee information and technology.</t>
        </is>
      </c>
      <c r="J21" s="38" t="inlineStr">
        <is>
          <t>Q32</t>
        </is>
      </c>
      <c r="K21" s="38" t="inlineStr">
        <is>
          <t>A_POL01</t>
        </is>
      </c>
      <c r="L21" s="38" t="inlineStr">
        <is>
          <t>POLICY</t>
        </is>
      </c>
      <c r="M21" s="38" t="inlineStr">
        <is>
          <t>S10;S13;S15</t>
        </is>
      </c>
      <c r="N21" s="38"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O21" s="38" t="inlineStr">
        <is>
          <t>Usable workplace standards</t>
        </is>
      </c>
      <c r="P21" s="49" t="n">
        <v>2</v>
      </c>
      <c r="Q21" s="38" t="inlineStr">
        <is>
          <t>No</t>
        </is>
      </c>
      <c r="R21" s="38" t="inlineStr">
        <is>
          <t>Question retained; answer guidance and risk/action pathways developed in v3.</t>
        </is>
      </c>
    </row>
    <row r="22" ht="106" customHeight="1">
      <c r="A22" s="37" t="inlineStr">
        <is>
          <t>POL02</t>
        </is>
      </c>
      <c r="B22" s="37" t="inlineStr">
        <is>
          <t>POL</t>
        </is>
      </c>
      <c r="C22" s="37" t="inlineStr">
        <is>
          <t>Policies &amp; Procedures</t>
        </is>
      </c>
      <c r="D22" s="37" t="inlineStr">
        <is>
          <t>How do you know workplace policies are understood and applied consistently?</t>
        </is>
      </c>
      <c r="E22" s="37" t="inlineStr">
        <is>
          <t>ALL</t>
        </is>
      </c>
      <c r="F22" s="48" t="n">
        <v>2</v>
      </c>
      <c r="G22" s="37" t="inlineStr">
        <is>
          <t>No</t>
        </is>
      </c>
      <c r="H22" s="37" t="inlineStr">
        <is>
          <t>Single choice: 0-3 / DK</t>
        </is>
      </c>
      <c r="I22" s="37" t="inlineStr">
        <is>
          <t>Assess what happens in practice, including exceptions involving owners or senior employees. A signed acknowledgement is useful evidence of receipt, not proof of understanding.</t>
        </is>
      </c>
      <c r="J22" s="37" t="inlineStr">
        <is>
          <t>Q33;Q34</t>
        </is>
      </c>
      <c r="K22" s="37" t="inlineStr">
        <is>
          <t>A_POL02</t>
        </is>
      </c>
      <c r="L22" s="37" t="inlineStr">
        <is>
          <t>POLICY</t>
        </is>
      </c>
      <c r="M22" s="37" t="inlineStr">
        <is>
          <t>S10;S27</t>
        </is>
      </c>
      <c r="N22"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O22" s="37" t="inlineStr">
        <is>
          <t>Consistency and fair treatment</t>
        </is>
      </c>
      <c r="P22" s="48" t="n">
        <v>2</v>
      </c>
      <c r="Q22" s="37" t="inlineStr">
        <is>
          <t>No</t>
        </is>
      </c>
      <c r="R22" s="37" t="inlineStr">
        <is>
          <t>Question retained; answer guidance and risk/action pathways developed in v3.</t>
        </is>
      </c>
    </row>
    <row r="23" ht="61" customHeight="1">
      <c r="A23" s="38" t="inlineStr">
        <is>
          <t>POL03</t>
        </is>
      </c>
      <c r="B23" s="38" t="inlineStr">
        <is>
          <t>POL</t>
        </is>
      </c>
      <c r="C23" s="38" t="inlineStr">
        <is>
          <t>Policies &amp; Procedures</t>
        </is>
      </c>
      <c r="D23" s="38" t="inlineStr">
        <is>
          <t>How would an eligible request for flexible working arrangements be considered and answered?</t>
        </is>
      </c>
      <c r="E23" s="38" t="inlineStr">
        <is>
          <t>ALL</t>
        </is>
      </c>
      <c r="F23" s="49" t="n">
        <v>2</v>
      </c>
      <c r="G23" s="38" t="inlineStr">
        <is>
          <t>No</t>
        </is>
      </c>
      <c r="H23" s="38" t="inlineStr">
        <is>
          <t>Single choice: 0-3 / DK</t>
        </is>
      </c>
      <c r="I23" s="38" t="inlineStr">
        <is>
          <t>This is not limited to working from home. Consider eligibility, discussion, alternatives, consequences and the written response timeframe.</t>
        </is>
      </c>
      <c r="J23" s="38" t="inlineStr">
        <is>
          <t>NEW</t>
        </is>
      </c>
      <c r="K23" s="38" t="inlineStr">
        <is>
          <t>A_POL03</t>
        </is>
      </c>
      <c r="L23" s="38" t="inlineStr">
        <is>
          <t>FLEXIBILITY</t>
        </is>
      </c>
      <c r="M23" s="38" t="inlineStr">
        <is>
          <t>S22</t>
        </is>
      </c>
      <c r="N23" s="38" t="inlineStr">
        <is>
          <t>https://www.fairwork.gov.au/tools-and-resources/fact-sheets/minimum-workplace-entitlements/requests-for-flexible-working-arrangements</t>
        </is>
      </c>
      <c r="O23" s="38" t="inlineStr">
        <is>
          <t>Individual rights and fair decisions</t>
        </is>
      </c>
      <c r="P23" s="49" t="n">
        <v>3</v>
      </c>
      <c r="Q23" s="38" t="inlineStr">
        <is>
          <t>No</t>
        </is>
      </c>
      <c r="R23" s="38" t="inlineStr">
        <is>
          <t>Question retained; answer guidance and risk/action pathways developed in v3.</t>
        </is>
      </c>
    </row>
    <row r="24" ht="61" customHeight="1">
      <c r="A24" s="37" t="inlineStr">
        <is>
          <t>WHS01</t>
        </is>
      </c>
      <c r="B24" s="37" t="inlineStr">
        <is>
          <t>WHS</t>
        </is>
      </c>
      <c r="C24" s="37" t="inlineStr">
        <is>
          <t>Workplace Health &amp; Safety</t>
        </is>
      </c>
      <c r="D24" s="37" t="inlineStr">
        <is>
          <t>How does your business identify and control the physical hazards in the work people actually do?</t>
        </is>
      </c>
      <c r="E24" s="37" t="inlineStr">
        <is>
          <t>ALL</t>
        </is>
      </c>
      <c r="F24" s="48" t="n">
        <v>3</v>
      </c>
      <c r="G24" s="37" t="inlineStr">
        <is>
          <t>Yes</t>
        </is>
      </c>
      <c r="H24" s="37" t="inlineStr">
        <is>
          <t>Single choice: 0-3 / DK</t>
        </is>
      </c>
      <c r="I24" s="37" t="inlineStr">
        <is>
          <t>Include workers' input and work away from your premises. This question is about effective controls, not simply having a safety policy.</t>
        </is>
      </c>
      <c r="J24" s="37" t="inlineStr">
        <is>
          <t>NEW</t>
        </is>
      </c>
      <c r="K24" s="37" t="inlineStr">
        <is>
          <t>A_WHS01</t>
        </is>
      </c>
      <c r="L24" s="37" t="inlineStr">
        <is>
          <t>SAFETY</t>
        </is>
      </c>
      <c r="M24" s="37" t="inlineStr">
        <is>
          <t>S13</t>
        </is>
      </c>
      <c r="N24" s="37" t="inlineStr">
        <is>
          <t>https://www.safeworkaustralia.gov.au/safety-topic/managing-health-and-safety/identify-assess-and-control-hazards/managing-risks</t>
        </is>
      </c>
      <c r="O24" s="37" t="inlineStr">
        <is>
          <t>Physical safety</t>
        </is>
      </c>
      <c r="P24" s="48" t="n">
        <v>3</v>
      </c>
      <c r="Q24" s="37" t="inlineStr">
        <is>
          <t>Yes</t>
        </is>
      </c>
      <c r="R24" s="37" t="inlineStr">
        <is>
          <t>Question retained; answer guidance and risk/action pathways developed in v3.</t>
        </is>
      </c>
    </row>
    <row r="25" ht="61" customHeight="1">
      <c r="A25" s="38" t="inlineStr">
        <is>
          <t>WHS02</t>
        </is>
      </c>
      <c r="B25" s="38" t="inlineStr">
        <is>
          <t>WHS</t>
        </is>
      </c>
      <c r="C25" s="38" t="inlineStr">
        <is>
          <t>Workplace Health &amp; Safety</t>
        </is>
      </c>
      <c r="D25" s="38" t="inlineStr">
        <is>
          <t>How have you tested your business's readiness for a workplace emergency?</t>
        </is>
      </c>
      <c r="E25" s="38" t="inlineStr">
        <is>
          <t>ALL</t>
        </is>
      </c>
      <c r="F25" s="49" t="n">
        <v>3</v>
      </c>
      <c r="G25" s="38" t="inlineStr">
        <is>
          <t>Yes</t>
        </is>
      </c>
      <c r="H25" s="38" t="inlineStr">
        <is>
          <t>Single choice: 0-3 / DK</t>
        </is>
      </c>
      <c r="I25" s="38" t="inlineStr">
        <is>
          <t>Consider foreseeable emergencies, first aid, communication and everyone present, including remote or client-site workers where relevant. Requirements depend on the workplace and jurisdiction.</t>
        </is>
      </c>
      <c r="J25" s="38" t="inlineStr">
        <is>
          <t>Q43;Q44</t>
        </is>
      </c>
      <c r="K25" s="38" t="inlineStr">
        <is>
          <t>A_WHS02</t>
        </is>
      </c>
      <c r="L25" s="38" t="inlineStr">
        <is>
          <t>SAFETY</t>
        </is>
      </c>
      <c r="M25" s="38" t="inlineStr">
        <is>
          <t>S13</t>
        </is>
      </c>
      <c r="N25" s="38" t="inlineStr">
        <is>
          <t>https://www.safeworkaustralia.gov.au/safety-topic/managing-health-and-safety/identify-assess-and-control-hazards/managing-risks</t>
        </is>
      </c>
      <c r="O25" s="38" t="inlineStr">
        <is>
          <t>Emergency readiness</t>
        </is>
      </c>
      <c r="P25" s="49" t="n">
        <v>3</v>
      </c>
      <c r="Q25" s="38" t="inlineStr">
        <is>
          <t>Yes</t>
        </is>
      </c>
      <c r="R25" s="38" t="inlineStr">
        <is>
          <t>Question retained; answer guidance and risk/action pathways developed in v3.</t>
        </is>
      </c>
    </row>
    <row r="26" ht="61" customHeight="1">
      <c r="A26" s="37" t="inlineStr">
        <is>
          <t>WHS03</t>
        </is>
      </c>
      <c r="B26" s="37" t="inlineStr">
        <is>
          <t>WHS</t>
        </is>
      </c>
      <c r="C26" s="37" t="inlineStr">
        <is>
          <t>Workplace Health &amp; Safety</t>
        </is>
      </c>
      <c r="D26" s="37" t="inlineStr">
        <is>
          <t>How do you confirm that your workers' compensation arrangements cover the people and work that require cover?</t>
        </is>
      </c>
      <c r="E26" s="37" t="inlineStr">
        <is>
          <t>ALL</t>
        </is>
      </c>
      <c r="F26" s="48" t="n">
        <v>3</v>
      </c>
      <c r="G26" s="37" t="inlineStr">
        <is>
          <t>Yes</t>
        </is>
      </c>
      <c r="H26" s="37" t="inlineStr">
        <is>
          <t>Single choice: 0-3 / DK</t>
        </is>
      </c>
      <c r="I26" s="37" t="inlineStr">
        <is>
          <t>Coverage, exemptions and declarations differ by jurisdiction. Having a policy document is not enough if the declared activities, workers or wages are wrong.</t>
        </is>
      </c>
      <c r="J26" s="37" t="inlineStr">
        <is>
          <t>Q41</t>
        </is>
      </c>
      <c r="K26" s="37" t="inlineStr">
        <is>
          <t>A_WHS03</t>
        </is>
      </c>
      <c r="L26" s="37" t="inlineStr">
        <is>
          <t>INJURY</t>
        </is>
      </c>
      <c r="M26" s="37" t="inlineStr">
        <is>
          <t>S38</t>
        </is>
      </c>
      <c r="N26" s="37" t="inlineStr">
        <is>
          <t>https://www.safeworkaustralia.gov.au/workers-compensation</t>
        </is>
      </c>
      <c r="O26" s="37" t="inlineStr">
        <is>
          <t>Workers' compensation coverage</t>
        </is>
      </c>
      <c r="P26" s="48" t="n">
        <v>3</v>
      </c>
      <c r="Q26" s="37" t="inlineStr">
        <is>
          <t>Yes</t>
        </is>
      </c>
      <c r="R26" s="37" t="inlineStr">
        <is>
          <t>Question retained; answer guidance and risk/action pathways developed in v3.</t>
        </is>
      </c>
    </row>
    <row r="27" ht="76" customHeight="1">
      <c r="A27" s="38" t="inlineStr">
        <is>
          <t>WHS04</t>
        </is>
      </c>
      <c r="B27" s="38" t="inlineStr">
        <is>
          <t>WHS</t>
        </is>
      </c>
      <c r="C27" s="38" t="inlineStr">
        <is>
          <t>Workplace Health &amp; Safety</t>
        </is>
      </c>
      <c r="D27" s="38" t="inlineStr">
        <is>
          <t>How would a work-related injury or incident move from initial response to appropriate follow-up?</t>
        </is>
      </c>
      <c r="E27" s="38" t="inlineStr">
        <is>
          <t>ALL</t>
        </is>
      </c>
      <c r="F27" s="49" t="n">
        <v>2</v>
      </c>
      <c r="G27" s="38" t="inlineStr">
        <is>
          <t>No</t>
        </is>
      </c>
      <c r="H27" s="38" t="inlineStr">
        <is>
          <t>Single choice: 0-3 / DK</t>
        </is>
      </c>
      <c r="I27" s="38" t="inlineStr">
        <is>
          <t>Include immediate assistance, insurer or regulator notification where required, records and supported return to work. Use current jurisdiction-specific advice.</t>
        </is>
      </c>
      <c r="J27" s="38" t="inlineStr">
        <is>
          <t>Q42</t>
        </is>
      </c>
      <c r="K27" s="38" t="inlineStr">
        <is>
          <t>A_WHS04</t>
        </is>
      </c>
      <c r="L27" s="38" t="inlineStr">
        <is>
          <t>INJURY</t>
        </is>
      </c>
      <c r="M27" s="38" t="inlineStr">
        <is>
          <t>S13;S38</t>
        </is>
      </c>
      <c r="N27" s="38" t="inlineStr">
        <is>
          <t>https://www.safeworkaustralia.gov.au/safety-topic/managing-health-and-safety/identify-assess-and-control-hazards/managing-risks
https://www.safeworkaustralia.gov.au/workers-compensation</t>
        </is>
      </c>
      <c r="O27" s="38" t="inlineStr">
        <is>
          <t>Incident response and recovery</t>
        </is>
      </c>
      <c r="P27" s="49" t="n">
        <v>3</v>
      </c>
      <c r="Q27" s="38" t="inlineStr">
        <is>
          <t>No</t>
        </is>
      </c>
      <c r="R27" s="38" t="inlineStr">
        <is>
          <t>Question retained; answer guidance and risk/action pathways developed in v3.</t>
        </is>
      </c>
    </row>
    <row r="28" ht="46" customHeight="1">
      <c r="A28" s="37" t="inlineStr">
        <is>
          <t>PER01</t>
        </is>
      </c>
      <c r="B28" s="37" t="inlineStr">
        <is>
          <t>PER</t>
        </is>
      </c>
      <c r="C28" s="37" t="inlineStr">
        <is>
          <t>Reviewing &amp; Managing Performance</t>
        </is>
      </c>
      <c r="D28" s="37" t="inlineStr">
        <is>
          <t>How consistently do employees receive clear expectations and useful feedback on their work?</t>
        </is>
      </c>
      <c r="E28" s="37" t="inlineStr">
        <is>
          <t>ALL</t>
        </is>
      </c>
      <c r="F28" s="48" t="n">
        <v>2</v>
      </c>
      <c r="G28" s="37" t="inlineStr">
        <is>
          <t>No</t>
        </is>
      </c>
      <c r="H28" s="37" t="inlineStr">
        <is>
          <t>Single choice: 0-3 / DK</t>
        </is>
      </c>
      <c r="I28" s="37" t="inlineStr">
        <is>
          <t>Regular conversations with short notes can be effective. Do not assume that a formal annual appraisal is necessary for every business.</t>
        </is>
      </c>
      <c r="J28" s="37" t="inlineStr">
        <is>
          <t>Q36</t>
        </is>
      </c>
      <c r="K28" s="37" t="inlineStr">
        <is>
          <t>A_PER01</t>
        </is>
      </c>
      <c r="L28" s="37" t="inlineStr">
        <is>
          <t>PERFORMANCE</t>
        </is>
      </c>
      <c r="M28" s="37" t="inlineStr">
        <is>
          <t>S27</t>
        </is>
      </c>
      <c r="N28" s="37" t="inlineStr">
        <is>
          <t>https://www.fairwork.gov.au/sites/default/files/migration/711/managing-underperformance-best-practice-guide.pdf</t>
        </is>
      </c>
      <c r="O28" s="37" t="inlineStr">
        <is>
          <t>Performance and avoidable rework</t>
        </is>
      </c>
      <c r="P28" s="48" t="n">
        <v>2</v>
      </c>
      <c r="Q28" s="37" t="inlineStr">
        <is>
          <t>No</t>
        </is>
      </c>
      <c r="R28" s="37" t="inlineStr">
        <is>
          <t>Question retained; answer guidance and risk/action pathways developed in v3.</t>
        </is>
      </c>
    </row>
    <row r="29" ht="76" customHeight="1">
      <c r="A29" s="38" t="inlineStr">
        <is>
          <t>PER02</t>
        </is>
      </c>
      <c r="B29" s="38" t="inlineStr">
        <is>
          <t>PER</t>
        </is>
      </c>
      <c r="C29" s="38" t="inlineStr">
        <is>
          <t>Reviewing &amp; Managing Performance</t>
        </is>
      </c>
      <c r="D29" s="38" t="inlineStr">
        <is>
          <t>How do you review a new employee's progress before important employment decisions are due?</t>
        </is>
      </c>
      <c r="E29" s="38" t="inlineStr">
        <is>
          <t>ALL</t>
        </is>
      </c>
      <c r="F29" s="49" t="n">
        <v>2</v>
      </c>
      <c r="G29" s="38" t="inlineStr">
        <is>
          <t>No</t>
        </is>
      </c>
      <c r="H29" s="38" t="inlineStr">
        <is>
          <t>Single choice: 0-3 / DK</t>
        </is>
      </c>
      <c r="I29" s="38" t="inlineStr">
        <is>
          <t>Contractual probation and statutory minimum employment periods are different. An extension of probation does not reset statutory rights.</t>
        </is>
      </c>
      <c r="J29" s="38" t="inlineStr">
        <is>
          <t>Q35</t>
        </is>
      </c>
      <c r="K29" s="38" t="inlineStr">
        <is>
          <t>A_PER02</t>
        </is>
      </c>
      <c r="L29" s="38" t="inlineStr">
        <is>
          <t>PERFORMANCE</t>
        </is>
      </c>
      <c r="M29" s="38" t="inlineStr">
        <is>
          <t>S26;S27</t>
        </is>
      </c>
      <c r="N29" s="38" t="inlineStr">
        <is>
          <t>https://www.fairwork.gov.au/tools-and-resources/fact-sheets/minimum-workplace-entitlements/ending-employment
https://www.fairwork.gov.au/sites/default/files/migration/711/managing-underperformance-best-practice-guide.pdf</t>
        </is>
      </c>
      <c r="O29" s="38" t="inlineStr">
        <is>
          <t>Early employment decisions</t>
        </is>
      </c>
      <c r="P29" s="49" t="n">
        <v>2</v>
      </c>
      <c r="Q29" s="38" t="inlineStr">
        <is>
          <t>No</t>
        </is>
      </c>
      <c r="R29" s="38" t="inlineStr">
        <is>
          <t>Question retained; answer guidance and risk/action pathways developed in v3.</t>
        </is>
      </c>
    </row>
    <row r="30" ht="76" customHeight="1">
      <c r="A30" s="37" t="inlineStr">
        <is>
          <t>PER03</t>
        </is>
      </c>
      <c r="B30" s="37" t="inlineStr">
        <is>
          <t>PER</t>
        </is>
      </c>
      <c r="C30" s="37" t="inlineStr">
        <is>
          <t>Reviewing &amp; Managing Performance</t>
        </is>
      </c>
      <c r="D30" s="37" t="inlineStr">
        <is>
          <t>How do managers address a sustained gap between expected and actual performance?</t>
        </is>
      </c>
      <c r="E30" s="37" t="inlineStr">
        <is>
          <t>ALL</t>
        </is>
      </c>
      <c r="F30" s="48" t="n">
        <v>3</v>
      </c>
      <c r="G30" s="37" t="inlineStr">
        <is>
          <t>No</t>
        </is>
      </c>
      <c r="H30" s="37" t="inlineStr">
        <is>
          <t>Single choice: 0-3 / DK</t>
        </is>
      </c>
      <c r="I30" s="37" t="inlineStr">
        <is>
          <t>Look for specific evidence, a chance to respond, reasonable support and meaningful review. A performance improvement plan is one method, not the measure of success. Consider whether work barriers or a possible adjustment need separate assessment before treating the issue as inability or unwillingness.</t>
        </is>
      </c>
      <c r="J30" s="37" t="inlineStr">
        <is>
          <t>Q54</t>
        </is>
      </c>
      <c r="K30" s="37" t="inlineStr">
        <is>
          <t>A_PER03</t>
        </is>
      </c>
      <c r="L30" s="37" t="inlineStr">
        <is>
          <t>PERFORMANCE</t>
        </is>
      </c>
      <c r="M30" s="37" t="inlineStr">
        <is>
          <t>S27</t>
        </is>
      </c>
      <c r="N30" s="37" t="inlineStr">
        <is>
          <t>https://www.fairwork.gov.au/sites/default/files/migration/711/managing-underperformance-best-practice-guide.pdf</t>
        </is>
      </c>
      <c r="O30" s="37" t="inlineStr">
        <is>
          <t>Fair performance management</t>
        </is>
      </c>
      <c r="P30" s="48" t="n">
        <v>3</v>
      </c>
      <c r="Q30" s="37" t="inlineStr">
        <is>
          <t>No</t>
        </is>
      </c>
      <c r="R30" s="37" t="inlineStr">
        <is>
          <t>Question retained; answer guidance and risk/action pathways developed in v3.</t>
        </is>
      </c>
    </row>
    <row r="31" ht="136" customHeight="1">
      <c r="A31" s="38" t="inlineStr">
        <is>
          <t>PER04</t>
        </is>
      </c>
      <c r="B31" s="38" t="inlineStr">
        <is>
          <t>PER</t>
        </is>
      </c>
      <c r="C31" s="38" t="inlineStr">
        <is>
          <t>Reviewing &amp; Managing Performance</t>
        </is>
      </c>
      <c r="D31" s="38" t="inlineStr">
        <is>
          <t>How are conduct concerns assessed before a warning, dismissal or other serious response is decided?</t>
        </is>
      </c>
      <c r="E31" s="38" t="inlineStr">
        <is>
          <t>ALL</t>
        </is>
      </c>
      <c r="F31" s="49" t="n">
        <v>3</v>
      </c>
      <c r="G31" s="38" t="inlineStr">
        <is>
          <t>Yes</t>
        </is>
      </c>
      <c r="H31" s="38" t="inlineStr">
        <is>
          <t>Single choice: 0-3 / DK</t>
        </is>
      </c>
      <c r="I31" s="38" t="inlineStr">
        <is>
          <t>Separate immediate safety measures from the final decision. Not every allegation is proven, and similar conduct may require different responses in different circumstances.</t>
        </is>
      </c>
      <c r="J31" s="38" t="inlineStr">
        <is>
          <t>Q53;Q55</t>
        </is>
      </c>
      <c r="K31" s="38" t="inlineStr">
        <is>
          <t>A_PER04</t>
        </is>
      </c>
      <c r="L31" s="38" t="inlineStr">
        <is>
          <t>FAIR_DECISIONS</t>
        </is>
      </c>
      <c r="M31" s="38" t="inlineStr">
        <is>
          <t>S26;S27;S10</t>
        </is>
      </c>
      <c r="N31" s="38"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O31" s="38" t="inlineStr">
        <is>
          <t>Fair conduct decisions</t>
        </is>
      </c>
      <c r="P31" s="49" t="n">
        <v>3</v>
      </c>
      <c r="Q31" s="38" t="inlineStr">
        <is>
          <t>Yes</t>
        </is>
      </c>
      <c r="R31" s="38" t="inlineStr">
        <is>
          <t>Question retained; answer guidance and risk/action pathways developed in v3.</t>
        </is>
      </c>
    </row>
    <row r="32" ht="46" customHeight="1">
      <c r="A32" s="37" t="inlineStr">
        <is>
          <t>LND01</t>
        </is>
      </c>
      <c r="B32" s="37" t="inlineStr">
        <is>
          <t>LND</t>
        </is>
      </c>
      <c r="C32" s="37" t="inlineStr">
        <is>
          <t>Training &amp; Development</t>
        </is>
      </c>
      <c r="D32" s="37" t="inlineStr">
        <is>
          <t>How do you identify the skills your business needs over the next six to twelve months?</t>
        </is>
      </c>
      <c r="E32" s="37" t="inlineStr">
        <is>
          <t>ALL</t>
        </is>
      </c>
      <c r="F32" s="48" t="n">
        <v>2</v>
      </c>
      <c r="G32" s="37" t="inlineStr">
        <is>
          <t>No</t>
        </is>
      </c>
      <c r="H32" s="37" t="inlineStr">
        <is>
          <t>Single choice: 0-3 / DK</t>
        </is>
      </c>
      <c r="I32" s="37" t="inlineStr">
        <is>
          <t>Include changing work, technology, customer needs and required credentials. A five-person business can use a short discussion and skills list.</t>
        </is>
      </c>
      <c r="J32" s="37" t="inlineStr">
        <is>
          <t>Q59</t>
        </is>
      </c>
      <c r="K32" s="37" t="inlineStr">
        <is>
          <t>A_LND01</t>
        </is>
      </c>
      <c r="L32" s="37" t="inlineStr">
        <is>
          <t>CAPABILITY</t>
        </is>
      </c>
      <c r="M32" s="37" t="inlineStr">
        <is>
          <t>S27</t>
        </is>
      </c>
      <c r="N32" s="37" t="inlineStr">
        <is>
          <t>https://www.fairwork.gov.au/sites/default/files/migration/711/managing-underperformance-best-practice-guide.pdf</t>
        </is>
      </c>
      <c r="O32" s="37" t="inlineStr">
        <is>
          <t>Future capability</t>
        </is>
      </c>
      <c r="P32" s="48" t="n">
        <v>2</v>
      </c>
      <c r="Q32" s="37" t="inlineStr">
        <is>
          <t>No</t>
        </is>
      </c>
      <c r="R32" s="37" t="inlineStr">
        <is>
          <t>Question retained; answer guidance and risk/action pathways developed in v3.</t>
        </is>
      </c>
    </row>
    <row r="33" ht="46" customHeight="1">
      <c r="A33" s="38" t="inlineStr">
        <is>
          <t>LND02</t>
        </is>
      </c>
      <c r="B33" s="38" t="inlineStr">
        <is>
          <t>LND</t>
        </is>
      </c>
      <c r="C33" s="38" t="inlineStr">
        <is>
          <t>Training &amp; Development</t>
        </is>
      </c>
      <c r="D33" s="38" t="inlineStr">
        <is>
          <t>How do you check whether training improves performance in the job?</t>
        </is>
      </c>
      <c r="E33" s="38" t="inlineStr">
        <is>
          <t>ALL</t>
        </is>
      </c>
      <c r="F33" s="49" t="n">
        <v>2</v>
      </c>
      <c r="G33" s="38" t="inlineStr">
        <is>
          <t>No</t>
        </is>
      </c>
      <c r="H33" s="38" t="inlineStr">
        <is>
          <t>Single choice: 0-3 / DK</t>
        </is>
      </c>
      <c r="I33" s="38" t="inlineStr">
        <is>
          <t>Course attendance is an input. Look for safe application, demonstrated skill, better work or reduced reliance on others.</t>
        </is>
      </c>
      <c r="J33" s="38" t="inlineStr">
        <is>
          <t>Q59</t>
        </is>
      </c>
      <c r="K33" s="38" t="inlineStr">
        <is>
          <t>A_LND02</t>
        </is>
      </c>
      <c r="L33" s="38" t="inlineStr">
        <is>
          <t>CAPABILITY</t>
        </is>
      </c>
      <c r="M33" s="38" t="inlineStr">
        <is>
          <t>S27</t>
        </is>
      </c>
      <c r="N33" s="38" t="inlineStr">
        <is>
          <t>https://www.fairwork.gov.au/sites/default/files/migration/711/managing-underperformance-best-practice-guide.pdf</t>
        </is>
      </c>
      <c r="O33" s="38" t="inlineStr">
        <is>
          <t>Return on development effort</t>
        </is>
      </c>
      <c r="P33" s="49" t="n">
        <v>2</v>
      </c>
      <c r="Q33" s="38" t="inlineStr">
        <is>
          <t>No</t>
        </is>
      </c>
      <c r="R33" s="38" t="inlineStr">
        <is>
          <t>Question retained; answer guidance and risk/action pathways developed in v3.</t>
        </is>
      </c>
    </row>
    <row r="34" ht="46" customHeight="1">
      <c r="A34" s="37" t="inlineStr">
        <is>
          <t>LND03</t>
        </is>
      </c>
      <c r="B34" s="37" t="inlineStr">
        <is>
          <t>LND</t>
        </is>
      </c>
      <c r="C34" s="37" t="inlineStr">
        <is>
          <t>Training &amp; Development</t>
        </is>
      </c>
      <c r="D34" s="37" t="inlineStr">
        <is>
          <t>What would happen to critical work if a key person were unexpectedly unavailable?</t>
        </is>
      </c>
      <c r="E34" s="37" t="inlineStr">
        <is>
          <t>ALL</t>
        </is>
      </c>
      <c r="F34" s="48" t="n">
        <v>2</v>
      </c>
      <c r="G34" s="37" t="inlineStr">
        <is>
          <t>No</t>
        </is>
      </c>
      <c r="H34" s="37" t="inlineStr">
        <is>
          <t>Single choice: 0-3 / DK</t>
        </is>
      </c>
      <c r="I34" s="37" t="inlineStr">
        <is>
          <t>Consider payroll, client delivery, approvals and specialist knowledge. This does not require a formal succession programme.</t>
        </is>
      </c>
      <c r="J34" s="37" t="inlineStr">
        <is>
          <t>Q59</t>
        </is>
      </c>
      <c r="K34" s="37" t="inlineStr">
        <is>
          <t>A_LND03</t>
        </is>
      </c>
      <c r="L34" s="37" t="inlineStr">
        <is>
          <t>CAPABILITY</t>
        </is>
      </c>
      <c r="M34" s="37" t="inlineStr">
        <is>
          <t>DESIGN</t>
        </is>
      </c>
      <c r="N34" s="37" t="inlineStr"/>
      <c r="O34" s="37" t="inlineStr">
        <is>
          <t>Business continuity</t>
        </is>
      </c>
      <c r="P34" s="48" t="n">
        <v>3</v>
      </c>
      <c r="Q34" s="37" t="inlineStr">
        <is>
          <t>No</t>
        </is>
      </c>
      <c r="R34" s="37" t="inlineStr">
        <is>
          <t>Question retained; answer guidance and risk/action pathways developed in v3.</t>
        </is>
      </c>
    </row>
    <row r="35" ht="106" customHeight="1">
      <c r="A35" s="38" t="inlineStr">
        <is>
          <t>CUL01</t>
        </is>
      </c>
      <c r="B35" s="38" t="inlineStr">
        <is>
          <t>CUL</t>
        </is>
      </c>
      <c r="C35" s="38" t="inlineStr">
        <is>
          <t>Culture &amp; Engagement</t>
        </is>
      </c>
      <c r="D35" s="38" t="inlineStr">
        <is>
          <t>How do you learn what employees experience at work and show what happens to their feedback?</t>
        </is>
      </c>
      <c r="E35" s="38" t="inlineStr">
        <is>
          <t>ALL</t>
        </is>
      </c>
      <c r="F35" s="49" t="n">
        <v>2</v>
      </c>
      <c r="G35" s="38" t="inlineStr">
        <is>
          <t>No</t>
        </is>
      </c>
      <c r="H35" s="38" t="inlineStr">
        <is>
          <t>Single choice: 0-3 / DK</t>
        </is>
      </c>
      <c r="I35" s="38" t="inlineStr">
        <is>
          <t>Use a method suitable for your size. A manager's positive view of the culture is not a substitute for employee input; a five-person survey is not necessarily anonymous.</t>
        </is>
      </c>
      <c r="J35" s="38" t="inlineStr">
        <is>
          <t>Q50</t>
        </is>
      </c>
      <c r="K35" s="38" t="inlineStr">
        <is>
          <t>A_CUL01</t>
        </is>
      </c>
      <c r="L35" s="38" t="inlineStr">
        <is>
          <t>CULTURE</t>
        </is>
      </c>
      <c r="M35" s="38" t="inlineStr">
        <is>
          <t>S25;S10</t>
        </is>
      </c>
      <c r="N35" s="38"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O35" s="38" t="inlineStr">
        <is>
          <t>Employee voice and follow-through</t>
        </is>
      </c>
      <c r="P35" s="49" t="n">
        <v>2</v>
      </c>
      <c r="Q35" s="38" t="inlineStr">
        <is>
          <t>No</t>
        </is>
      </c>
      <c r="R35" s="38" t="inlineStr">
        <is>
          <t>Question retained; answer guidance and risk/action pathways developed in v3.</t>
        </is>
      </c>
    </row>
    <row r="36" ht="61" customHeight="1">
      <c r="A36" s="37" t="inlineStr">
        <is>
          <t>CUL02</t>
        </is>
      </c>
      <c r="B36" s="37" t="inlineStr">
        <is>
          <t>CUL</t>
        </is>
      </c>
      <c r="C36" s="37" t="inlineStr">
        <is>
          <t>Culture &amp; Engagement</t>
        </is>
      </c>
      <c r="D36" s="37" t="inlineStr">
        <is>
          <t>How do you understand and respond to the risk of losing employees you would prefer to retain?</t>
        </is>
      </c>
      <c r="E36" s="37" t="inlineStr">
        <is>
          <t>ALL</t>
        </is>
      </c>
      <c r="F36" s="48" t="n">
        <v>2</v>
      </c>
      <c r="G36" s="37" t="inlineStr">
        <is>
          <t>No</t>
        </is>
      </c>
      <c r="H36" s="37" t="inlineStr">
        <is>
          <t>Single choice: 0-3 / DK</t>
        </is>
      </c>
      <c r="I36" s="37" t="inlineStr">
        <is>
          <t>For a small team, consider individual retention concerns and departures rather than volatile percentages. If nobody has left recently, assess the way you identify and respond to retention concerns.</t>
        </is>
      </c>
      <c r="J36" s="37" t="inlineStr">
        <is>
          <t>Q48;Q47</t>
        </is>
      </c>
      <c r="K36" s="37" t="inlineStr">
        <is>
          <t>A_CUL02</t>
        </is>
      </c>
      <c r="L36" s="37" t="inlineStr">
        <is>
          <t>CULTURE</t>
        </is>
      </c>
      <c r="M36" s="37" t="inlineStr">
        <is>
          <t>DESIGN</t>
        </is>
      </c>
      <c r="N36" s="37" t="inlineStr"/>
      <c r="O36" s="37" t="inlineStr">
        <is>
          <t>Retention and service continuity</t>
        </is>
      </c>
      <c r="P36" s="48" t="n">
        <v>2</v>
      </c>
      <c r="Q36" s="37" t="inlineStr">
        <is>
          <t>No</t>
        </is>
      </c>
      <c r="R36" s="37" t="inlineStr">
        <is>
          <t>Question retained; answer guidance and risk/action pathways developed in v3.</t>
        </is>
      </c>
    </row>
    <row r="37" ht="121" customHeight="1">
      <c r="A37" s="38" t="inlineStr">
        <is>
          <t>CUL03</t>
        </is>
      </c>
      <c r="B37" s="38" t="inlineStr">
        <is>
          <t>CUL</t>
        </is>
      </c>
      <c r="C37" s="38" t="inlineStr">
        <is>
          <t>Culture &amp; Engagement</t>
        </is>
      </c>
      <c r="D37" s="38" t="inlineStr">
        <is>
          <t>How do employees see that contribution and opportunity are recognised fairly?</t>
        </is>
      </c>
      <c r="E37" s="38" t="inlineStr">
        <is>
          <t>ALL</t>
        </is>
      </c>
      <c r="F37" s="49" t="n">
        <v>1</v>
      </c>
      <c r="G37" s="38" t="inlineStr">
        <is>
          <t>No</t>
        </is>
      </c>
      <c r="H37" s="38" t="inlineStr">
        <is>
          <t>Single choice: 0-3 / DK</t>
        </is>
      </c>
      <c r="I37" s="38" t="inlineStr">
        <is>
          <t>Recognition need not involve spending money or organising events. Consider everyday feedback, allocation of opportunities and treatment of different work patterns.</t>
        </is>
      </c>
      <c r="J37" s="38" t="inlineStr">
        <is>
          <t>Q49;Q50</t>
        </is>
      </c>
      <c r="K37" s="38" t="inlineStr">
        <is>
          <t>A_CUL03</t>
        </is>
      </c>
      <c r="L37" s="38" t="inlineStr">
        <is>
          <t>CULTURE</t>
        </is>
      </c>
      <c r="M37" s="38" t="inlineStr">
        <is>
          <t>S10;S11</t>
        </is>
      </c>
      <c r="N37"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O37" s="38" t="inlineStr">
        <is>
          <t>Fair opportunity and recognition</t>
        </is>
      </c>
      <c r="P37" s="49" t="n">
        <v>1</v>
      </c>
      <c r="Q37" s="38" t="inlineStr">
        <is>
          <t>No</t>
        </is>
      </c>
      <c r="R37" s="38" t="inlineStr">
        <is>
          <t>Question retained; answer guidance and risk/action pathways developed in v3.</t>
        </is>
      </c>
    </row>
    <row r="38" ht="106" customHeight="1">
      <c r="A38" s="37" t="inlineStr">
        <is>
          <t>CUL04</t>
        </is>
      </c>
      <c r="B38" s="37" t="inlineStr">
        <is>
          <t>CUL</t>
        </is>
      </c>
      <c r="C38" s="37" t="inlineStr">
        <is>
          <t>Culture &amp; Engagement</t>
        </is>
      </c>
      <c r="D38" s="37" t="inlineStr">
        <is>
          <t>How do you hold people leaders accountable for the way they manage others?</t>
        </is>
      </c>
      <c r="E38" s="37" t="inlineStr">
        <is>
          <t>ALL</t>
        </is>
      </c>
      <c r="F38" s="48" t="n">
        <v>2</v>
      </c>
      <c r="G38" s="37" t="inlineStr">
        <is>
          <t>No</t>
        </is>
      </c>
      <c r="H38" s="37" t="inlineStr">
        <is>
          <t>Single choice: 0-3 / DK</t>
        </is>
      </c>
      <c r="I38" s="37" t="inlineStr">
        <is>
          <t>The owner is a people leader too. In an owner-managed business, employee feedback and periodic review of actual decisions can provide accountability; a formal management appraisal is not required.</t>
        </is>
      </c>
      <c r="J38" s="37" t="inlineStr">
        <is>
          <t>NEW</t>
        </is>
      </c>
      <c r="K38" s="37" t="inlineStr">
        <is>
          <t>A_CUL04</t>
        </is>
      </c>
      <c r="L38" s="37" t="inlineStr">
        <is>
          <t>LEADERSHIP</t>
        </is>
      </c>
      <c r="M38" s="37" t="inlineStr">
        <is>
          <t>S10;S27</t>
        </is>
      </c>
      <c r="N38"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O38" s="37" t="inlineStr">
        <is>
          <t>Leadership accountability</t>
        </is>
      </c>
      <c r="P38" s="48" t="n">
        <v>2</v>
      </c>
      <c r="Q38" s="37" t="inlineStr">
        <is>
          <t>No</t>
        </is>
      </c>
      <c r="R38" s="37" t="inlineStr">
        <is>
          <t>Question retained; answer guidance and risk/action pathways developed in v3.</t>
        </is>
      </c>
    </row>
    <row r="39" ht="76" customHeight="1">
      <c r="A39" s="38" t="inlineStr">
        <is>
          <t>DAT01</t>
        </is>
      </c>
      <c r="B39" s="38" t="inlineStr">
        <is>
          <t>DAT</t>
        </is>
      </c>
      <c r="C39" s="38" t="inlineStr">
        <is>
          <t>Record Keeping</t>
        </is>
      </c>
      <c r="D39" s="38" t="inlineStr">
        <is>
          <t>Could you reconstruct an employee's pay and entitlements from the records you keep?</t>
        </is>
      </c>
      <c r="E39" s="38" t="inlineStr">
        <is>
          <t>ALL</t>
        </is>
      </c>
      <c r="F39" s="49" t="n">
        <v>3</v>
      </c>
      <c r="G39" s="38" t="inlineStr">
        <is>
          <t>Yes</t>
        </is>
      </c>
      <c r="H39" s="38" t="inlineStr">
        <is>
          <t>Single choice: 0-3 / DK</t>
        </is>
      </c>
      <c r="I39" s="38" t="inlineStr">
        <is>
          <t>Include actual work and overtime where required, leave, changes, deductions and relevant approvals. A roster is not proof that actual hours matched it. Statutory record requirements vary by arrangement.</t>
        </is>
      </c>
      <c r="J39" s="38" t="inlineStr">
        <is>
          <t>Q21;Q27;Q37</t>
        </is>
      </c>
      <c r="K39" s="38" t="inlineStr">
        <is>
          <t>A_DAT01</t>
        </is>
      </c>
      <c r="L39" s="38" t="inlineStr">
        <is>
          <t>PAY_ASSURANCE</t>
        </is>
      </c>
      <c r="M39" s="38" t="inlineStr">
        <is>
          <t>S14;S07</t>
        </is>
      </c>
      <c r="N39" s="38" t="inlineStr">
        <is>
          <t>https://www.fairwork.gov.au/tools-and-resources/fact-sheets/rights-and-obligations/record-keeping-pay-slips
https://www.fairwork.gov.au/newsroom/news/offsetting-and-record-keeping-salaried-employees</t>
        </is>
      </c>
      <c r="O39" s="38" t="inlineStr">
        <is>
          <t>Pay records and evidentiary reliability</t>
        </is>
      </c>
      <c r="P39" s="49" t="n">
        <v>3</v>
      </c>
      <c r="Q39" s="38" t="inlineStr">
        <is>
          <t>Yes</t>
        </is>
      </c>
      <c r="R39" s="38" t="inlineStr">
        <is>
          <t>Question retained; answer guidance and risk/action pathways developed in v3.</t>
        </is>
      </c>
    </row>
    <row r="40" ht="151" customHeight="1">
      <c r="A40" s="37" t="inlineStr">
        <is>
          <t>DAT02</t>
        </is>
      </c>
      <c r="B40" s="37" t="inlineStr">
        <is>
          <t>DAT</t>
        </is>
      </c>
      <c r="C40" s="37" t="inlineStr">
        <is>
          <t>Record Keeping</t>
        </is>
      </c>
      <c r="D40" s="37" t="inlineStr">
        <is>
          <t>How do you protect employee and applicant information from unnecessary access or use?</t>
        </is>
      </c>
      <c r="E40" s="37" t="inlineStr">
        <is>
          <t>ALL</t>
        </is>
      </c>
      <c r="F40" s="48" t="n">
        <v>3</v>
      </c>
      <c r="G40" s="37" t="inlineStr">
        <is>
          <t>No</t>
        </is>
      </c>
      <c r="H40" s="37" t="inlineStr">
        <is>
          <t>Single choice: 0-3 / DK</t>
        </is>
      </c>
      <c r="I40" s="37" t="inlineStr">
        <is>
          <t>Consider collection, access, sharing, retention and deletion, including external providers. Privacy Act coverage and the employee-records exemption require separate assessment.</t>
        </is>
      </c>
      <c r="J40" s="37" t="inlineStr">
        <is>
          <t>Q27;Q12</t>
        </is>
      </c>
      <c r="K40" s="37" t="inlineStr">
        <is>
          <t>A_DAT02</t>
        </is>
      </c>
      <c r="L40" s="37" t="inlineStr">
        <is>
          <t>INFORMATION</t>
        </is>
      </c>
      <c r="M40" s="37" t="inlineStr">
        <is>
          <t>S15;S16;S17</t>
        </is>
      </c>
      <c r="N40"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O40" s="37" t="inlineStr">
        <is>
          <t>Privacy and confidential information</t>
        </is>
      </c>
      <c r="P40" s="48" t="n">
        <v>3</v>
      </c>
      <c r="Q40" s="37" t="inlineStr">
        <is>
          <t>Yes</t>
        </is>
      </c>
      <c r="R40" s="37" t="inlineStr">
        <is>
          <t>Question retained; answer guidance and risk/action pathways developed in v3.</t>
        </is>
      </c>
    </row>
    <row r="41" ht="91" customHeight="1">
      <c r="A41" s="38" t="inlineStr">
        <is>
          <t>DAT03</t>
        </is>
      </c>
      <c r="B41" s="38" t="inlineStr">
        <is>
          <t>DAT</t>
        </is>
      </c>
      <c r="C41" s="38" t="inlineStr">
        <is>
          <t>Record Keeping</t>
        </is>
      </c>
      <c r="D41" s="38" t="inlineStr">
        <is>
          <t>Could the business retrieve essential people records if its usual administrator or system were unavailable?</t>
        </is>
      </c>
      <c r="E41" s="38" t="inlineStr">
        <is>
          <t>ALL</t>
        </is>
      </c>
      <c r="F41" s="49" t="n">
        <v>2</v>
      </c>
      <c r="G41" s="38" t="inlineStr">
        <is>
          <t>No</t>
        </is>
      </c>
      <c r="H41" s="38" t="inlineStr">
        <is>
          <t>Single choice: 0-3 / DK</t>
        </is>
      </c>
      <c r="I41" s="38" t="inlineStr">
        <is>
          <t>Consider authorised backup access, export capability, version control and a tested recovery method. Do not share personal passwords.</t>
        </is>
      </c>
      <c r="J41" s="38" t="inlineStr">
        <is>
          <t>Q27</t>
        </is>
      </c>
      <c r="K41" s="38" t="inlineStr">
        <is>
          <t>A_DAT03</t>
        </is>
      </c>
      <c r="L41" s="38" t="inlineStr">
        <is>
          <t>INFORMATION</t>
        </is>
      </c>
      <c r="M41" s="38" t="inlineStr">
        <is>
          <t>S14;S15</t>
        </is>
      </c>
      <c r="N41" s="38" t="inlineStr">
        <is>
          <t>https://www.fairwork.gov.au/tools-and-resources/fact-sheets/rights-and-obligations/record-keeping-pay-slips
https://www.oaic.gov.au/privacy/privacy-guidance-for-organisations-and-government-agencies/organisations/employee-records-exemption</t>
        </is>
      </c>
      <c r="O41" s="38" t="inlineStr">
        <is>
          <t>Record availability and continuity</t>
        </is>
      </c>
      <c r="P41" s="49" t="n">
        <v>3</v>
      </c>
      <c r="Q41" s="38" t="inlineStr">
        <is>
          <t>No</t>
        </is>
      </c>
      <c r="R41" s="38" t="inlineStr">
        <is>
          <t>Question retained; answer guidance and risk/action pathways developed in v3.</t>
        </is>
      </c>
    </row>
    <row r="42" ht="61" customHeight="1">
      <c r="A42" s="37" t="inlineStr">
        <is>
          <t>EXT01</t>
        </is>
      </c>
      <c r="B42" s="37" t="inlineStr">
        <is>
          <t>EXT</t>
        </is>
      </c>
      <c r="C42" s="37" t="inlineStr">
        <is>
          <t>Employee Exits</t>
        </is>
      </c>
      <c r="D42" s="37" t="inlineStr">
        <is>
          <t>Before ending employment, how do you check the reason, required process and protections that may apply?</t>
        </is>
      </c>
      <c r="E42" s="37" t="inlineStr">
        <is>
          <t>ALL</t>
        </is>
      </c>
      <c r="F42" s="48" t="n">
        <v>3</v>
      </c>
      <c r="G42" s="37" t="inlineStr">
        <is>
          <t>Yes</t>
        </is>
      </c>
      <c r="H42" s="37" t="inlineStr">
        <is>
          <t>Single choice: 0-3 / DK</t>
        </is>
      </c>
      <c r="I42" s="37" t="inlineStr">
        <is>
          <t>Include employees in probation and small businesses. Knowing how to defend a claim is not the same as making a sound decision before one arises.</t>
        </is>
      </c>
      <c r="J42" s="37" t="inlineStr">
        <is>
          <t>Q38;Q40;Q46;Q52;Q63;Q64</t>
        </is>
      </c>
      <c r="K42" s="37" t="inlineStr">
        <is>
          <t>A_EXT01</t>
        </is>
      </c>
      <c r="L42" s="37" t="inlineStr">
        <is>
          <t>FAIR_DECISIONS</t>
        </is>
      </c>
      <c r="M42" s="37" t="inlineStr">
        <is>
          <t>S02;S26</t>
        </is>
      </c>
      <c r="N42" s="37" t="inlineStr">
        <is>
          <t>https://www.fairwork.gov.au/taxonomy/term/527
https://www.fairwork.gov.au/tools-and-resources/fact-sheets/minimum-workplace-entitlements/ending-employment</t>
        </is>
      </c>
      <c r="O42" s="37" t="inlineStr">
        <is>
          <t>Employment-ending decisions</t>
        </is>
      </c>
      <c r="P42" s="48" t="n">
        <v>3</v>
      </c>
      <c r="Q42" s="37" t="inlineStr">
        <is>
          <t>Yes</t>
        </is>
      </c>
      <c r="R42" s="37" t="inlineStr">
        <is>
          <t>Question retained; answer guidance and risk/action pathways developed in v3.</t>
        </is>
      </c>
    </row>
    <row r="43" ht="106" customHeight="1">
      <c r="A43" s="38" t="inlineStr">
        <is>
          <t>EXT02</t>
        </is>
      </c>
      <c r="B43" s="38" t="inlineStr">
        <is>
          <t>EXT</t>
        </is>
      </c>
      <c r="C43" s="38" t="inlineStr">
        <is>
          <t>Employee Exits</t>
        </is>
      </c>
      <c r="D43" s="38" t="inlineStr">
        <is>
          <t>How do you check final pay and employment documentation when a person leaves?</t>
        </is>
      </c>
      <c r="E43" s="38" t="inlineStr">
        <is>
          <t>ALL</t>
        </is>
      </c>
      <c r="F43" s="49" t="n">
        <v>3</v>
      </c>
      <c r="G43" s="38" t="inlineStr">
        <is>
          <t>No</t>
        </is>
      </c>
      <c r="H43" s="38" t="inlineStr">
        <is>
          <t>Single choice: 0-3 / DK</t>
        </is>
      </c>
      <c r="I43" s="38" t="inlineStr">
        <is>
          <t>Check the applicable notice, leave, redundancy where relevant, payment timing and permitted deductions. Different exit reasons can produce different entitlements.</t>
        </is>
      </c>
      <c r="J43" s="38" t="inlineStr">
        <is>
          <t>Q46</t>
        </is>
      </c>
      <c r="K43" s="38" t="inlineStr">
        <is>
          <t>A_EXT02</t>
        </is>
      </c>
      <c r="L43" s="38" t="inlineStr">
        <is>
          <t>EXIT</t>
        </is>
      </c>
      <c r="M43" s="38" t="inlineStr">
        <is>
          <t>S26;S08;S14</t>
        </is>
      </c>
      <c r="N43" s="38" t="inlineStr">
        <is>
          <t>https://www.fairwork.gov.au/tools-and-resources/fact-sheets/minimum-workplace-entitlements/ending-employment
https://www.fairwork.gov.au/pay-and-wages/deductions-and-related-issues/deducting-pay
https://www.fairwork.gov.au/tools-and-resources/fact-sheets/rights-and-obligations/record-keeping-pay-slips</t>
        </is>
      </c>
      <c r="O43" s="38" t="inlineStr">
        <is>
          <t>Final pay and entitlements</t>
        </is>
      </c>
      <c r="P43" s="49" t="n">
        <v>3</v>
      </c>
      <c r="Q43" s="38" t="inlineStr">
        <is>
          <t>No</t>
        </is>
      </c>
      <c r="R43" s="38" t="inlineStr">
        <is>
          <t>Question retained; answer guidance and risk/action pathways developed in v3.</t>
        </is>
      </c>
    </row>
    <row r="44" ht="121" customHeight="1">
      <c r="A44" s="37" t="inlineStr">
        <is>
          <t>EXT03</t>
        </is>
      </c>
      <c r="B44" s="37" t="inlineStr">
        <is>
          <t>EXT</t>
        </is>
      </c>
      <c r="C44" s="37" t="inlineStr">
        <is>
          <t>Employee Exits</t>
        </is>
      </c>
      <c r="D44" s="37" t="inlineStr">
        <is>
          <t>How do you protect continuity and information when an employee leaves?</t>
        </is>
      </c>
      <c r="E44" s="37" t="inlineStr">
        <is>
          <t>ALL</t>
        </is>
      </c>
      <c r="F44" s="48" t="n">
        <v>2</v>
      </c>
      <c r="G44" s="37" t="inlineStr">
        <is>
          <t>No</t>
        </is>
      </c>
      <c r="H44" s="37" t="inlineStr">
        <is>
          <t>Single choice: 0-3 / DK</t>
        </is>
      </c>
      <c r="I44" s="37" t="inlineStr">
        <is>
          <t>Consider the timing of access changes, return of property, transfer of work and preservation of relevant records. Do not make payment conditional on property return without checking the law.</t>
        </is>
      </c>
      <c r="J44" s="37" t="inlineStr">
        <is>
          <t>NEW</t>
        </is>
      </c>
      <c r="K44" s="37" t="inlineStr">
        <is>
          <t>A_EXT03</t>
        </is>
      </c>
      <c r="L44" s="37" t="inlineStr">
        <is>
          <t>EXIT</t>
        </is>
      </c>
      <c r="M44" s="37" t="inlineStr">
        <is>
          <t>S14;S15;S08</t>
        </is>
      </c>
      <c r="N44" s="37"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O44" s="37" t="inlineStr">
        <is>
          <t>Access, records and continuity</t>
        </is>
      </c>
      <c r="P44" s="48" t="n">
        <v>3</v>
      </c>
      <c r="Q44" s="37" t="inlineStr">
        <is>
          <t>No</t>
        </is>
      </c>
      <c r="R44" s="37" t="inlineStr">
        <is>
          <t>Question retained; answer guidance and risk/action pathways developed in v3.</t>
        </is>
      </c>
    </row>
    <row r="45" ht="106" customHeight="1">
      <c r="A45" s="38" t="inlineStr">
        <is>
          <t>PSY01</t>
        </is>
      </c>
      <c r="B45" s="38" t="inlineStr">
        <is>
          <t>PSY</t>
        </is>
      </c>
      <c r="C45" s="38" t="inlineStr">
        <is>
          <t>Psychosocial Risk &amp; Positive Duty</t>
        </is>
      </c>
      <c r="D45" s="38" t="inlineStr">
        <is>
          <t>How do you identify aspects of work that could harm people's psychological health?</t>
        </is>
      </c>
      <c r="E45" s="38" t="inlineStr">
        <is>
          <t>ALL</t>
        </is>
      </c>
      <c r="F45" s="49" t="n">
        <v>3</v>
      </c>
      <c r="G45" s="38" t="inlineStr">
        <is>
          <t>Yes</t>
        </is>
      </c>
      <c r="H45" s="38" t="inlineStr">
        <is>
          <t>Single choice: 0-3 / DK</t>
        </is>
      </c>
      <c r="I45" s="38" t="inlineStr">
        <is>
          <t>Consider workload, role clarity, support, change, isolation, aggression and other work-related hazards. Seek input from workers rather than waiting for a formal complaint.</t>
        </is>
      </c>
      <c r="J45" s="38" t="inlineStr">
        <is>
          <t>Q50;Q60;Q62</t>
        </is>
      </c>
      <c r="K45" s="38" t="inlineStr">
        <is>
          <t>A_PSY01</t>
        </is>
      </c>
      <c r="L45" s="38" t="inlineStr">
        <is>
          <t>PSYCHOSOCIAL</t>
        </is>
      </c>
      <c r="M45" s="38" t="inlineStr">
        <is>
          <t>S11;S12</t>
        </is>
      </c>
      <c r="N45"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O45" s="38" t="inlineStr">
        <is>
          <t>Work-related psychological harm</t>
        </is>
      </c>
      <c r="P45" s="49" t="n">
        <v>3</v>
      </c>
      <c r="Q45" s="38" t="inlineStr">
        <is>
          <t>Yes</t>
        </is>
      </c>
      <c r="R45" s="38" t="inlineStr">
        <is>
          <t>Question retained; answer guidance and risk/action pathways developed in v3.</t>
        </is>
      </c>
    </row>
    <row r="46" ht="106" customHeight="1">
      <c r="A46" s="37" t="inlineStr">
        <is>
          <t>PSY02</t>
        </is>
      </c>
      <c r="B46" s="37" t="inlineStr">
        <is>
          <t>PSY</t>
        </is>
      </c>
      <c r="C46" s="37" t="inlineStr">
        <is>
          <t>Psychosocial Risk &amp; Positive Duty</t>
        </is>
      </c>
      <c r="D46" s="37" t="inlineStr">
        <is>
          <t>What arrangements control the psychosocial risks arising from your work?</t>
        </is>
      </c>
      <c r="E46" s="37" t="inlineStr">
        <is>
          <t>ALL</t>
        </is>
      </c>
      <c r="F46" s="48" t="n">
        <v>3</v>
      </c>
      <c r="G46" s="37" t="inlineStr">
        <is>
          <t>Yes</t>
        </is>
      </c>
      <c r="H46" s="37" t="inlineStr">
        <is>
          <t>Single choice: 0-3 / DK</t>
        </is>
      </c>
      <c r="I46" s="37" t="inlineStr">
        <is>
          <t>Look for controls addressing workload, staffing, role design, supervision or aggression. Controls may already be built into how work is organised. Support services do not replace prevention; a new programme is not automatically required.</t>
        </is>
      </c>
      <c r="J46" s="37" t="inlineStr">
        <is>
          <t>Q60;Q62</t>
        </is>
      </c>
      <c r="K46" s="37" t="inlineStr">
        <is>
          <t>A_PSY02</t>
        </is>
      </c>
      <c r="L46" s="37" t="inlineStr">
        <is>
          <t>PSYCHOSOCIAL</t>
        </is>
      </c>
      <c r="M46" s="37" t="inlineStr">
        <is>
          <t>S11;S12</t>
        </is>
      </c>
      <c r="N46"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O46" s="37" t="inlineStr">
        <is>
          <t>Work-related psychological harm</t>
        </is>
      </c>
      <c r="P46" s="48" t="n">
        <v>3</v>
      </c>
      <c r="Q46" s="37" t="inlineStr">
        <is>
          <t>Yes</t>
        </is>
      </c>
      <c r="R46" s="37" t="inlineStr">
        <is>
          <t>Question retained; answer guidance and risk/action pathways developed in v3.</t>
        </is>
      </c>
    </row>
    <row r="47" ht="76" customHeight="1">
      <c r="A47" s="38" t="inlineStr">
        <is>
          <t>PSY03</t>
        </is>
      </c>
      <c r="B47" s="38" t="inlineStr">
        <is>
          <t>PSY</t>
        </is>
      </c>
      <c r="C47" s="38" t="inlineStr">
        <is>
          <t>Psychosocial Risk &amp; Positive Duty</t>
        </is>
      </c>
      <c r="D47" s="38" t="inlineStr">
        <is>
          <t>How does your business actively prevent sexual harassment, sex-based harassment and related unlawful conduct?</t>
        </is>
      </c>
      <c r="E47" s="38" t="inlineStr">
        <is>
          <t>ALL</t>
        </is>
      </c>
      <c r="F47" s="49" t="n">
        <v>3</v>
      </c>
      <c r="G47" s="38" t="inlineStr">
        <is>
          <t>Yes</t>
        </is>
      </c>
      <c r="H47" s="38" t="inlineStr">
        <is>
          <t>Single choice: 0-3 / DK</t>
        </is>
      </c>
      <c r="I47" s="38" t="inlineStr">
        <is>
          <t>Consider the positive duty under the Sex Discrimination Act, including sex discrimination, hostile environments on the ground of sex and related victimisation. This duty is related to, but distinct from, general WHS duties.</t>
        </is>
      </c>
      <c r="J47" s="38" t="inlineStr">
        <is>
          <t>Q56</t>
        </is>
      </c>
      <c r="K47" s="38" t="inlineStr">
        <is>
          <t>A_PSY03</t>
        </is>
      </c>
      <c r="L47" s="38" t="inlineStr">
        <is>
          <t>RESPECT</t>
        </is>
      </c>
      <c r="M47" s="38" t="inlineStr">
        <is>
          <t>S10</t>
        </is>
      </c>
      <c r="N47" s="38" t="inlineStr">
        <is>
          <t>https://humanrights.gov.au/resource-hub/resources-for-organisations-businesses/positive-duty-pdfs/guidelines-for-complying-with-the-positive-duty-under-the-sex-discrimination-act-1984-cth</t>
        </is>
      </c>
      <c r="O47" s="38" t="inlineStr">
        <is>
          <t>Prevention of unlawful workplace conduct</t>
        </is>
      </c>
      <c r="P47" s="49" t="n">
        <v>3</v>
      </c>
      <c r="Q47" s="38" t="inlineStr">
        <is>
          <t>Yes</t>
        </is>
      </c>
      <c r="R47" s="38" t="inlineStr">
        <is>
          <t>Question retained; answer guidance and risk/action pathways developed in v3.</t>
        </is>
      </c>
    </row>
    <row r="48" ht="121" customHeight="1">
      <c r="A48" s="37" t="inlineStr">
        <is>
          <t>PSY04</t>
        </is>
      </c>
      <c r="B48" s="37" t="inlineStr">
        <is>
          <t>PSY</t>
        </is>
      </c>
      <c r="C48" s="37" t="inlineStr">
        <is>
          <t>Psychosocial Risk &amp; Positive Duty</t>
        </is>
      </c>
      <c r="D48" s="37" t="inlineStr">
        <is>
          <t>Could someone raise a concern safely if it involved their manager, the owner or a high-performing colleague?</t>
        </is>
      </c>
      <c r="E48" s="37" t="inlineStr">
        <is>
          <t>ALL</t>
        </is>
      </c>
      <c r="F48" s="48" t="n">
        <v>3</v>
      </c>
      <c r="G48" s="37" t="inlineStr">
        <is>
          <t>Yes</t>
        </is>
      </c>
      <c r="H48" s="37" t="inlineStr">
        <is>
          <t>Single choice: 0-3 / DK</t>
        </is>
      </c>
      <c r="I48" s="37" t="inlineStr">
        <is>
          <t>A reporting route must work when the usual contact is the subject of the concern. Do not promise anonymity where it cannot be delivered.</t>
        </is>
      </c>
      <c r="J48" s="37" t="inlineStr">
        <is>
          <t>Q56;Q50</t>
        </is>
      </c>
      <c r="K48" s="37" t="inlineStr">
        <is>
          <t>A_PSY04</t>
        </is>
      </c>
      <c r="L48" s="37" t="inlineStr">
        <is>
          <t>RESPECT</t>
        </is>
      </c>
      <c r="M48" s="37" t="inlineStr">
        <is>
          <t>S10;S11</t>
        </is>
      </c>
      <c r="N48"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O48" s="37" t="inlineStr">
        <is>
          <t>Safe reporting and protection from retaliation</t>
        </is>
      </c>
      <c r="P48" s="48" t="n">
        <v>3</v>
      </c>
      <c r="Q48" s="37" t="inlineStr">
        <is>
          <t>Yes</t>
        </is>
      </c>
      <c r="R48" s="37" t="inlineStr">
        <is>
          <t>Question retained; answer guidance and risk/action pathways developed in v3.</t>
        </is>
      </c>
    </row>
    <row r="49" ht="166" customHeight="1">
      <c r="A49" s="38" t="inlineStr">
        <is>
          <t>PSY05</t>
        </is>
      </c>
      <c r="B49" s="38" t="inlineStr">
        <is>
          <t>PSY</t>
        </is>
      </c>
      <c r="C49" s="38" t="inlineStr">
        <is>
          <t>Psychosocial Risk &amp; Positive Duty</t>
        </is>
      </c>
      <c r="D49" s="38" t="inlineStr">
        <is>
          <t>How would you respond to a wellbeing or behavioural concern while protecting the people involved?</t>
        </is>
      </c>
      <c r="E49" s="38" t="inlineStr">
        <is>
          <t>ALL</t>
        </is>
      </c>
      <c r="F49" s="49" t="n">
        <v>2</v>
      </c>
      <c r="G49" s="38" t="inlineStr">
        <is>
          <t>No</t>
        </is>
      </c>
      <c r="H49" s="38" t="inlineStr">
        <is>
          <t>Single choice: 0-3 / DK</t>
        </is>
      </c>
      <c r="I49" s="38" t="inlineStr">
        <is>
          <t>Consider immediate safety, appropriate confidentiality, support, fair fact-finding and follow-up. A commercial EAP is one support option, not a universal prerequisite.</t>
        </is>
      </c>
      <c r="J49" s="38" t="inlineStr">
        <is>
          <t>Q56;Q62</t>
        </is>
      </c>
      <c r="K49" s="38" t="inlineStr">
        <is>
          <t>A_PSY05</t>
        </is>
      </c>
      <c r="L49" s="38" t="inlineStr">
        <is>
          <t>RESPECT</t>
        </is>
      </c>
      <c r="M49" s="38" t="inlineStr">
        <is>
          <t>S10;S11;S12</t>
        </is>
      </c>
      <c r="N49"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O49" s="38" t="inlineStr">
        <is>
          <t>Support and fair response</t>
        </is>
      </c>
      <c r="P49" s="49" t="n">
        <v>3</v>
      </c>
      <c r="Q49" s="38" t="inlineStr">
        <is>
          <t>No</t>
        </is>
      </c>
      <c r="R49" s="38" t="inlineStr">
        <is>
          <t>Question retained; answer guidance and risk/action pathways developed in v3.</t>
        </is>
      </c>
    </row>
    <row r="50" ht="76" customHeight="1">
      <c r="A50" s="37" t="inlineStr">
        <is>
          <t>B01</t>
        </is>
      </c>
      <c r="B50" s="37" t="inlineStr">
        <is>
          <t>PAY</t>
        </is>
      </c>
      <c r="C50" s="37" t="inlineStr">
        <is>
          <t>Pay &amp; Entitlements</t>
        </is>
      </c>
      <c r="D50" s="37" t="inlineStr">
        <is>
          <t>How have you checked a salary or flat rate that is intended to cover award or agreement entitlements?</t>
        </is>
      </c>
      <c r="E50" s="37" t="inlineStr">
        <is>
          <t>SALARY</t>
        </is>
      </c>
      <c r="F50" s="48" t="n">
        <v>3</v>
      </c>
      <c r="G50" s="37" t="inlineStr">
        <is>
          <t>Yes</t>
        </is>
      </c>
      <c r="H50" s="37" t="inlineStr">
        <is>
          <t>Single choice: 0-3 / DK</t>
        </is>
      </c>
      <c r="I50" s="37" t="inlineStr">
        <is>
          <t>Distinguish contractual offsetting from an award/agreement annualised wage arrangement. Check the relevant payment period, actual hours, included entitlements and any reconciliation or outer-limit requirements.</t>
        </is>
      </c>
      <c r="J50" s="37" t="inlineStr">
        <is>
          <t>Q04;Q06;Q19;Q20</t>
        </is>
      </c>
      <c r="K50" s="37" t="inlineStr">
        <is>
          <t>A_B01</t>
        </is>
      </c>
      <c r="L50" s="37" t="inlineStr">
        <is>
          <t>PAY_ASSURANCE</t>
        </is>
      </c>
      <c r="M50" s="37" t="inlineStr">
        <is>
          <t>S06;S07</t>
        </is>
      </c>
      <c r="N50" s="37" t="inlineStr">
        <is>
          <t>https://www.fairwork.gov.au/pay-and-wages/minimum-wages/annualised-salaries
https://www.fairwork.gov.au/newsroom/news/offsetting-and-record-keeping-salaried-employees</t>
        </is>
      </c>
      <c r="O50" s="37" t="inlineStr">
        <is>
          <t>Salary arrangements and pay exposure</t>
        </is>
      </c>
      <c r="P50" s="48" t="n">
        <v>3</v>
      </c>
      <c r="Q50" s="37" t="inlineStr">
        <is>
          <t>Yes</t>
        </is>
      </c>
      <c r="R50" s="37" t="inlineStr">
        <is>
          <t>Question retained; answer guidance and risk/action pathways developed in v3.</t>
        </is>
      </c>
    </row>
    <row r="51" ht="61" customHeight="1">
      <c r="A51" s="38" t="inlineStr">
        <is>
          <t>B02</t>
        </is>
      </c>
      <c r="B51" s="38" t="inlineStr">
        <is>
          <t>CON</t>
        </is>
      </c>
      <c r="C51" s="38" t="inlineStr">
        <is>
          <t>Employment Contracts</t>
        </is>
      </c>
      <c r="D51" s="38" t="inlineStr">
        <is>
          <t>How do you manage eligible casual employees' notices seeking permanent employment?</t>
        </is>
      </c>
      <c r="E51" s="38" t="inlineStr">
        <is>
          <t>CASUAL</t>
        </is>
      </c>
      <c r="F51" s="49" t="n">
        <v>3</v>
      </c>
      <c r="G51" s="38" t="inlineStr">
        <is>
          <t>No</t>
        </is>
      </c>
      <c r="H51" s="38" t="inlineStr">
        <is>
          <t>Single choice: 0-3 / DK</t>
        </is>
      </c>
      <c r="I51" s="38" t="inlineStr">
        <is>
          <t>The employee choice pathway replaced the former casual conversion rules. Small businesses are not generally exempt; relevant service periods and eligibility tests differ.</t>
        </is>
      </c>
      <c r="J51" s="38" t="inlineStr">
        <is>
          <t>Q08</t>
        </is>
      </c>
      <c r="K51" s="38" t="inlineStr">
        <is>
          <t>A_B02</t>
        </is>
      </c>
      <c r="L51" s="38" t="inlineStr">
        <is>
          <t>TERMS</t>
        </is>
      </c>
      <c r="M51" s="38" t="inlineStr">
        <is>
          <t>S02;S03</t>
        </is>
      </c>
      <c r="N51" s="38" t="inlineStr">
        <is>
          <t>https://www.fairwork.gov.au/taxonomy/term/527
https://www.fairwork.gov.au/starting-employment/types-of-employees/casual-employees/becoming-a-permanent-employee</t>
        </is>
      </c>
      <c r="O51" s="38" t="inlineStr">
        <is>
          <t>Casual employment rights</t>
        </is>
      </c>
      <c r="P51" s="49" t="n">
        <v>3</v>
      </c>
      <c r="Q51" s="38" t="inlineStr">
        <is>
          <t>No</t>
        </is>
      </c>
      <c r="R51" s="38" t="inlineStr">
        <is>
          <t>Question retained; answer guidance and risk/action pathways developed in v3.</t>
        </is>
      </c>
    </row>
    <row r="52" ht="61" customHeight="1">
      <c r="A52" s="37" t="inlineStr">
        <is>
          <t>B03</t>
        </is>
      </c>
      <c r="B52" s="37" t="inlineStr">
        <is>
          <t>ONB</t>
        </is>
      </c>
      <c r="C52" s="37" t="inlineStr">
        <is>
          <t>New Hires &amp; Onboarding</t>
        </is>
      </c>
      <c r="D52" s="37" t="inlineStr">
        <is>
          <t>How do you manage the later issue of the Casual Employment Information Statement?</t>
        </is>
      </c>
      <c r="E52" s="37" t="inlineStr">
        <is>
          <t>CASUAL</t>
        </is>
      </c>
      <c r="F52" s="48" t="n">
        <v>2</v>
      </c>
      <c r="G52" s="37" t="inlineStr">
        <is>
          <t>No</t>
        </is>
      </c>
      <c r="H52" s="37" t="inlineStr">
        <is>
          <t>Single choice: 0-3 / DK</t>
        </is>
      </c>
      <c r="I52" s="37" t="inlineStr">
        <is>
          <t>In addition to commencement, small-business employers provide it after 12 months. Other employers provide it after 6 and 12 months and each subsequent 12 months.</t>
        </is>
      </c>
      <c r="J52" s="37" t="inlineStr">
        <is>
          <t>Q16</t>
        </is>
      </c>
      <c r="K52" s="37" t="inlineStr">
        <is>
          <t>A_B03</t>
        </is>
      </c>
      <c r="L52" s="37" t="inlineStr">
        <is>
          <t>START_SAFE</t>
        </is>
      </c>
      <c r="M52" s="37" t="inlineStr">
        <is>
          <t>S04</t>
        </is>
      </c>
      <c r="N52" s="37" t="inlineStr">
        <is>
          <t>https://www.fairwork.gov.au/employment-conditions/information-statements/casual-employment-information-statement</t>
        </is>
      </c>
      <c r="O52" s="37" t="inlineStr">
        <is>
          <t>Casual information obligations</t>
        </is>
      </c>
      <c r="P52" s="48" t="n">
        <v>2</v>
      </c>
      <c r="Q52" s="37" t="inlineStr">
        <is>
          <t>No</t>
        </is>
      </c>
      <c r="R52" s="37" t="inlineStr">
        <is>
          <t>Question retained; answer guidance and risk/action pathways developed in v3.</t>
        </is>
      </c>
    </row>
    <row r="53" ht="61" customHeight="1">
      <c r="A53" s="38" t="inlineStr">
        <is>
          <t>B04</t>
        </is>
      </c>
      <c r="B53" s="38" t="inlineStr">
        <is>
          <t>CON</t>
        </is>
      </c>
      <c r="C53" s="38" t="inlineStr">
        <is>
          <t>Employment Contracts</t>
        </is>
      </c>
      <c r="D53" s="38" t="inlineStr">
        <is>
          <t>What is checked before you enter into or renew a fixed-term employment contract?</t>
        </is>
      </c>
      <c r="E53" s="38" t="inlineStr">
        <is>
          <t>FIXED</t>
        </is>
      </c>
      <c r="F53" s="49" t="n">
        <v>3</v>
      </c>
      <c r="G53" s="38" t="inlineStr">
        <is>
          <t>Yes</t>
        </is>
      </c>
      <c r="H53" s="38" t="inlineStr">
        <is>
          <t>Single choice: 0-3 / DK</t>
        </is>
      </c>
      <c r="I53" s="38" t="inlineStr">
        <is>
          <t>Consider applicable limits, consecutive contracts, renewal options, genuine exceptions and the required information statement. Exceptions can change or expire.</t>
        </is>
      </c>
      <c r="J53" s="38" t="inlineStr">
        <is>
          <t>NEW</t>
        </is>
      </c>
      <c r="K53" s="38" t="inlineStr">
        <is>
          <t>A_B04</t>
        </is>
      </c>
      <c r="L53" s="38" t="inlineStr">
        <is>
          <t>TERMS</t>
        </is>
      </c>
      <c r="M53" s="38" t="inlineStr">
        <is>
          <t>S09</t>
        </is>
      </c>
      <c r="N53" s="38" t="inlineStr">
        <is>
          <t>https://www.fairwork.gov.au/starting-employment/types-of-employees/fixed-term-contract-employees</t>
        </is>
      </c>
      <c r="O53" s="38" t="inlineStr">
        <is>
          <t>Fixed-term contract restrictions</t>
        </is>
      </c>
      <c r="P53" s="49" t="n">
        <v>3</v>
      </c>
      <c r="Q53" s="38" t="inlineStr">
        <is>
          <t>Yes</t>
        </is>
      </c>
      <c r="R53" s="38" t="inlineStr">
        <is>
          <t>Question retained; answer guidance and risk/action pathways developed in v3.</t>
        </is>
      </c>
    </row>
    <row r="54" ht="91" customHeight="1">
      <c r="A54" s="37" t="inlineStr">
        <is>
          <t>B05</t>
        </is>
      </c>
      <c r="B54" s="37" t="inlineStr">
        <is>
          <t>CON</t>
        </is>
      </c>
      <c r="C54" s="37" t="inlineStr">
        <is>
          <t>Employment Contracts</t>
        </is>
      </c>
      <c r="D54" s="37" t="inlineStr">
        <is>
          <t>How have you checked whether your contractor arrangements are appropriate in practice?</t>
        </is>
      </c>
      <c r="E54" s="37" t="inlineStr">
        <is>
          <t>CONTRACTOR</t>
        </is>
      </c>
      <c r="F54" s="48" t="n">
        <v>3</v>
      </c>
      <c r="G54" s="37" t="inlineStr">
        <is>
          <t>Yes</t>
        </is>
      </c>
      <c r="H54" s="37" t="inlineStr">
        <is>
          <t>Single choice: 0-3 / DK</t>
        </is>
      </c>
      <c r="I54" s="37" t="inlineStr">
        <is>
          <t>Use the employment-status test that applies to the entity and circumstances. Assess superannuation separately; an ABN or invoice does not settle either issue.</t>
        </is>
      </c>
      <c r="J54" s="37" t="inlineStr">
        <is>
          <t>Q17</t>
        </is>
      </c>
      <c r="K54" s="37" t="inlineStr">
        <is>
          <t>A_B05</t>
        </is>
      </c>
      <c r="L54" s="37" t="inlineStr">
        <is>
          <t>TERMS</t>
        </is>
      </c>
      <c r="M54" s="37" t="inlineStr">
        <is>
          <t>S23;S24</t>
        </is>
      </c>
      <c r="N54" s="37" t="inlineStr">
        <is>
          <t>https://www.fairwork.gov.au/find-help-for/independent-contractors/whole-of-relationship-test
https://www.ato.gov.au/businesses-and-organisations/super-for-employers/work-out-if-you-have-to-pay-super/super-for-independent-contractors</t>
        </is>
      </c>
      <c r="O54" s="37" t="inlineStr">
        <is>
          <t>Worker status and superannuation</t>
        </is>
      </c>
      <c r="P54" s="48" t="n">
        <v>3</v>
      </c>
      <c r="Q54" s="37" t="inlineStr">
        <is>
          <t>Yes</t>
        </is>
      </c>
      <c r="R54" s="37" t="inlineStr">
        <is>
          <t>Question retained; answer guidance and risk/action pathways developed in v3.</t>
        </is>
      </c>
    </row>
    <row r="55" ht="106" customHeight="1">
      <c r="A55" s="38" t="inlineStr">
        <is>
          <t>B06</t>
        </is>
      </c>
      <c r="B55" s="38" t="inlineStr">
        <is>
          <t>PAY</t>
        </is>
      </c>
      <c r="C55" s="38" t="inlineStr">
        <is>
          <t>Pay &amp; Entitlements</t>
        </is>
      </c>
      <c r="D55" s="38" t="inlineStr">
        <is>
          <t>How do you manage changes to part-time hours and the resulting pay?</t>
        </is>
      </c>
      <c r="E55" s="38" t="inlineStr">
        <is>
          <t>PART_TIME</t>
        </is>
      </c>
      <c r="F55" s="49" t="n">
        <v>3</v>
      </c>
      <c r="G55" s="38" t="inlineStr">
        <is>
          <t>No</t>
        </is>
      </c>
      <c r="H55" s="38" t="inlineStr">
        <is>
          <t>Single choice: 0-3 / DK</t>
        </is>
      </c>
      <c r="I55" s="38" t="inlineStr">
        <is>
          <t>The relevant award/agreement can require agreement, records, minimum engagements or overtime in particular circumstances. A variation letter alone does not establish correct payment.</t>
        </is>
      </c>
      <c r="J55" s="38" t="inlineStr">
        <is>
          <t>Q26</t>
        </is>
      </c>
      <c r="K55" s="38" t="inlineStr">
        <is>
          <t>A_B06</t>
        </is>
      </c>
      <c r="L55" s="38" t="inlineStr">
        <is>
          <t>PAY_ASSURANCE</t>
        </is>
      </c>
      <c r="M55" s="38" t="inlineStr">
        <is>
          <t>S06;S25;S14</t>
        </is>
      </c>
      <c r="N55" s="38" t="inlineStr">
        <is>
          <t>https://www.fairwork.gov.au/pay-and-wages/minimum-wages/annualised-salaries
https://www.fairwork.gov.au/tools-and-resources/best-practice-guides/consultation-and-cooperation-in-the-workplace
https://www.fairwork.gov.au/tools-and-resources/fact-sheets/rights-and-obligations/record-keeping-pay-slips</t>
        </is>
      </c>
      <c r="O55" s="38" t="inlineStr">
        <is>
          <t>Part-time hours and pay</t>
        </is>
      </c>
      <c r="P55" s="49" t="n">
        <v>3</v>
      </c>
      <c r="Q55" s="38" t="inlineStr">
        <is>
          <t>Yes</t>
        </is>
      </c>
      <c r="R55" s="38" t="inlineStr">
        <is>
          <t>Question retained; answer guidance and risk/action pathways developed in v3.</t>
        </is>
      </c>
    </row>
    <row r="56" ht="76" customHeight="1">
      <c r="A56" s="37" t="inlineStr">
        <is>
          <t>B07</t>
        </is>
      </c>
      <c r="B56" s="37" t="inlineStr">
        <is>
          <t>PAY</t>
        </is>
      </c>
      <c r="C56" s="37" t="inlineStr">
        <is>
          <t>Pay &amp; Entitlements</t>
        </is>
      </c>
      <c r="D56" s="37" t="inlineStr">
        <is>
          <t>How do you identify when allowances or leave loading become payable?</t>
        </is>
      </c>
      <c r="E56" s="37" t="inlineStr">
        <is>
          <t>ALLOWANCE</t>
        </is>
      </c>
      <c r="F56" s="48" t="n">
        <v>3</v>
      </c>
      <c r="G56" s="37" t="inlineStr">
        <is>
          <t>No</t>
        </is>
      </c>
      <c r="H56" s="37" t="inlineStr">
        <is>
          <t>Single choice: 0-3 / DK</t>
        </is>
      </c>
      <c r="I56" s="37" t="inlineStr">
        <is>
          <t>Check role, task, qualification, equipment, travel and work-pattern triggers relevant to your instrument. Some businesses legitimately have no applicable allowance, but the basis should be checked.</t>
        </is>
      </c>
      <c r="J56" s="37" t="inlineStr">
        <is>
          <t>Q06;Q29</t>
        </is>
      </c>
      <c r="K56" s="37" t="inlineStr">
        <is>
          <t>A_B07</t>
        </is>
      </c>
      <c r="L56" s="37" t="inlineStr">
        <is>
          <t>PAY_ASSURANCE</t>
        </is>
      </c>
      <c r="M56" s="37" t="inlineStr">
        <is>
          <t>S06;S07</t>
        </is>
      </c>
      <c r="N56" s="37" t="inlineStr">
        <is>
          <t>https://www.fairwork.gov.au/pay-and-wages/minimum-wages/annualised-salaries
https://www.fairwork.gov.au/newsroom/news/offsetting-and-record-keeping-salaried-employees</t>
        </is>
      </c>
      <c r="O56" s="37" t="inlineStr">
        <is>
          <t>Allowances and leave loading</t>
        </is>
      </c>
      <c r="P56" s="48" t="n">
        <v>3</v>
      </c>
      <c r="Q56" s="37" t="inlineStr">
        <is>
          <t>No</t>
        </is>
      </c>
      <c r="R56" s="37" t="inlineStr">
        <is>
          <t>Question retained; answer guidance and risk/action pathways developed in v3.</t>
        </is>
      </c>
    </row>
    <row r="57" ht="46" customHeight="1">
      <c r="A57" s="38" t="inlineStr">
        <is>
          <t>B08</t>
        </is>
      </c>
      <c r="B57" s="38" t="inlineStr">
        <is>
          <t>PAY</t>
        </is>
      </c>
      <c r="C57" s="38" t="inlineStr">
        <is>
          <t>Pay &amp; Entitlements</t>
        </is>
      </c>
      <c r="D57" s="38" t="inlineStr">
        <is>
          <t>What do you check before making a non-statutory deduction from an employee's pay?</t>
        </is>
      </c>
      <c r="E57" s="38" t="inlineStr">
        <is>
          <t>DEDUCTION</t>
        </is>
      </c>
      <c r="F57" s="49" t="n">
        <v>3</v>
      </c>
      <c r="G57" s="38" t="inlineStr">
        <is>
          <t>Yes</t>
        </is>
      </c>
      <c r="H57" s="38" t="inlineStr">
        <is>
          <t>Single choice: 0-3 / DK</t>
        </is>
      </c>
      <c r="I57" s="38" t="inlineStr">
        <is>
          <t>Written approval alone does not make every deduction lawful. Check the specific basis, purpose, reasonableness and any special restrictions.</t>
        </is>
      </c>
      <c r="J57" s="38" t="inlineStr">
        <is>
          <t>Q25</t>
        </is>
      </c>
      <c r="K57" s="38" t="inlineStr">
        <is>
          <t>A_B08</t>
        </is>
      </c>
      <c r="L57" s="38" t="inlineStr">
        <is>
          <t>PAY_ASSURANCE</t>
        </is>
      </c>
      <c r="M57" s="38" t="inlineStr">
        <is>
          <t>S08</t>
        </is>
      </c>
      <c r="N57" s="38" t="inlineStr">
        <is>
          <t>https://www.fairwork.gov.au/pay-and-wages/deductions-and-related-issues/deducting-pay</t>
        </is>
      </c>
      <c r="O57" s="38" t="inlineStr">
        <is>
          <t>Deductions and protected pay</t>
        </is>
      </c>
      <c r="P57" s="49" t="n">
        <v>3</v>
      </c>
      <c r="Q57" s="38" t="inlineStr">
        <is>
          <t>Yes</t>
        </is>
      </c>
      <c r="R57" s="38" t="inlineStr">
        <is>
          <t>Question retained; answer guidance and risk/action pathways developed in v3.</t>
        </is>
      </c>
    </row>
    <row r="58" ht="61" customHeight="1">
      <c r="A58" s="37" t="inlineStr">
        <is>
          <t>B09</t>
        </is>
      </c>
      <c r="B58" s="37" t="inlineStr">
        <is>
          <t>PAY</t>
        </is>
      </c>
      <c r="C58" s="37" t="inlineStr">
        <is>
          <t>Pay &amp; Entitlements</t>
        </is>
      </c>
      <c r="D58" s="37" t="inlineStr">
        <is>
          <t>How do you check leave arrangements before a planned business shutdown?</t>
        </is>
      </c>
      <c r="E58" s="37" t="inlineStr">
        <is>
          <t>SHUTDOWN</t>
        </is>
      </c>
      <c r="F58" s="48" t="n">
        <v>2</v>
      </c>
      <c r="G58" s="37" t="inlineStr">
        <is>
          <t>No</t>
        </is>
      </c>
      <c r="H58" s="37" t="inlineStr">
        <is>
          <t>Single choice: 0-3 / DK</t>
        </is>
      </c>
      <c r="I58" s="37" t="inlineStr">
        <is>
          <t>Confirm the applicable notice, direction and payment rules, including arrangements for people without enough accrued leave. A shutdown is not automatically a stand down.</t>
        </is>
      </c>
      <c r="J58" s="37" t="inlineStr">
        <is>
          <t>Q45</t>
        </is>
      </c>
      <c r="K58" s="37" t="inlineStr">
        <is>
          <t>A_B09</t>
        </is>
      </c>
      <c r="L58" s="37" t="inlineStr">
        <is>
          <t>LEAVE</t>
        </is>
      </c>
      <c r="M58" s="37" t="inlineStr">
        <is>
          <t>S29</t>
        </is>
      </c>
      <c r="N58" s="37" t="inlineStr">
        <is>
          <t>https://www.fairwork.gov.au/leave/annual-leave/directing-an-employee-to-take-annual-leave/direction-to-take-annual-leave-during-a-shut-down</t>
        </is>
      </c>
      <c r="O58" s="37" t="inlineStr">
        <is>
          <t>Shutdown leave and payment</t>
        </is>
      </c>
      <c r="P58" s="48" t="n">
        <v>3</v>
      </c>
      <c r="Q58" s="37" t="inlineStr">
        <is>
          <t>No</t>
        </is>
      </c>
      <c r="R58" s="37" t="inlineStr">
        <is>
          <t>Question retained; answer guidance and risk/action pathways developed in v3.</t>
        </is>
      </c>
    </row>
    <row r="59" ht="61" customHeight="1">
      <c r="A59" s="38" t="inlineStr">
        <is>
          <t>B10</t>
        </is>
      </c>
      <c r="B59" s="38" t="inlineStr">
        <is>
          <t>PAY</t>
        </is>
      </c>
      <c r="C59" s="38" t="inlineStr">
        <is>
          <t>Pay &amp; Entitlements</t>
        </is>
      </c>
      <c r="D59" s="38" t="inlineStr">
        <is>
          <t>How do you check a request to cash out annual leave?</t>
        </is>
      </c>
      <c r="E59" s="38" t="inlineStr">
        <is>
          <t>CASHOUT</t>
        </is>
      </c>
      <c r="F59" s="49" t="n">
        <v>2</v>
      </c>
      <c r="G59" s="38" t="inlineStr">
        <is>
          <t>No</t>
        </is>
      </c>
      <c r="H59" s="38" t="inlineStr">
        <is>
          <t>Single choice: 0-3 / DK</t>
        </is>
      </c>
      <c r="I59" s="38" t="inlineStr">
        <is>
          <t>Use the applicable award, agreement or award/agreement-free rules. Check permitted limits, the remaining balance, genuine agreement and the correct payment.</t>
        </is>
      </c>
      <c r="J59" s="38" t="inlineStr">
        <is>
          <t>Q28</t>
        </is>
      </c>
      <c r="K59" s="38" t="inlineStr">
        <is>
          <t>A_B10</t>
        </is>
      </c>
      <c r="L59" s="38" t="inlineStr">
        <is>
          <t>LEAVE</t>
        </is>
      </c>
      <c r="M59" s="38" t="inlineStr">
        <is>
          <t>S28</t>
        </is>
      </c>
      <c r="N59" s="38" t="inlineStr">
        <is>
          <t>https://www.fairwork.gov.au/leave/annual-leave/cashing-out-annual-leave</t>
        </is>
      </c>
      <c r="O59" s="38" t="inlineStr">
        <is>
          <t>Leave cash-out entitlements</t>
        </is>
      </c>
      <c r="P59" s="49" t="n">
        <v>3</v>
      </c>
      <c r="Q59" s="38" t="inlineStr">
        <is>
          <t>No</t>
        </is>
      </c>
      <c r="R59" s="38" t="inlineStr">
        <is>
          <t>Question retained; answer guidance and risk/action pathways developed in v3.</t>
        </is>
      </c>
    </row>
    <row r="60" ht="61" customHeight="1">
      <c r="A60" s="37" t="inlineStr">
        <is>
          <t>B11</t>
        </is>
      </c>
      <c r="B60" s="37" t="inlineStr">
        <is>
          <t>PAY</t>
        </is>
      </c>
      <c r="C60" s="37" t="inlineStr">
        <is>
          <t>Pay &amp; Entitlements</t>
        </is>
      </c>
      <c r="D60" s="37" t="inlineStr">
        <is>
          <t>How have you checked portable long service leave obligations for your industry and work locations?</t>
        </is>
      </c>
      <c r="E60" s="37" t="inlineStr">
        <is>
          <t>PORTABLE</t>
        </is>
      </c>
      <c r="F60" s="48" t="n">
        <v>2</v>
      </c>
      <c r="G60" s="37" t="inlineStr">
        <is>
          <t>No</t>
        </is>
      </c>
      <c r="H60" s="37" t="inlineStr">
        <is>
          <t>Single choice: 0-3 / DK</t>
        </is>
      </c>
      <c r="I60" s="37" t="inlineStr">
        <is>
          <t>Coverage and contributions are scheme-specific. Do not assume portable leave replaces ordinary long service leave obligations.</t>
        </is>
      </c>
      <c r="J60" s="37" t="inlineStr">
        <is>
          <t>Q58</t>
        </is>
      </c>
      <c r="K60" s="37" t="inlineStr">
        <is>
          <t>A_B11</t>
        </is>
      </c>
      <c r="L60" s="37" t="inlineStr">
        <is>
          <t>LEAVE</t>
        </is>
      </c>
      <c r="M60" s="37" t="inlineStr">
        <is>
          <t>S31</t>
        </is>
      </c>
      <c r="N60" s="37" t="inlineStr">
        <is>
          <t>https://www.nsw.gov.au/employment/rights-responsibilities/portable-long-service/csi-long-service-leave-scheme/employer-obligations</t>
        </is>
      </c>
      <c r="O60" s="37" t="inlineStr">
        <is>
          <t>Portable leave and scheme obligations</t>
        </is>
      </c>
      <c r="P60" s="48" t="n">
        <v>3</v>
      </c>
      <c r="Q60" s="37" t="inlineStr">
        <is>
          <t>No</t>
        </is>
      </c>
      <c r="R60" s="37" t="inlineStr">
        <is>
          <t>Question retained; answer guidance and risk/action pathways developed in v3.</t>
        </is>
      </c>
    </row>
    <row r="61" ht="61" customHeight="1">
      <c r="A61" s="38" t="inlineStr">
        <is>
          <t>B12</t>
        </is>
      </c>
      <c r="B61" s="38" t="inlineStr">
        <is>
          <t>CON</t>
        </is>
      </c>
      <c r="C61" s="38" t="inlineStr">
        <is>
          <t>Employment Contracts</t>
        </is>
      </c>
      <c r="D61" s="38" t="inlineStr">
        <is>
          <t>How have you checked any individual flexibility arrangements used by the business?</t>
        </is>
      </c>
      <c r="E61" s="38" t="inlineStr">
        <is>
          <t>IFA</t>
        </is>
      </c>
      <c r="F61" s="49" t="n">
        <v>2</v>
      </c>
      <c r="G61" s="38" t="inlineStr">
        <is>
          <t>No</t>
        </is>
      </c>
      <c r="H61" s="38" t="inlineStr">
        <is>
          <t>Single choice: 0-3 / DK</t>
        </is>
      </c>
      <c r="I61" s="38" t="inlineStr">
        <is>
          <t>An IFA is not simply a flexible roster or work-from-home agreement. Check permitted terms, genuine agreement, documentation and the better off overall requirement.</t>
        </is>
      </c>
      <c r="J61" s="38" t="inlineStr">
        <is>
          <t>Q51</t>
        </is>
      </c>
      <c r="K61" s="38" t="inlineStr">
        <is>
          <t>A_B12</t>
        </is>
      </c>
      <c r="L61" s="38" t="inlineStr">
        <is>
          <t>TERMS</t>
        </is>
      </c>
      <c r="M61" s="38" t="inlineStr">
        <is>
          <t>S30</t>
        </is>
      </c>
      <c r="N61" s="38" t="inlineStr">
        <is>
          <t>https://www.fairwork.gov.au/employment-conditions/flexibility-in-the-workplace/individual-flexibility-arrangements</t>
        </is>
      </c>
      <c r="O61" s="38" t="inlineStr">
        <is>
          <t>Individual flexibility arrangements</t>
        </is>
      </c>
      <c r="P61" s="49" t="n">
        <v>3</v>
      </c>
      <c r="Q61" s="38" t="inlineStr">
        <is>
          <t>Yes</t>
        </is>
      </c>
      <c r="R61" s="38" t="inlineStr">
        <is>
          <t>Question retained; answer guidance and risk/action pathways developed in v3.</t>
        </is>
      </c>
    </row>
    <row r="62" ht="91" customHeight="1">
      <c r="A62" s="37" t="inlineStr">
        <is>
          <t>B13</t>
        </is>
      </c>
      <c r="B62" s="37" t="inlineStr">
        <is>
          <t>ONB</t>
        </is>
      </c>
      <c r="C62" s="37" t="inlineStr">
        <is>
          <t>New Hires &amp; Onboarding</t>
        </is>
      </c>
      <c r="D62" s="37" t="inlineStr">
        <is>
          <t>How do you verify and monitor the credentials required for regulated or safety-critical work?</t>
        </is>
      </c>
      <c r="E62" s="37" t="inlineStr">
        <is>
          <t>CREDENTIAL</t>
        </is>
      </c>
      <c r="F62" s="48" t="n">
        <v>3</v>
      </c>
      <c r="G62" s="37" t="inlineStr">
        <is>
          <t>Yes</t>
        </is>
      </c>
      <c r="H62" s="37" t="inlineStr">
        <is>
          <t>Single choice: 0-3 / DK</t>
        </is>
      </c>
      <c r="I62" s="37" t="inlineStr">
        <is>
          <t>Include relevant licences, registrations, clearances and task authorisations. Only check credentials genuinely required for the role.</t>
        </is>
      </c>
      <c r="J62" s="37" t="inlineStr">
        <is>
          <t>Q14</t>
        </is>
      </c>
      <c r="K62" s="37" t="inlineStr">
        <is>
          <t>A_B13</t>
        </is>
      </c>
      <c r="L62" s="37" t="inlineStr">
        <is>
          <t>START_SAFE</t>
        </is>
      </c>
      <c r="M62" s="37" t="inlineStr">
        <is>
          <t>S13;S32</t>
        </is>
      </c>
      <c r="N62" s="37" t="inlineStr">
        <is>
          <t>https://www.safeworkaustralia.gov.au/safety-topic/managing-health-and-safety/identify-assess-and-control-hazards/managing-risks
https://immi.homeaffairs.gov.au/visa-conditions-subsite/Pages/Check-conditions-online-vevo.aspx</t>
        </is>
      </c>
      <c r="O62" s="37" t="inlineStr">
        <is>
          <t>Authorisation for regulated work</t>
        </is>
      </c>
      <c r="P62" s="48" t="n">
        <v>3</v>
      </c>
      <c r="Q62" s="37" t="inlineStr">
        <is>
          <t>Yes</t>
        </is>
      </c>
      <c r="R62" s="37" t="inlineStr">
        <is>
          <t>Question retained; answer guidance and risk/action pathways developed in v3.</t>
        </is>
      </c>
    </row>
    <row r="63" ht="151" customHeight="1">
      <c r="A63" s="38" t="inlineStr">
        <is>
          <t>B14</t>
        </is>
      </c>
      <c r="B63" s="38" t="inlineStr">
        <is>
          <t>DAT</t>
        </is>
      </c>
      <c r="C63" s="38" t="inlineStr">
        <is>
          <t>Record Keeping</t>
        </is>
      </c>
      <c r="D63" s="38" t="inlineStr">
        <is>
          <t>How do you oversee AI or automated tools that influence decisions about applicants or employees?</t>
        </is>
      </c>
      <c r="E63" s="38" t="inlineStr">
        <is>
          <t>AI</t>
        </is>
      </c>
      <c r="F63" s="49" t="n">
        <v>2</v>
      </c>
      <c r="G63" s="38" t="inlineStr">
        <is>
          <t>No</t>
        </is>
      </c>
      <c r="H63" s="38" t="inlineStr">
        <is>
          <t>Single choice: 0-3 / DK</t>
        </is>
      </c>
      <c r="I63" s="38" t="inlineStr">
        <is>
          <t>Consider data handling, bias, human review and the ability to challenge an outcome. From 10 December 2026, covered APP entities have additional privacy-policy transparency obligations for certain significant decisions.</t>
        </is>
      </c>
      <c r="J63" s="38" t="inlineStr">
        <is>
          <t>NEW</t>
        </is>
      </c>
      <c r="K63" s="38" t="inlineStr">
        <is>
          <t>A_B14</t>
        </is>
      </c>
      <c r="L63" s="38" t="inlineStr">
        <is>
          <t>INFORMATION</t>
        </is>
      </c>
      <c r="M63" s="38" t="inlineStr">
        <is>
          <t>S15;S16;S17</t>
        </is>
      </c>
      <c r="N63"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O63" s="38" t="inlineStr">
        <is>
          <t>Technology-assisted people decisions</t>
        </is>
      </c>
      <c r="P63" s="49" t="n">
        <v>3</v>
      </c>
      <c r="Q63" s="38" t="inlineStr">
        <is>
          <t>No</t>
        </is>
      </c>
      <c r="R63" s="38" t="inlineStr">
        <is>
          <t>Question retained; answer guidance and risk/action pathways developed in v3.</t>
        </is>
      </c>
    </row>
    <row r="64" ht="106" customHeight="1">
      <c r="A64" s="37" t="inlineStr">
        <is>
          <t>B15</t>
        </is>
      </c>
      <c r="B64" s="37" t="inlineStr">
        <is>
          <t>WHS</t>
        </is>
      </c>
      <c r="C64" s="37" t="inlineStr">
        <is>
          <t>Workplace Health &amp; Safety</t>
        </is>
      </c>
      <c r="D64" s="37" t="inlineStr">
        <is>
          <t>How do you check safety arrangements for people working remotely, alone, across sites or at client premises?</t>
        </is>
      </c>
      <c r="E64" s="37" t="inlineStr">
        <is>
          <t>REMOTE</t>
        </is>
      </c>
      <c r="F64" s="48" t="n">
        <v>2</v>
      </c>
      <c r="G64" s="37" t="inlineStr">
        <is>
          <t>No</t>
        </is>
      </c>
      <c r="H64" s="37" t="inlineStr">
        <is>
          <t>Single choice: 0-3 / DK</t>
        </is>
      </c>
      <c r="I64" s="37" t="inlineStr">
        <is>
          <t>Include foreseeable work-specific risks such as isolation, travel, aggression, fatigue or impairment. Use proportionate controls rather than assuming the other location manages everything.</t>
        </is>
      </c>
      <c r="J64" s="37" t="inlineStr">
        <is>
          <t>Q42;Q61</t>
        </is>
      </c>
      <c r="K64" s="37" t="inlineStr">
        <is>
          <t>A_B15</t>
        </is>
      </c>
      <c r="L64" s="37" t="inlineStr">
        <is>
          <t>SAFETY</t>
        </is>
      </c>
      <c r="M64" s="37" t="inlineStr">
        <is>
          <t>S13;S11</t>
        </is>
      </c>
      <c r="N64" s="37" t="inlineStr">
        <is>
          <t>https://www.safeworkaustralia.gov.au/safety-topic/managing-health-and-safety/identify-assess-and-control-hazards/managing-risks
https://www.safeworkaustralia.gov.au/safety-topic/managing-health-and-safety/mental-health/managing-risks/identifying-assessing-controlling-and-reviewing</t>
        </is>
      </c>
      <c r="O64" s="37" t="inlineStr">
        <is>
          <t>Safety away from the main workplace</t>
        </is>
      </c>
      <c r="P64" s="48" t="n">
        <v>3</v>
      </c>
      <c r="Q64" s="37" t="inlineStr">
        <is>
          <t>Yes</t>
        </is>
      </c>
      <c r="R64" s="37" t="inlineStr">
        <is>
          <t>Question retained; answer guidance and risk/action pathways developed in v3.</t>
        </is>
      </c>
    </row>
    <row r="65" ht="76" customHeight="1">
      <c r="A65" s="38" t="inlineStr">
        <is>
          <t>B16</t>
        </is>
      </c>
      <c r="B65" s="38" t="inlineStr">
        <is>
          <t>CUL</t>
        </is>
      </c>
      <c r="C65" s="38" t="inlineStr">
        <is>
          <t>Culture &amp; Engagement</t>
        </is>
      </c>
      <c r="D65" s="38" t="inlineStr">
        <is>
          <t>How do you confirm and meet any WGEA reporting obligations that apply to the organisation or group?</t>
        </is>
      </c>
      <c r="E65" s="38" t="inlineStr">
        <is>
          <t>WGEA</t>
        </is>
      </c>
      <c r="F65" s="49" t="n">
        <v>2</v>
      </c>
      <c r="G65" s="38" t="inlineStr">
        <is>
          <t>No</t>
        </is>
      </c>
      <c r="H65" s="38" t="inlineStr">
        <is>
          <t>Single choice: 0-3 / DK</t>
        </is>
      </c>
      <c r="I65" s="38" t="inlineStr">
        <is>
          <t>Headcount, legal structure, related entities and previous reporting matter. Do not apply the Fair Work small-business counting method to WGEA.</t>
        </is>
      </c>
      <c r="J65" s="38" t="inlineStr">
        <is>
          <t>NEW</t>
        </is>
      </c>
      <c r="K65" s="38" t="inlineStr">
        <is>
          <t>A_B16</t>
        </is>
      </c>
      <c r="L65" s="38" t="inlineStr">
        <is>
          <t>GOVERNANCE</t>
        </is>
      </c>
      <c r="M65" s="38" t="inlineStr">
        <is>
          <t>S18;S19</t>
        </is>
      </c>
      <c r="N65" s="38" t="inlineStr">
        <is>
          <t>https://www.wgea.gov.au/reporting/reporting-guide/eligibility
https://www.wgea.gov.au/reporting/reporting-guide/corporate-structures</t>
        </is>
      </c>
      <c r="O65" s="38" t="inlineStr">
        <is>
          <t>Reporting and governance</t>
        </is>
      </c>
      <c r="P65" s="49" t="n">
        <v>2</v>
      </c>
      <c r="Q65" s="38" t="inlineStr">
        <is>
          <t>No</t>
        </is>
      </c>
      <c r="R65" s="38" t="inlineStr">
        <is>
          <t>Question retained; answer guidance and risk/action pathways developed in v3.</t>
        </is>
      </c>
    </row>
    <row r="66" ht="91" customHeight="1">
      <c r="A66" s="37" t="inlineStr">
        <is>
          <t>B17</t>
        </is>
      </c>
      <c r="B66" s="37" t="inlineStr">
        <is>
          <t>EXT</t>
        </is>
      </c>
      <c r="C66" s="37" t="inlineStr">
        <is>
          <t>Employee Exits</t>
        </is>
      </c>
      <c r="D66" s="37" t="inlineStr">
        <is>
          <t>What do you check before proceeding with a proposed redundancy?</t>
        </is>
      </c>
      <c r="E66" s="37" t="inlineStr">
        <is>
          <t>REDUNDANCY</t>
        </is>
      </c>
      <c r="F66" s="48" t="n">
        <v>3</v>
      </c>
      <c r="G66" s="37" t="inlineStr">
        <is>
          <t>Yes</t>
        </is>
      </c>
      <c r="H66" s="37" t="inlineStr">
        <is>
          <t>Single choice: 0-3 / DK</t>
        </is>
      </c>
      <c r="I66" s="37" t="inlineStr">
        <is>
          <t>Check genuine operational change, relevant consultation and redeployment, selection, notice and entitlements. Small-business exceptions are not a universal exemption from all obligations.</t>
        </is>
      </c>
      <c r="J66" s="37" t="inlineStr">
        <is>
          <t>Q38;Q40</t>
        </is>
      </c>
      <c r="K66" s="37" t="inlineStr">
        <is>
          <t>A_B17</t>
        </is>
      </c>
      <c r="L66" s="37" t="inlineStr">
        <is>
          <t>FAIR_DECISIONS</t>
        </is>
      </c>
      <c r="M66" s="37" t="inlineStr">
        <is>
          <t>S02;S25;S26</t>
        </is>
      </c>
      <c r="N66" s="37" t="inlineStr">
        <is>
          <t>https://www.fairwork.gov.au/taxonomy/term/527
https://www.fairwork.gov.au/tools-and-resources/best-practice-guides/consultation-and-cooperation-in-the-workplace
https://www.fairwork.gov.au/tools-and-resources/fact-sheets/minimum-workplace-entitlements/ending-employment</t>
        </is>
      </c>
      <c r="O66" s="37" t="inlineStr">
        <is>
          <t>Restructure and redundancy decisions</t>
        </is>
      </c>
      <c r="P66" s="48" t="n">
        <v>3</v>
      </c>
      <c r="Q66" s="37" t="inlineStr">
        <is>
          <t>Yes</t>
        </is>
      </c>
      <c r="R66" s="37" t="inlineStr">
        <is>
          <t>Question retained; answer guidance and risk/action pathways developed in v3.</t>
        </is>
      </c>
    </row>
    <row r="67" ht="76" customHeight="1">
      <c r="A67" s="38" t="inlineStr">
        <is>
          <t>B18</t>
        </is>
      </c>
      <c r="B67" s="38" t="inlineStr">
        <is>
          <t>PER</t>
        </is>
      </c>
      <c r="C67" s="38" t="inlineStr">
        <is>
          <t>Reviewing &amp; Managing Performance</t>
        </is>
      </c>
      <c r="D67" s="38" t="inlineStr">
        <is>
          <t>How do you check that people-management decisions are applied consistently across managers or sites?</t>
        </is>
      </c>
      <c r="E67" s="38" t="inlineStr">
        <is>
          <t>MANAGERS</t>
        </is>
      </c>
      <c r="F67" s="49" t="n">
        <v>2</v>
      </c>
      <c r="G67" s="38" t="inlineStr">
        <is>
          <t>No</t>
        </is>
      </c>
      <c r="H67" s="38" t="inlineStr">
        <is>
          <t>Single choice: 0-3 / DK</t>
        </is>
      </c>
      <c r="I67" s="38" t="inlineStr">
        <is>
          <t>A policy issued centrally does not demonstrate consistent local use. Look at a small selection of comparable decisions.</t>
        </is>
      </c>
      <c r="J67" s="38" t="inlineStr">
        <is>
          <t>NEW</t>
        </is>
      </c>
      <c r="K67" s="38" t="inlineStr">
        <is>
          <t>A_B18</t>
        </is>
      </c>
      <c r="L67" s="38" t="inlineStr">
        <is>
          <t>LEADERSHIP</t>
        </is>
      </c>
      <c r="M67" s="38" t="inlineStr">
        <is>
          <t>S27;S25</t>
        </is>
      </c>
      <c r="N67" s="38" t="inlineStr">
        <is>
          <t>https://www.fairwork.gov.au/sites/default/files/migration/711/managing-underperformance-best-practice-guide.pdf
https://www.fairwork.gov.au/tools-and-resources/best-practice-guides/consultation-and-cooperation-in-the-workplace</t>
        </is>
      </c>
      <c r="O67" s="38" t="inlineStr">
        <is>
          <t>Consistency across managers</t>
        </is>
      </c>
      <c r="P67" s="49" t="n">
        <v>2</v>
      </c>
      <c r="Q67" s="38" t="inlineStr">
        <is>
          <t>No</t>
        </is>
      </c>
      <c r="R67" s="38" t="inlineStr">
        <is>
          <t>Question retained; answer guidance and risk/action pathways developed in v3.</t>
        </is>
      </c>
    </row>
    <row r="68" ht="121" customHeight="1">
      <c r="A68" s="37" t="inlineStr">
        <is>
          <t>B19</t>
        </is>
      </c>
      <c r="B68" s="37" t="inlineStr">
        <is>
          <t>POL</t>
        </is>
      </c>
      <c r="C68" s="37" t="inlineStr">
        <is>
          <t>Policies &amp; Procedures</t>
        </is>
      </c>
      <c r="D68" s="37" t="inlineStr">
        <is>
          <t>How are expectations for contact outside working hours agreed and applied?</t>
        </is>
      </c>
      <c r="E68" s="37" t="inlineStr">
        <is>
          <t>AFTER_HOURS</t>
        </is>
      </c>
      <c r="F68" s="48" t="n">
        <v>2</v>
      </c>
      <c r="G68" s="37" t="inlineStr">
        <is>
          <t>No</t>
        </is>
      </c>
      <c r="H68" s="37" t="inlineStr">
        <is>
          <t>Single choice: 0-3 / DK</t>
        </is>
      </c>
      <c r="I68" s="37" t="inlineStr">
        <is>
          <t>Distinguish contact from required availability and work. National-system employees may refuse to monitor, read or respond outside working hours unless the refusal is unreasonable. Consider the relevant circumstances and separate payment obligations.</t>
        </is>
      </c>
      <c r="J68" s="37" t="inlineStr">
        <is>
          <t>NEW</t>
        </is>
      </c>
      <c r="K68" s="37" t="inlineStr">
        <is>
          <t>A_B19</t>
        </is>
      </c>
      <c r="L68" s="37" t="inlineStr">
        <is>
          <t>FLEXIBILITY</t>
        </is>
      </c>
      <c r="M68" s="37" t="inlineStr">
        <is>
          <t>S43;S20;S11</t>
        </is>
      </c>
      <c r="N68" s="37"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O68" s="37" t="inlineStr">
        <is>
          <t>After-hours contact and work boundaries</t>
        </is>
      </c>
      <c r="P68" s="48" t="n">
        <v>2</v>
      </c>
      <c r="Q68" s="37" t="inlineStr">
        <is>
          <t>No</t>
        </is>
      </c>
      <c r="R68" s="37" t="inlineStr">
        <is>
          <t>B19 legal-test wording clarified; PAY04 timing clarified; response outcomes developed in v3.</t>
        </is>
      </c>
    </row>
    <row r="69" ht="91" customHeight="1">
      <c r="A69" s="38" t="inlineStr">
        <is>
          <t>B20</t>
        </is>
      </c>
      <c r="B69" s="38" t="inlineStr">
        <is>
          <t>PAY</t>
        </is>
      </c>
      <c r="C69" s="38" t="inlineStr">
        <is>
          <t>Pay &amp; Entitlements</t>
        </is>
      </c>
      <c r="D69" s="38" t="inlineStr">
        <is>
          <t>How do you keep enterprise agreement requirements visible in payroll and people decisions?</t>
        </is>
      </c>
      <c r="E69" s="38" t="inlineStr">
        <is>
          <t>AGREEMENT</t>
        </is>
      </c>
      <c r="F69" s="49" t="n">
        <v>3</v>
      </c>
      <c r="G69" s="38" t="inlineStr">
        <is>
          <t>No</t>
        </is>
      </c>
      <c r="H69" s="38" t="inlineStr">
        <is>
          <t>Single choice: 0-3 / DK</t>
        </is>
      </c>
      <c r="I69" s="38" t="inlineStr">
        <is>
          <t>An enterprise agreement needs its own rule review. An agreement passing its nominal expiry date does not mean an award automatically replaces it.</t>
        </is>
      </c>
      <c r="J69" s="38" t="inlineStr">
        <is>
          <t>NEW</t>
        </is>
      </c>
      <c r="K69" s="38" t="inlineStr">
        <is>
          <t>A_B20</t>
        </is>
      </c>
      <c r="L69" s="38" t="inlineStr">
        <is>
          <t>PAY_ASSURANCE</t>
        </is>
      </c>
      <c r="M69" s="38" t="inlineStr">
        <is>
          <t>S06;S25;S37</t>
        </is>
      </c>
      <c r="N69" s="38" t="inlineStr">
        <is>
          <t>https://www.fairwork.gov.au/pay-and-wages/minimum-wages/annualised-salaries
https://www.fairwork.gov.au/tools-and-resources/best-practice-guides/consultation-and-cooperation-in-the-workplace
https://www.fwc.gov.au/what-enterprise-agreement</t>
        </is>
      </c>
      <c r="O69" s="38" t="inlineStr">
        <is>
          <t>Enterprise agreement application</t>
        </is>
      </c>
      <c r="P69" s="49" t="n">
        <v>3</v>
      </c>
      <c r="Q69" s="38" t="inlineStr">
        <is>
          <t>Yes</t>
        </is>
      </c>
      <c r="R69" s="38" t="inlineStr">
        <is>
          <t>Question retained; answer guidance and risk/action pathways developed in v3.</t>
        </is>
      </c>
    </row>
    <row r="70" ht="91" customHeight="1">
      <c r="A70" s="37" t="inlineStr">
        <is>
          <t>B21</t>
        </is>
      </c>
      <c r="B70" s="37" t="inlineStr">
        <is>
          <t>POL</t>
        </is>
      </c>
      <c r="C70" s="37" t="inlineStr">
        <is>
          <t>Policies &amp; Procedures</t>
        </is>
      </c>
      <c r="D70" s="37" t="inlineStr">
        <is>
          <t>How do you plan consultation when changing work, technology, rosters or organisational structure?</t>
        </is>
      </c>
      <c r="E70" s="37" t="inlineStr">
        <is>
          <t>CHANGE</t>
        </is>
      </c>
      <c r="F70" s="48" t="n">
        <v>2</v>
      </c>
      <c r="G70" s="37" t="inlineStr">
        <is>
          <t>No</t>
        </is>
      </c>
      <c r="H70" s="37" t="inlineStr">
        <is>
          <t>Single choice: 0-3 / DK</t>
        </is>
      </c>
      <c r="I70" s="37" t="inlineStr">
        <is>
          <t>Check the applicable trigger and timing. Consultation involves giving information, hearing views and considering them; it is not the same as simply announcing a decision or negotiating agreement.</t>
        </is>
      </c>
      <c r="J70" s="37" t="inlineStr">
        <is>
          <t>Q39</t>
        </is>
      </c>
      <c r="K70" s="37" t="inlineStr">
        <is>
          <t>A_B21</t>
        </is>
      </c>
      <c r="L70" s="37" t="inlineStr">
        <is>
          <t>CHANGE</t>
        </is>
      </c>
      <c r="M70" s="37" t="inlineStr">
        <is>
          <t>S25;S11</t>
        </is>
      </c>
      <c r="N70" s="37" t="inlineStr">
        <is>
          <t>https://www.fairwork.gov.au/tools-and-resources/best-practice-guides/consultation-and-cooperation-in-the-workplace
https://www.safeworkaustralia.gov.au/safety-topic/managing-health-and-safety/mental-health/managing-risks/identifying-assessing-controlling-and-reviewing</t>
        </is>
      </c>
      <c r="O70" s="37" t="inlineStr">
        <is>
          <t>Consultation and organisational change</t>
        </is>
      </c>
      <c r="P70" s="48" t="n">
        <v>3</v>
      </c>
      <c r="Q70" s="37" t="inlineStr">
        <is>
          <t>No</t>
        </is>
      </c>
      <c r="R70" s="37" t="inlineStr">
        <is>
          <t>Question retained; answer guidance and risk/action pathways developed in v3.</t>
        </is>
      </c>
    </row>
    <row r="71" ht="76" customHeight="1">
      <c r="A71" s="38" t="inlineStr">
        <is>
          <t>B22</t>
        </is>
      </c>
      <c r="B71" s="38" t="inlineStr">
        <is>
          <t>PAY</t>
        </is>
      </c>
      <c r="C71" s="38" t="inlineStr">
        <is>
          <t>Pay &amp; Entitlements</t>
        </is>
      </c>
      <c r="D71" s="38" t="inlineStr">
        <is>
          <t>How do you check pay and employment conditions for juniors, apprentices or trainees?</t>
        </is>
      </c>
      <c r="E71" s="38" t="inlineStr">
        <is>
          <t>JUNIOR</t>
        </is>
      </c>
      <c r="F71" s="49" t="n">
        <v>3</v>
      </c>
      <c r="G71" s="38" t="inlineStr">
        <is>
          <t>No</t>
        </is>
      </c>
      <c r="H71" s="38" t="inlineStr">
        <is>
          <t>Single choice: 0-3 / DK</t>
        </is>
      </c>
      <c r="I71" s="38" t="inlineStr">
        <is>
          <t>Check the relevant instrument, duties, age or competency progression and training arrangements. Do not assume a lower rate applies because a person is young or learning the role.</t>
        </is>
      </c>
      <c r="J71" s="38" t="inlineStr">
        <is>
          <t>NEW</t>
        </is>
      </c>
      <c r="K71" s="38" t="inlineStr">
        <is>
          <t>A_B22</t>
        </is>
      </c>
      <c r="L71" s="38" t="inlineStr">
        <is>
          <t>PAY_ASSURANCE</t>
        </is>
      </c>
      <c r="M71" s="38" t="inlineStr">
        <is>
          <t>S33;S34</t>
        </is>
      </c>
      <c r="N71" s="38" t="inlineStr">
        <is>
          <t>https://www.fairwork.gov.au/pay-and-wages/minimum-wages/apprentice-and-trainee-pay-rates
https://www.fairwork.gov.au/pay-and-wages/minimum-wages/junior-pay-rates</t>
        </is>
      </c>
      <c r="O71" s="38" t="inlineStr">
        <is>
          <t>Special rates and progression</t>
        </is>
      </c>
      <c r="P71" s="49" t="n">
        <v>3</v>
      </c>
      <c r="Q71" s="38" t="inlineStr">
        <is>
          <t>No</t>
        </is>
      </c>
      <c r="R71" s="38" t="inlineStr">
        <is>
          <t>Question retained; answer guidance and risk/action pathways developed in v3.</t>
        </is>
      </c>
    </row>
    <row r="72" ht="121" customHeight="1">
      <c r="A72" s="37" t="inlineStr">
        <is>
          <t>B23</t>
        </is>
      </c>
      <c r="B72" s="37" t="inlineStr">
        <is>
          <t>PAY</t>
        </is>
      </c>
      <c r="C72" s="37" t="inlineStr">
        <is>
          <t>Pay &amp; Entitlements</t>
        </is>
      </c>
      <c r="D72" s="37" t="inlineStr">
        <is>
          <t>How do you resolve a suspected or identified pay shortfall, including its cause and any earlier payments?</t>
        </is>
      </c>
      <c r="E72" s="37" t="inlineStr">
        <is>
          <t>PAY_ERROR</t>
        </is>
      </c>
      <c r="F72" s="48" t="n">
        <v>3</v>
      </c>
      <c r="G72" s="37" t="inlineStr">
        <is>
          <t>Yes</t>
        </is>
      </c>
      <c r="H72" s="37" t="inlineStr">
        <is>
          <t>Single choice: 0-3 / DK</t>
        </is>
      </c>
      <c r="I72" s="37" t="inlineStr">
        <is>
          <t>Use this follow-up when a shortfall has been raised, identified or remains unresolved. Check the affected period and population, related tax or super obligations and whether the cause has been corrected. Do not assume a suspected error is proven.</t>
        </is>
      </c>
      <c r="J72" s="37" t="inlineStr">
        <is>
          <t>NEW v3</t>
        </is>
      </c>
      <c r="K72" s="37" t="inlineStr">
        <is>
          <t>A_B23</t>
        </is>
      </c>
      <c r="L72" s="37" t="inlineStr">
        <is>
          <t>PAY_REMEDIATION</t>
        </is>
      </c>
      <c r="M72" s="37" t="inlineStr">
        <is>
          <t>S40;S05;S14</t>
        </is>
      </c>
      <c r="N72" s="37"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O72" s="37" t="inlineStr">
        <is>
          <t>Pay remediation</t>
        </is>
      </c>
      <c r="P72" s="48" t="n">
        <v>3</v>
      </c>
      <c r="Q72" s="37" t="inlineStr">
        <is>
          <t>Yes</t>
        </is>
      </c>
      <c r="R72" s="37" t="inlineStr">
        <is>
          <t>New conditional question in v3</t>
        </is>
      </c>
    </row>
    <row r="73" ht="151" customHeight="1">
      <c r="A73" s="38" t="inlineStr">
        <is>
          <t>B24</t>
        </is>
      </c>
      <c r="B73" s="38" t="inlineStr">
        <is>
          <t>POL</t>
        </is>
      </c>
      <c r="C73" s="38" t="inlineStr">
        <is>
          <t>Policies &amp; Procedures</t>
        </is>
      </c>
      <c r="D73" s="38" t="inlineStr">
        <is>
          <t>How do you consider workplace adjustments when someone identifies a barrier to performing or accessing work?</t>
        </is>
      </c>
      <c r="E73" s="38" t="inlineStr">
        <is>
          <t>ADJUSTMENT</t>
        </is>
      </c>
      <c r="F73" s="49" t="n">
        <v>3</v>
      </c>
      <c r="G73" s="38" t="inlineStr">
        <is>
          <t>Yes</t>
        </is>
      </c>
      <c r="H73" s="38" t="inlineStr">
        <is>
          <t>Single choice: 0-3 / DK</t>
        </is>
      </c>
      <c r="I73" s="38" t="inlineStr">
        <is>
          <t>Show where a request or work-related barrier exists or applicability needs confirmation. Consider job requirements, practical options, confidentiality and relevant legal duties. Do not collect diagnoses or an employee narrative in this tool.</t>
        </is>
      </c>
      <c r="J73" s="38" t="inlineStr">
        <is>
          <t>NEW v3</t>
        </is>
      </c>
      <c r="K73" s="38" t="inlineStr">
        <is>
          <t>A_B24</t>
        </is>
      </c>
      <c r="L73" s="38" t="inlineStr">
        <is>
          <t>ADJUSTMENTS</t>
        </is>
      </c>
      <c r="M73" s="38" t="inlineStr">
        <is>
          <t>S41;S15;S22</t>
        </is>
      </c>
      <c r="N73" s="38"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O73" s="38" t="inlineStr">
        <is>
          <t>Workplace access and reasonable adjustments</t>
        </is>
      </c>
      <c r="P73" s="49" t="n">
        <v>3</v>
      </c>
      <c r="Q73" s="38" t="inlineStr">
        <is>
          <t>Yes</t>
        </is>
      </c>
      <c r="R73" s="38" t="inlineStr">
        <is>
          <t>New conditional question in v3</t>
        </is>
      </c>
    </row>
    <row r="74" ht="106" customHeight="1">
      <c r="A74" s="37" t="inlineStr">
        <is>
          <t>B25</t>
        </is>
      </c>
      <c r="B74" s="37" t="inlineStr">
        <is>
          <t>WHS</t>
        </is>
      </c>
      <c r="C74" s="37" t="inlineStr">
        <is>
          <t>Workplace Health &amp; Safety</t>
        </is>
      </c>
      <c r="D74" s="37" t="inlineStr">
        <is>
          <t>How do you coordinate safety responsibilities when people work through a labour-hire or other shared-work arrangement?</t>
        </is>
      </c>
      <c r="E74" s="37" t="inlineStr">
        <is>
          <t>SHARED_WORK</t>
        </is>
      </c>
      <c r="F74" s="48" t="n">
        <v>3</v>
      </c>
      <c r="G74" s="37" t="inlineStr">
        <is>
          <t>Yes</t>
        </is>
      </c>
      <c r="H74" s="37" t="inlineStr">
        <is>
          <t>Single choice: 0-3 / DK</t>
        </is>
      </c>
      <c r="I74" s="37" t="inlineStr">
        <is>
          <t>Use for labour-hire placements or other work involving overlapping duty holders. Record who performs each safety task, but do not assume duties can be contracted away. Confirm applicable state or territory requirements.</t>
        </is>
      </c>
      <c r="J74" s="37" t="inlineStr">
        <is>
          <t>NEW v3</t>
        </is>
      </c>
      <c r="K74" s="37" t="inlineStr">
        <is>
          <t>A_B25</t>
        </is>
      </c>
      <c r="L74" s="37" t="inlineStr">
        <is>
          <t>SHARED_SAFETY</t>
        </is>
      </c>
      <c r="M74" s="37" t="inlineStr">
        <is>
          <t>S42;S13;S38</t>
        </is>
      </c>
      <c r="N74" s="37" t="inlineStr">
        <is>
          <t>https://www.safeworkaustralia.gov.au/safety-topic/managing-health-and-safety/labour-hire/whs-duties
https://www.safeworkaustralia.gov.au/safety-topic/managing-health-and-safety/identify-assess-and-control-hazards/managing-risks
https://www.safeworkaustralia.gov.au/workers-compensation</t>
        </is>
      </c>
      <c r="O74" s="37" t="inlineStr">
        <is>
          <t>Shared work health and safety duties</t>
        </is>
      </c>
      <c r="P74" s="48" t="n">
        <v>3</v>
      </c>
      <c r="Q74" s="37" t="inlineStr">
        <is>
          <t>Yes</t>
        </is>
      </c>
      <c r="R74" s="37" t="inlineStr">
        <is>
          <t>New conditional question in v3</t>
        </is>
      </c>
    </row>
  </sheetData>
  <autoFilter ref="A5:R74"/>
  <mergeCells count="3">
    <mergeCell ref="A3:R3"/>
    <mergeCell ref="A2:R2"/>
    <mergeCell ref="A1:R1"/>
  </mergeCells>
  <dataValidations count="2">
    <dataValidation sqref="F6:F74" showDropDown="0" showInputMessage="0" showErrorMessage="1" allowBlank="0" error="Use one of the listed design values." type="list">
      <formula1>"1,2,3"</formula1>
    </dataValidation>
    <dataValidation sqref="G6:G74" showDropDown="0" showInputMessage="0" showErrorMessage="1" allowBlank="0" error="Use one of the listed design values." type="list">
      <formula1>"Yes,No"</formula1>
    </dataValidation>
  </dataValidations>
  <printOptions horizontalCentered="0"/>
  <pageMargins left="0.7" right="0.7" top="0.75" bottom="0.75" header="0.3" footer="0.3"/>
  <pageSetup orientation="landscape" paperSize="8" fitToHeight="0" fitToWidth="1"/>
</worksheet>
</file>

<file path=xl/worksheets/sheet4.xml><?xml version="1.0" encoding="utf-8"?>
<worksheet xmlns="http://schemas.openxmlformats.org/spreadsheetml/2006/main">
  <sheetPr>
    <tabColor rgb="0008685F"/>
    <outlinePr summaryBelow="1" summaryRight="0"/>
    <pageSetUpPr fitToPage="1"/>
  </sheetPr>
  <dimension ref="A1:K350"/>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12" customWidth="1" min="3" max="3"/>
    <col width="12" customWidth="1" min="4" max="4"/>
    <col width="85" customWidth="1" min="5" max="5"/>
    <col width="37" customWidth="1" min="6" max="6"/>
    <col width="55" customWidth="1" min="7" max="7"/>
    <col width="38" customWidth="1" min="8" max="8"/>
    <col width="86" customWidth="1" min="9" max="9"/>
    <col width="88" customWidth="1" min="10" max="10"/>
    <col width="18" customWidth="1" min="11" max="11"/>
  </cols>
  <sheetData>
    <row r="1" ht="38" customHeight="1">
      <c r="A1" s="33" t="inlineStr">
        <is>
          <t>Answer choices | practical detail without longer questions</t>
        </is>
      </c>
    </row>
    <row r="2" ht="42" customHeight="1">
      <c r="A2" s="34" t="inlineStr">
        <is>
          <t>Four specific maturity choices plus an explicit unknown. Optional answer help supports an honest choice; evidence is requested as a type or example, not uploaded into a general assessment.</t>
        </is>
      </c>
    </row>
    <row r="3" ht="22" customHeight="1">
      <c r="A3" s="35" t="inlineStr">
        <is>
          <t>DREAMSTONEHR | PROPOSED V3.0 | 10 OCTOBER 2026</t>
        </is>
      </c>
    </row>
    <row r="4" ht="12" customHeight="1"/>
    <row r="5" ht="43" customHeight="1">
      <c r="A5" s="36" t="inlineStr">
        <is>
          <t>Question ID</t>
        </is>
      </c>
      <c r="B5" s="36" t="inlineStr">
        <is>
          <t>Answer ID</t>
        </is>
      </c>
      <c r="C5" s="36" t="inlineStr">
        <is>
          <t>Response code</t>
        </is>
      </c>
      <c r="D5" s="36" t="inlineStr">
        <is>
          <t>Scoring points</t>
        </is>
      </c>
      <c r="E5" s="36" t="inlineStr">
        <is>
          <t>Customer-facing answer</t>
        </is>
      </c>
      <c r="F5" s="36" t="inlineStr">
        <is>
          <t>Meaning</t>
        </is>
      </c>
      <c r="G5" s="36" t="inlineStr">
        <is>
          <t>Result handling</t>
        </is>
      </c>
      <c r="H5" s="36" t="inlineStr">
        <is>
          <t>Eligibility rule</t>
        </is>
      </c>
      <c r="I5" s="36" t="inlineStr">
        <is>
          <t>Help choosing this answer</t>
        </is>
      </c>
      <c r="J5" s="36" t="inlineStr">
        <is>
          <t>Evidence the business should be able to locate</t>
        </is>
      </c>
      <c r="K5" s="36" t="inlineStr">
        <is>
          <t>Outcome key</t>
        </is>
      </c>
    </row>
    <row r="6" ht="61" customHeight="1">
      <c r="A6" s="37" t="inlineStr">
        <is>
          <t>PAY01</t>
        </is>
      </c>
      <c r="B6" s="37" t="inlineStr">
        <is>
          <t>PAY01_0</t>
        </is>
      </c>
      <c r="C6" s="48" t="n">
        <v>0</v>
      </c>
      <c r="D6" s="48" t="n">
        <v>0</v>
      </c>
      <c r="E6" s="37" t="inlineStr">
        <is>
          <t>We have not checked which rules apply to our roles.</t>
        </is>
      </c>
      <c r="F6" s="37" t="inlineStr">
        <is>
          <t>Practice absent or not established as described</t>
        </is>
      </c>
      <c r="G6" s="37" t="inlineStr">
        <is>
          <t>Outcome PAY01_0 supplies provisional risk, priority, reasons and actions. Apply contextual escalation separately.</t>
        </is>
      </c>
      <c r="H6" s="37" t="inlineStr">
        <is>
          <t>Confirmed exclusion only; DK retains the eligible denominator.</t>
        </is>
      </c>
      <c r="I6" s="37" t="inlineStr">
        <is>
          <t>Choose this when the statement describes the current position. Reporting a gap helps prioritise support; it is not an admission that a legal breach has occurred.</t>
        </is>
      </c>
      <c r="J6" s="37" t="inlineStr">
        <is>
          <t>A dated coverage and classification record with reasons for every distinct role, appropriate review of uncertain classifications, and resulting payroll changes checked. An unresolved classification remains an open task.</t>
        </is>
      </c>
      <c r="K6" s="37" t="inlineStr">
        <is>
          <t>PAY01_0</t>
        </is>
      </c>
    </row>
    <row r="7" ht="61" customHeight="1">
      <c r="A7" s="38" t="inlineStr">
        <is>
          <t>PAY01</t>
        </is>
      </c>
      <c r="B7" s="38" t="inlineStr">
        <is>
          <t>PAY01_1</t>
        </is>
      </c>
      <c r="C7" s="49" t="n">
        <v>1</v>
      </c>
      <c r="D7" s="49" t="n">
        <v>1</v>
      </c>
      <c r="E7" s="38" t="inlineStr">
        <is>
          <t>We rely on job titles, past practice or payroll defaults, without a recorded coverage check.</t>
        </is>
      </c>
      <c r="F7" s="38" t="inlineStr">
        <is>
          <t>Assumption-dependent or inconsistent practice</t>
        </is>
      </c>
      <c r="G7" s="38" t="inlineStr">
        <is>
          <t>Outcome PAY01_1 supplies provisional risk, priority, reasons and actions. Apply contextual escalation separately.</t>
        </is>
      </c>
      <c r="H7" s="38" t="inlineStr">
        <is>
          <t>Confirmed exclusion only; DK retains the eligible denominator.</t>
        </is>
      </c>
      <c r="I7" s="38" t="inlineStr">
        <is>
          <t>Choose this when the process depends on assumptions, personal knowledge or ad hoc handling rather than a dependable check.</t>
        </is>
      </c>
      <c r="J7" s="38" t="inlineStr">
        <is>
          <t>A dated coverage and classification record with reasons for every distinct role, appropriate review of uncertain classifications, and resulting payroll changes checked. An unresolved classification remains an open task.</t>
        </is>
      </c>
      <c r="K7" s="38" t="inlineStr">
        <is>
          <t>PAY01_1</t>
        </is>
      </c>
    </row>
    <row r="8" ht="61" customHeight="1">
      <c r="A8" s="37" t="inlineStr">
        <is>
          <t>PAY01</t>
        </is>
      </c>
      <c r="B8" s="37" t="inlineStr">
        <is>
          <t>PAY01_2</t>
        </is>
      </c>
      <c r="C8" s="48" t="n">
        <v>2</v>
      </c>
      <c r="D8" s="48" t="n">
        <v>2</v>
      </c>
      <c r="E8" s="37" t="inlineStr">
        <is>
          <t>We have checked some roles, but changes or exceptions remain unresolved.</t>
        </is>
      </c>
      <c r="F8" s="37" t="inlineStr">
        <is>
          <t>Partly established; residual gap remains</t>
        </is>
      </c>
      <c r="G8" s="37" t="inlineStr">
        <is>
          <t>Outcome PAY01_2 supplies provisional risk, priority, reasons and actions. Apply contextual escalation separately.</t>
        </is>
      </c>
      <c r="H8" s="37" t="inlineStr">
        <is>
          <t>Confirmed exclusion only; DK retains the eligible denominator.</t>
        </is>
      </c>
      <c r="I8" s="37" t="inlineStr">
        <is>
          <t>Choose this when important parts exist but at least one part of the statement remains unresolved. The report should target that gap, not require a full rebuild.</t>
        </is>
      </c>
      <c r="J8" s="37" t="inlineStr">
        <is>
          <t>A dated coverage and classification record with reasons for every distinct role, appropriate review of uncertain classifications, and resulting payroll changes checked. An unresolved classification remains an open task.</t>
        </is>
      </c>
      <c r="K8" s="37" t="inlineStr">
        <is>
          <t>PAY01_2</t>
        </is>
      </c>
    </row>
    <row r="9" ht="61" customHeight="1">
      <c r="A9" s="38" t="inlineStr">
        <is>
          <t>PAY01</t>
        </is>
      </c>
      <c r="B9" s="38" t="inlineStr">
        <is>
          <t>PAY01_3</t>
        </is>
      </c>
      <c r="C9" s="49" t="n">
        <v>3</v>
      </c>
      <c r="D9" s="49" t="n">
        <v>3</v>
      </c>
      <c r="E9" s="38" t="inlineStr">
        <is>
          <t>We have a current record for every role, including the basis for any award-free classification, and review it when duties change.</t>
        </is>
      </c>
      <c r="F9" s="38" t="inlineStr">
        <is>
          <t>Established practice reported, not independently verified</t>
        </is>
      </c>
      <c r="G9" s="38" t="inlineStr">
        <is>
          <t>Outcome PAY01_3 supplies provisional risk, priority, reasons and actions. Apply contextual escalation separately.</t>
        </is>
      </c>
      <c r="H9" s="38" t="inlineStr">
        <is>
          <t>Confirmed exclusion only; DK retains the eligible denominator.</t>
        </is>
      </c>
      <c r="I9" s="38" t="inlineStr">
        <is>
          <t>Choose this only when the whole statement describes routine practice and you can point to a recent example or a tested readiness process. One successful exception is not enough.</t>
        </is>
      </c>
      <c r="J9" s="38" t="inlineStr">
        <is>
          <t>A dated coverage and classification record with reasons for every distinct role, appropriate review of uncertain classifications, and resulting payroll changes checked. An unresolved classification remains an open task.</t>
        </is>
      </c>
      <c r="K9" s="38" t="inlineStr">
        <is>
          <t>PAY01_3</t>
        </is>
      </c>
    </row>
    <row r="10" ht="61" customHeight="1">
      <c r="A10" s="37" t="inlineStr">
        <is>
          <t>PAY01</t>
        </is>
      </c>
      <c r="B10" s="37" t="inlineStr">
        <is>
          <t>PAY01_DK</t>
        </is>
      </c>
      <c r="C10" s="37" t="inlineStr">
        <is>
          <t>DK</t>
        </is>
      </c>
      <c r="D10" s="48" t="n">
        <v>0</v>
      </c>
      <c r="E10" s="37" t="inlineStr">
        <is>
          <t>I need to confirm this.</t>
        </is>
      </c>
      <c r="F10" s="37" t="inlineStr">
        <is>
          <t>Unverified, not an established failure</t>
        </is>
      </c>
      <c r="G10" s="37" t="inlineStr">
        <is>
          <t>Outcome PAY01_DK supplies provisional risk, priority, reasons and actions. Apply contextual escalation separately.</t>
        </is>
      </c>
      <c r="H10" s="37" t="inlineStr">
        <is>
          <t>Confirmed exclusion only; DK retains the eligible denominator.</t>
        </is>
      </c>
      <c r="I10" s="37" t="inlineStr">
        <is>
          <t>Choose this rather than guessing when you cannot confirm the practice or its consistency. You can save the assessment and ask the responsible person.</t>
        </is>
      </c>
      <c r="J10" s="37" t="inlineStr">
        <is>
          <t>A dated coverage and classification record with reasons for every distinct role, appropriate review of uncertain classifications, and resulting payroll changes checked. An unresolved classification remains an open task.</t>
        </is>
      </c>
      <c r="K10" s="37" t="inlineStr">
        <is>
          <t>PAY01_DK</t>
        </is>
      </c>
    </row>
    <row r="11" ht="61" customHeight="1">
      <c r="A11" s="38" t="inlineStr">
        <is>
          <t>PAY02</t>
        </is>
      </c>
      <c r="B11" s="38" t="inlineStr">
        <is>
          <t>PAY02_0</t>
        </is>
      </c>
      <c r="C11" s="49" t="n">
        <v>0</v>
      </c>
      <c r="D11" s="49" t="n">
        <v>0</v>
      </c>
      <c r="E11" s="38" t="inlineStr">
        <is>
          <t>We have not checked payroll against actual work and applicable rules.</t>
        </is>
      </c>
      <c r="F11" s="38" t="inlineStr">
        <is>
          <t>Practice absent or not established as described</t>
        </is>
      </c>
      <c r="G11" s="38" t="inlineStr">
        <is>
          <t>Outcome PAY02_0 supplies provisional risk, priority, reasons and actions. Apply contextual escalation separately.</t>
        </is>
      </c>
      <c r="H11" s="38" t="inlineStr">
        <is>
          <t>Confirmed exclusion only; DK retains the eligible denominator.</t>
        </is>
      </c>
      <c r="I11" s="38" t="inlineStr">
        <is>
          <t>Choose this when the statement describes the current position. Reporting a gap helps prioritise support; it is not an admission that a legal breach has occurred.</t>
        </is>
      </c>
      <c r="J11" s="38" t="inlineStr">
        <is>
          <t>A dated pay-check record for each materially different pay arrangement, with discrepancies investigated, required corrections completed and the next affected pay run checked. Keep any unresolved scope or payment issue open.</t>
        </is>
      </c>
      <c r="K11" s="38" t="inlineStr">
        <is>
          <t>PAY02_0</t>
        </is>
      </c>
    </row>
    <row r="12" ht="61" customHeight="1">
      <c r="A12" s="37" t="inlineStr">
        <is>
          <t>PAY02</t>
        </is>
      </c>
      <c r="B12" s="37" t="inlineStr">
        <is>
          <t>PAY02_1</t>
        </is>
      </c>
      <c r="C12" s="48" t="n">
        <v>1</v>
      </c>
      <c r="D12" s="48" t="n">
        <v>1</v>
      </c>
      <c r="E12" s="37" t="inlineStr">
        <is>
          <t>We assume our software, payroll provider or above-award rates make the payments correct.</t>
        </is>
      </c>
      <c r="F12" s="37" t="inlineStr">
        <is>
          <t>Assumption-dependent or inconsistent practice</t>
        </is>
      </c>
      <c r="G12" s="37" t="inlineStr">
        <is>
          <t>Outcome PAY02_1 supplies provisional risk, priority, reasons and actions. Apply contextual escalation separately.</t>
        </is>
      </c>
      <c r="H12" s="37" t="inlineStr">
        <is>
          <t>Confirmed exclusion only; DK retains the eligible denominator.</t>
        </is>
      </c>
      <c r="I12" s="37" t="inlineStr">
        <is>
          <t>Choose this when the process depends on assumptions, personal knowledge or ad hoc handling rather than a dependable check.</t>
        </is>
      </c>
      <c r="J12" s="37" t="inlineStr">
        <is>
          <t>A dated pay-check record for each materially different pay arrangement, with discrepancies investigated, required corrections completed and the next affected pay run checked. Keep any unresolved scope or payment issue open.</t>
        </is>
      </c>
      <c r="K12" s="37" t="inlineStr">
        <is>
          <t>PAY02_1</t>
        </is>
      </c>
    </row>
    <row r="13" ht="61" customHeight="1">
      <c r="A13" s="38" t="inlineStr">
        <is>
          <t>PAY02</t>
        </is>
      </c>
      <c r="B13" s="38" t="inlineStr">
        <is>
          <t>PAY02_2</t>
        </is>
      </c>
      <c r="C13" s="49" t="n">
        <v>2</v>
      </c>
      <c r="D13" s="49" t="n">
        <v>2</v>
      </c>
      <c r="E13" s="38" t="inlineStr">
        <is>
          <t>We check base rates, but some working patterns or other entitlements have not been tested.</t>
        </is>
      </c>
      <c r="F13" s="38" t="inlineStr">
        <is>
          <t>Partly established; residual gap remains</t>
        </is>
      </c>
      <c r="G13" s="38" t="inlineStr">
        <is>
          <t>Outcome PAY02_2 supplies provisional risk, priority, reasons and actions. Apply contextual escalation separately.</t>
        </is>
      </c>
      <c r="H13" s="38" t="inlineStr">
        <is>
          <t>Confirmed exclusion only; DK retains the eligible denominator.</t>
        </is>
      </c>
      <c r="I13" s="38" t="inlineStr">
        <is>
          <t>Choose this when important parts exist but at least one part of the statement remains unresolved. The report should target that gap, not require a full rebuild.</t>
        </is>
      </c>
      <c r="J13" s="38" t="inlineStr">
        <is>
          <t>A dated pay-check record for each materially different pay arrangement, with discrepancies investigated, required corrections completed and the next affected pay run checked. Keep any unresolved scope or payment issue open.</t>
        </is>
      </c>
      <c r="K13" s="38" t="inlineStr">
        <is>
          <t>PAY02_2</t>
        </is>
      </c>
    </row>
    <row r="14" ht="61" customHeight="1">
      <c r="A14" s="37" t="inlineStr">
        <is>
          <t>PAY02</t>
        </is>
      </c>
      <c r="B14" s="37" t="inlineStr">
        <is>
          <t>PAY02_3</t>
        </is>
      </c>
      <c r="C14" s="48" t="n">
        <v>3</v>
      </c>
      <c r="D14" s="48" t="n">
        <v>3</v>
      </c>
      <c r="E14" s="37" t="inlineStr">
        <is>
          <t>We check representative actual pay periods against applicable rules, document exceptions and verify that corrections are completed.</t>
        </is>
      </c>
      <c r="F14" s="37" t="inlineStr">
        <is>
          <t>Established practice reported, not independently verified</t>
        </is>
      </c>
      <c r="G14" s="37" t="inlineStr">
        <is>
          <t>Outcome PAY02_3 supplies provisional risk, priority, reasons and actions. Apply contextual escalation separately.</t>
        </is>
      </c>
      <c r="H14" s="37" t="inlineStr">
        <is>
          <t>Confirmed exclusion only; DK retains the eligible denominator.</t>
        </is>
      </c>
      <c r="I14" s="37" t="inlineStr">
        <is>
          <t>Choose this only when the whole statement describes routine practice and you can point to a recent example or a tested readiness process. One successful exception is not enough.</t>
        </is>
      </c>
      <c r="J14" s="37" t="inlineStr">
        <is>
          <t>A dated pay-check record for each materially different pay arrangement, with discrepancies investigated, required corrections completed and the next affected pay run checked. Keep any unresolved scope or payment issue open.</t>
        </is>
      </c>
      <c r="K14" s="37" t="inlineStr">
        <is>
          <t>PAY02_3</t>
        </is>
      </c>
    </row>
    <row r="15" ht="61" customHeight="1">
      <c r="A15" s="38" t="inlineStr">
        <is>
          <t>PAY02</t>
        </is>
      </c>
      <c r="B15" s="38" t="inlineStr">
        <is>
          <t>PAY02_DK</t>
        </is>
      </c>
      <c r="C15" s="38" t="inlineStr">
        <is>
          <t>DK</t>
        </is>
      </c>
      <c r="D15" s="49" t="n">
        <v>0</v>
      </c>
      <c r="E15" s="38" t="inlineStr">
        <is>
          <t>I need to confirm this.</t>
        </is>
      </c>
      <c r="F15" s="38" t="inlineStr">
        <is>
          <t>Unverified, not an established failure</t>
        </is>
      </c>
      <c r="G15" s="38" t="inlineStr">
        <is>
          <t>Outcome PAY02_DK supplies provisional risk, priority, reasons and actions. Apply contextual escalation separately.</t>
        </is>
      </c>
      <c r="H15" s="38" t="inlineStr">
        <is>
          <t>Confirmed exclusion only; DK retains the eligible denominator.</t>
        </is>
      </c>
      <c r="I15" s="38" t="inlineStr">
        <is>
          <t>Choose this rather than guessing when you cannot confirm the practice or its consistency. You can save the assessment and ask the responsible person.</t>
        </is>
      </c>
      <c r="J15" s="38" t="inlineStr">
        <is>
          <t>A dated pay-check record for each materially different pay arrangement, with discrepancies investigated, required corrections completed and the next affected pay run checked. Keep any unresolved scope or payment issue open.</t>
        </is>
      </c>
      <c r="K15" s="38" t="inlineStr">
        <is>
          <t>PAY02_DK</t>
        </is>
      </c>
    </row>
    <row r="16" ht="61" customHeight="1">
      <c r="A16" s="37" t="inlineStr">
        <is>
          <t>PAY03</t>
        </is>
      </c>
      <c r="B16" s="37" t="inlineStr">
        <is>
          <t>PAY03_0</t>
        </is>
      </c>
      <c r="C16" s="48" t="n">
        <v>0</v>
      </c>
      <c r="D16" s="48" t="n">
        <v>0</v>
      </c>
      <c r="E16" s="37" t="inlineStr">
        <is>
          <t>Leave is handled without a consistent check of eligibility, balances or pay.</t>
        </is>
      </c>
      <c r="F16" s="37" t="inlineStr">
        <is>
          <t>Practice absent or not established as described</t>
        </is>
      </c>
      <c r="G16" s="37" t="inlineStr">
        <is>
          <t>Outcome PAY03_0 supplies provisional risk, priority, reasons and actions. Apply contextual escalation separately.</t>
        </is>
      </c>
      <c r="H16" s="37" t="inlineStr">
        <is>
          <t>Confirmed exclusion only; DK retains the eligible denominator.</t>
        </is>
      </c>
      <c r="I16" s="37" t="inlineStr">
        <is>
          <t>Choose this when the statement describes the current position. Reporting a gap helps prioritise support; it is not an admission that a legal breach has occurred.</t>
        </is>
      </c>
      <c r="J16" s="37" t="inlineStr">
        <is>
          <t>A dated leave reconciliation against the applicable rules, with incorrect balances or payments corrected and a follow-up transaction checked. State-based and instrument-specific matters are resolved or remain clearly open.</t>
        </is>
      </c>
      <c r="K16" s="37" t="inlineStr">
        <is>
          <t>PAY03_0</t>
        </is>
      </c>
    </row>
    <row r="17" ht="61" customHeight="1">
      <c r="A17" s="38" t="inlineStr">
        <is>
          <t>PAY03</t>
        </is>
      </c>
      <c r="B17" s="38" t="inlineStr">
        <is>
          <t>PAY03_1</t>
        </is>
      </c>
      <c r="C17" s="49" t="n">
        <v>1</v>
      </c>
      <c r="D17" s="49" t="n">
        <v>1</v>
      </c>
      <c r="E17" s="38" t="inlineStr">
        <is>
          <t>We use the default payroll settings and deal with exceptions as they arise.</t>
        </is>
      </c>
      <c r="F17" s="38" t="inlineStr">
        <is>
          <t>Assumption-dependent or inconsistent practice</t>
        </is>
      </c>
      <c r="G17" s="38" t="inlineStr">
        <is>
          <t>Outcome PAY03_1 supplies provisional risk, priority, reasons and actions. Apply contextual escalation separately.</t>
        </is>
      </c>
      <c r="H17" s="38" t="inlineStr">
        <is>
          <t>Confirmed exclusion only; DK retains the eligible denominator.</t>
        </is>
      </c>
      <c r="I17" s="38" t="inlineStr">
        <is>
          <t>Choose this when the process depends on assumptions, personal knowledge or ad hoc handling rather than a dependable check.</t>
        </is>
      </c>
      <c r="J17" s="38" t="inlineStr">
        <is>
          <t>A dated leave reconciliation against the applicable rules, with incorrect balances or payments corrected and a follow-up transaction checked. State-based and instrument-specific matters are resolved or remain clearly open.</t>
        </is>
      </c>
      <c r="K17" s="38" t="inlineStr">
        <is>
          <t>PAY03_1</t>
        </is>
      </c>
    </row>
    <row r="18" ht="61" customHeight="1">
      <c r="A18" s="37" t="inlineStr">
        <is>
          <t>PAY03</t>
        </is>
      </c>
      <c r="B18" s="37" t="inlineStr">
        <is>
          <t>PAY03_2</t>
        </is>
      </c>
      <c r="C18" s="48" t="n">
        <v>2</v>
      </c>
      <c r="D18" s="48" t="n">
        <v>2</v>
      </c>
      <c r="E18" s="37" t="inlineStr">
        <is>
          <t>Most leave is checked, but some employment types, jurisdictions or changes need review.</t>
        </is>
      </c>
      <c r="F18" s="37" t="inlineStr">
        <is>
          <t>Partly established; residual gap remains</t>
        </is>
      </c>
      <c r="G18" s="37" t="inlineStr">
        <is>
          <t>Outcome PAY03_2 supplies provisional risk, priority, reasons and actions. Apply contextual escalation separately.</t>
        </is>
      </c>
      <c r="H18" s="37" t="inlineStr">
        <is>
          <t>Confirmed exclusion only; DK retains the eligible denominator.</t>
        </is>
      </c>
      <c r="I18" s="37" t="inlineStr">
        <is>
          <t>Choose this when important parts exist but at least one part of the statement remains unresolved. The report should target that gap, not require a full rebuild.</t>
        </is>
      </c>
      <c r="J18" s="37" t="inlineStr">
        <is>
          <t>A dated leave reconciliation against the applicable rules, with incorrect balances or payments corrected and a follow-up transaction checked. State-based and instrument-specific matters are resolved or remain clearly open.</t>
        </is>
      </c>
      <c r="K18" s="37" t="inlineStr">
        <is>
          <t>PAY03_2</t>
        </is>
      </c>
    </row>
    <row r="19" ht="61" customHeight="1">
      <c r="A19" s="38" t="inlineStr">
        <is>
          <t>PAY03</t>
        </is>
      </c>
      <c r="B19" s="38" t="inlineStr">
        <is>
          <t>PAY03_3</t>
        </is>
      </c>
      <c r="C19" s="49" t="n">
        <v>3</v>
      </c>
      <c r="D19" s="49" t="n">
        <v>3</v>
      </c>
      <c r="E19" s="38" t="inlineStr">
        <is>
          <t>We check the applicable entitlement and payment, maintain accurate balances and review settings when hours, service or rules change.</t>
        </is>
      </c>
      <c r="F19" s="38" t="inlineStr">
        <is>
          <t>Established practice reported, not independently verified</t>
        </is>
      </c>
      <c r="G19" s="38" t="inlineStr">
        <is>
          <t>Outcome PAY03_3 supplies provisional risk, priority, reasons and actions. Apply contextual escalation separately.</t>
        </is>
      </c>
      <c r="H19" s="38" t="inlineStr">
        <is>
          <t>Confirmed exclusion only; DK retains the eligible denominator.</t>
        </is>
      </c>
      <c r="I19" s="38" t="inlineStr">
        <is>
          <t>Choose this only when the whole statement describes routine practice and you can point to a recent example or a tested readiness process. One successful exception is not enough.</t>
        </is>
      </c>
      <c r="J19" s="38" t="inlineStr">
        <is>
          <t>A dated leave reconciliation against the applicable rules, with incorrect balances or payments corrected and a follow-up transaction checked. State-based and instrument-specific matters are resolved or remain clearly open.</t>
        </is>
      </c>
      <c r="K19" s="38" t="inlineStr">
        <is>
          <t>PAY03_3</t>
        </is>
      </c>
    </row>
    <row r="20" ht="61" customHeight="1">
      <c r="A20" s="37" t="inlineStr">
        <is>
          <t>PAY03</t>
        </is>
      </c>
      <c r="B20" s="37" t="inlineStr">
        <is>
          <t>PAY03_DK</t>
        </is>
      </c>
      <c r="C20" s="37" t="inlineStr">
        <is>
          <t>DK</t>
        </is>
      </c>
      <c r="D20" s="48" t="n">
        <v>0</v>
      </c>
      <c r="E20" s="37" t="inlineStr">
        <is>
          <t>I need to confirm this.</t>
        </is>
      </c>
      <c r="F20" s="37" t="inlineStr">
        <is>
          <t>Unverified, not an established failure</t>
        </is>
      </c>
      <c r="G20" s="37" t="inlineStr">
        <is>
          <t>Outcome PAY03_DK supplies provisional risk, priority, reasons and actions. Apply contextual escalation separately.</t>
        </is>
      </c>
      <c r="H20" s="37" t="inlineStr">
        <is>
          <t>Confirmed exclusion only; DK retains the eligible denominator.</t>
        </is>
      </c>
      <c r="I20" s="37" t="inlineStr">
        <is>
          <t>Choose this rather than guessing when you cannot confirm the practice or its consistency. You can save the assessment and ask the responsible person.</t>
        </is>
      </c>
      <c r="J20" s="37" t="inlineStr">
        <is>
          <t>A dated leave reconciliation against the applicable rules, with incorrect balances or payments corrected and a follow-up transaction checked. State-based and instrument-specific matters are resolved or remain clearly open.</t>
        </is>
      </c>
      <c r="K20" s="37" t="inlineStr">
        <is>
          <t>PAY03_DK</t>
        </is>
      </c>
    </row>
    <row r="21" ht="61" customHeight="1">
      <c r="A21" s="38" t="inlineStr">
        <is>
          <t>PAY04</t>
        </is>
      </c>
      <c r="B21" s="38" t="inlineStr">
        <is>
          <t>PAY04_0</t>
        </is>
      </c>
      <c r="C21" s="49" t="n">
        <v>0</v>
      </c>
      <c r="D21" s="49" t="n">
        <v>0</v>
      </c>
      <c r="E21" s="38" t="inlineStr">
        <is>
          <t>We are not consistently paying required superannuation by the applicable deadline.</t>
        </is>
      </c>
      <c r="F21" s="38" t="inlineStr">
        <is>
          <t>Practice absent or not established as described</t>
        </is>
      </c>
      <c r="G21" s="38" t="inlineStr">
        <is>
          <t>Outcome PAY04_0 supplies provisional risk, priority, reasons and actions. Apply contextual escalation separately.</t>
        </is>
      </c>
      <c r="H21" s="38" t="inlineStr">
        <is>
          <t>Confirmed exclusion only; DK retains the eligible denominator.</t>
        </is>
      </c>
      <c r="I21" s="38" t="inlineStr">
        <is>
          <t>Choose this when the statement describes the current position. Reporting a gap helps prioritise support; it is not an admission that a legal breach has occurred.</t>
        </is>
      </c>
      <c r="J21" s="38" t="inlineStr">
        <is>
          <t>A contribution reconciliation showing actual fund receipt and any missed deadline, with shortfalls, rejected payments and related obligations addressed. A subsequent cycle demonstrates timely receipt; later correction does not erase an earlier delay.</t>
        </is>
      </c>
      <c r="K21" s="38" t="inlineStr">
        <is>
          <t>PAY04_0</t>
        </is>
      </c>
    </row>
    <row r="22" ht="61" customHeight="1">
      <c r="A22" s="37" t="inlineStr">
        <is>
          <t>PAY04</t>
        </is>
      </c>
      <c r="B22" s="37" t="inlineStr">
        <is>
          <t>PAY04_1</t>
        </is>
      </c>
      <c r="C22" s="48" t="n">
        <v>1</v>
      </c>
      <c r="D22" s="48" t="n">
        <v>1</v>
      </c>
      <c r="E22" s="37" t="inlineStr">
        <is>
          <t>We rely on payroll or clearing-house submissions without checking rejected or late contributions.</t>
        </is>
      </c>
      <c r="F22" s="37" t="inlineStr">
        <is>
          <t>Assumption-dependent or inconsistent practice</t>
        </is>
      </c>
      <c r="G22" s="37" t="inlineStr">
        <is>
          <t>Outcome PAY04_1 supplies provisional risk, priority, reasons and actions. Apply contextual escalation separately.</t>
        </is>
      </c>
      <c r="H22" s="37" t="inlineStr">
        <is>
          <t>Confirmed exclusion only; DK retains the eligible denominator.</t>
        </is>
      </c>
      <c r="I22" s="37" t="inlineStr">
        <is>
          <t>Choose this when the process depends on assumptions, personal knowledge or ad hoc handling rather than a dependable check.</t>
        </is>
      </c>
      <c r="J22" s="37" t="inlineStr">
        <is>
          <t>A contribution reconciliation showing actual fund receipt and any missed deadline, with shortfalls, rejected payments and related obligations addressed. A subsequent cycle demonstrates timely receipt; later correction does not erase an earlier delay.</t>
        </is>
      </c>
      <c r="K22" s="37" t="inlineStr">
        <is>
          <t>PAY04_1</t>
        </is>
      </c>
    </row>
    <row r="23" ht="61" customHeight="1">
      <c r="A23" s="38" t="inlineStr">
        <is>
          <t>PAY04</t>
        </is>
      </c>
      <c r="B23" s="38" t="inlineStr">
        <is>
          <t>PAY04_2</t>
        </is>
      </c>
      <c r="C23" s="49" t="n">
        <v>2</v>
      </c>
      <c r="D23" s="49" t="n">
        <v>2</v>
      </c>
      <c r="E23" s="38" t="inlineStr">
        <is>
          <t>We check payments, but some earnings, fund exceptions or receipt dates are unresolved.</t>
        </is>
      </c>
      <c r="F23" s="38" t="inlineStr">
        <is>
          <t>Partly established; residual gap remains</t>
        </is>
      </c>
      <c r="G23" s="38" t="inlineStr">
        <is>
          <t>Outcome PAY04_2 supplies provisional risk, priority, reasons and actions. Apply contextual escalation separately.</t>
        </is>
      </c>
      <c r="H23" s="38" t="inlineStr">
        <is>
          <t>Confirmed exclusion only; DK retains the eligible denominator.</t>
        </is>
      </c>
      <c r="I23" s="38" t="inlineStr">
        <is>
          <t>Choose this when important parts exist but at least one part of the statement remains unresolved. The report should target that gap, not require a full rebuild.</t>
        </is>
      </c>
      <c r="J23" s="38" t="inlineStr">
        <is>
          <t>A contribution reconciliation showing actual fund receipt and any missed deadline, with shortfalls, rejected payments and related obligations addressed. A subsequent cycle demonstrates timely receipt; later correction does not erase an earlier delay.</t>
        </is>
      </c>
      <c r="K23" s="38" t="inlineStr">
        <is>
          <t>PAY04_2</t>
        </is>
      </c>
    </row>
    <row r="24" ht="61" customHeight="1">
      <c r="A24" s="37" t="inlineStr">
        <is>
          <t>PAY04</t>
        </is>
      </c>
      <c r="B24" s="37" t="inlineStr">
        <is>
          <t>PAY04_3</t>
        </is>
      </c>
      <c r="C24" s="48" t="n">
        <v>3</v>
      </c>
      <c r="D24" s="48" t="n">
        <v>3</v>
      </c>
      <c r="E24" s="37" t="inlineStr">
        <is>
          <t>We reconcile the applicable earnings, rate and fund receipt, and promptly resolve rejected or late contributions.</t>
        </is>
      </c>
      <c r="F24" s="37" t="inlineStr">
        <is>
          <t>Established practice reported, not independently verified</t>
        </is>
      </c>
      <c r="G24" s="37" t="inlineStr">
        <is>
          <t>Outcome PAY04_3 supplies provisional risk, priority, reasons and actions. Apply contextual escalation separately.</t>
        </is>
      </c>
      <c r="H24" s="37" t="inlineStr">
        <is>
          <t>Confirmed exclusion only; DK retains the eligible denominator.</t>
        </is>
      </c>
      <c r="I24" s="37" t="inlineStr">
        <is>
          <t>Choose this only when the whole statement describes routine practice and you can point to a recent example or a tested readiness process. One successful exception is not enough.</t>
        </is>
      </c>
      <c r="J24" s="37" t="inlineStr">
        <is>
          <t>A contribution reconciliation showing actual fund receipt and any missed deadline, with shortfalls, rejected payments and related obligations addressed. A subsequent cycle demonstrates timely receipt; later correction does not erase an earlier delay.</t>
        </is>
      </c>
      <c r="K24" s="37" t="inlineStr">
        <is>
          <t>PAY04_3</t>
        </is>
      </c>
    </row>
    <row r="25" ht="61" customHeight="1">
      <c r="A25" s="38" t="inlineStr">
        <is>
          <t>PAY04</t>
        </is>
      </c>
      <c r="B25" s="38" t="inlineStr">
        <is>
          <t>PAY04_DK</t>
        </is>
      </c>
      <c r="C25" s="38" t="inlineStr">
        <is>
          <t>DK</t>
        </is>
      </c>
      <c r="D25" s="49" t="n">
        <v>0</v>
      </c>
      <c r="E25" s="38" t="inlineStr">
        <is>
          <t>I need to confirm this.</t>
        </is>
      </c>
      <c r="F25" s="38" t="inlineStr">
        <is>
          <t>Unverified, not an established failure</t>
        </is>
      </c>
      <c r="G25" s="38" t="inlineStr">
        <is>
          <t>Outcome PAY04_DK supplies provisional risk, priority, reasons and actions. Apply contextual escalation separately.</t>
        </is>
      </c>
      <c r="H25" s="38" t="inlineStr">
        <is>
          <t>Confirmed exclusion only; DK retains the eligible denominator.</t>
        </is>
      </c>
      <c r="I25" s="38" t="inlineStr">
        <is>
          <t>Choose this rather than guessing when you cannot confirm the practice or its consistency. You can save the assessment and ask the responsible person.</t>
        </is>
      </c>
      <c r="J25" s="38" t="inlineStr">
        <is>
          <t>A contribution reconciliation showing actual fund receipt and any missed deadline, with shortfalls, rejected payments and related obligations addressed. A subsequent cycle demonstrates timely receipt; later correction does not erase an earlier delay.</t>
        </is>
      </c>
      <c r="K25" s="38" t="inlineStr">
        <is>
          <t>PAY04_DK</t>
        </is>
      </c>
    </row>
    <row r="26" ht="61" customHeight="1">
      <c r="A26" s="37" t="inlineStr">
        <is>
          <t>PAY05</t>
        </is>
      </c>
      <c r="B26" s="37" t="inlineStr">
        <is>
          <t>PAY05_0</t>
        </is>
      </c>
      <c r="C26" s="48" t="n">
        <v>0</v>
      </c>
      <c r="D26" s="48" t="n">
        <v>0</v>
      </c>
      <c r="E26" s="37" t="inlineStr">
        <is>
          <t>Payslips are not consistently provided.</t>
        </is>
      </c>
      <c r="F26" s="37" t="inlineStr">
        <is>
          <t>Practice absent or not established as described</t>
        </is>
      </c>
      <c r="G26" s="37" t="inlineStr">
        <is>
          <t>Outcome PAY05_0 supplies provisional risk, priority, reasons and actions. Apply contextual escalation separately.</t>
        </is>
      </c>
      <c r="H26" s="37" t="inlineStr">
        <is>
          <t>Confirmed exclusion only; DK retains the eligible denominator.</t>
        </is>
      </c>
      <c r="I26" s="37" t="inlineStr">
        <is>
          <t>Choose this when the statement describes the current position. Reporting a gap helps prioritise support; it is not an admission that a legal breach has occurred.</t>
        </is>
      </c>
      <c r="J26" s="37" t="inlineStr">
        <is>
          <t>A completed payslip check, required corrections issued, delivery/access confirmed and a subsequent payslip checked. Preserve the original record and how any past failure was addressed.</t>
        </is>
      </c>
      <c r="K26" s="37" t="inlineStr">
        <is>
          <t>PAY05_0</t>
        </is>
      </c>
    </row>
    <row r="27" ht="61" customHeight="1">
      <c r="A27" s="38" t="inlineStr">
        <is>
          <t>PAY05</t>
        </is>
      </c>
      <c r="B27" s="38" t="inlineStr">
        <is>
          <t>PAY05_1</t>
        </is>
      </c>
      <c r="C27" s="49" t="n">
        <v>1</v>
      </c>
      <c r="D27" s="49" t="n">
        <v>1</v>
      </c>
      <c r="E27" s="38" t="inlineStr">
        <is>
          <t>Payslips are produced, but timing or required fields have not been checked.</t>
        </is>
      </c>
      <c r="F27" s="38" t="inlineStr">
        <is>
          <t>Assumption-dependent or inconsistent practice</t>
        </is>
      </c>
      <c r="G27" s="38" t="inlineStr">
        <is>
          <t>Outcome PAY05_1 supplies provisional risk, priority, reasons and actions. Apply contextual escalation separately.</t>
        </is>
      </c>
      <c r="H27" s="38" t="inlineStr">
        <is>
          <t>Confirmed exclusion only; DK retains the eligible denominator.</t>
        </is>
      </c>
      <c r="I27" s="38" t="inlineStr">
        <is>
          <t>Choose this when the process depends on assumptions, personal knowledge or ad hoc handling rather than a dependable check.</t>
        </is>
      </c>
      <c r="J27" s="38" t="inlineStr">
        <is>
          <t>A completed payslip check, required corrections issued, delivery/access confirmed and a subsequent payslip checked. Preserve the original record and how any past failure was addressed.</t>
        </is>
      </c>
      <c r="K27" s="38" t="inlineStr">
        <is>
          <t>PAY05_1</t>
        </is>
      </c>
    </row>
    <row r="28" ht="61" customHeight="1">
      <c r="A28" s="37" t="inlineStr">
        <is>
          <t>PAY05</t>
        </is>
      </c>
      <c r="B28" s="37" t="inlineStr">
        <is>
          <t>PAY05_2</t>
        </is>
      </c>
      <c r="C28" s="48" t="n">
        <v>2</v>
      </c>
      <c r="D28" s="48" t="n">
        <v>2</v>
      </c>
      <c r="E28" s="37" t="inlineStr">
        <is>
          <t>Timing and most details are correct, but some arrangements or exceptions need checking.</t>
        </is>
      </c>
      <c r="F28" s="37" t="inlineStr">
        <is>
          <t>Partly established; residual gap remains</t>
        </is>
      </c>
      <c r="G28" s="37" t="inlineStr">
        <is>
          <t>Outcome PAY05_2 supplies provisional risk, priority, reasons and actions. Apply contextual escalation separately.</t>
        </is>
      </c>
      <c r="H28" s="37" t="inlineStr">
        <is>
          <t>Confirmed exclusion only; DK retains the eligible denominator.</t>
        </is>
      </c>
      <c r="I28" s="37" t="inlineStr">
        <is>
          <t>Choose this when important parts exist but at least one part of the statement remains unresolved. The report should target that gap, not require a full rebuild.</t>
        </is>
      </c>
      <c r="J28" s="37" t="inlineStr">
        <is>
          <t>A completed payslip check, required corrections issued, delivery/access confirmed and a subsequent payslip checked. Preserve the original record and how any past failure was addressed.</t>
        </is>
      </c>
      <c r="K28" s="37" t="inlineStr">
        <is>
          <t>PAY05_2</t>
        </is>
      </c>
    </row>
    <row r="29" ht="61" customHeight="1">
      <c r="A29" s="38" t="inlineStr">
        <is>
          <t>PAY05</t>
        </is>
      </c>
      <c r="B29" s="38" t="inlineStr">
        <is>
          <t>PAY05_3</t>
        </is>
      </c>
      <c r="C29" s="49" t="n">
        <v>3</v>
      </c>
      <c r="D29" s="49" t="n">
        <v>3</v>
      </c>
      <c r="E29" s="38" t="inlineStr">
        <is>
          <t>We have checked timing, required fields and secure employee access across our pay arrangements.</t>
        </is>
      </c>
      <c r="F29" s="38" t="inlineStr">
        <is>
          <t>Established practice reported, not independently verified</t>
        </is>
      </c>
      <c r="G29" s="38" t="inlineStr">
        <is>
          <t>Outcome PAY05_3 supplies provisional risk, priority, reasons and actions. Apply contextual escalation separately.</t>
        </is>
      </c>
      <c r="H29" s="38" t="inlineStr">
        <is>
          <t>Confirmed exclusion only; DK retains the eligible denominator.</t>
        </is>
      </c>
      <c r="I29" s="38" t="inlineStr">
        <is>
          <t>Choose this only when the whole statement describes routine practice and you can point to a recent example or a tested readiness process. One successful exception is not enough.</t>
        </is>
      </c>
      <c r="J29" s="38" t="inlineStr">
        <is>
          <t>A completed payslip check, required corrections issued, delivery/access confirmed and a subsequent payslip checked. Preserve the original record and how any past failure was addressed.</t>
        </is>
      </c>
      <c r="K29" s="38" t="inlineStr">
        <is>
          <t>PAY05_3</t>
        </is>
      </c>
    </row>
    <row r="30" ht="61" customHeight="1">
      <c r="A30" s="37" t="inlineStr">
        <is>
          <t>PAY05</t>
        </is>
      </c>
      <c r="B30" s="37" t="inlineStr">
        <is>
          <t>PAY05_DK</t>
        </is>
      </c>
      <c r="C30" s="37" t="inlineStr">
        <is>
          <t>DK</t>
        </is>
      </c>
      <c r="D30" s="48" t="n">
        <v>0</v>
      </c>
      <c r="E30" s="37" t="inlineStr">
        <is>
          <t>I need to confirm this.</t>
        </is>
      </c>
      <c r="F30" s="37" t="inlineStr">
        <is>
          <t>Unverified, not an established failure</t>
        </is>
      </c>
      <c r="G30" s="37" t="inlineStr">
        <is>
          <t>Outcome PAY05_DK supplies provisional risk, priority, reasons and actions. Apply contextual escalation separately.</t>
        </is>
      </c>
      <c r="H30" s="37" t="inlineStr">
        <is>
          <t>Confirmed exclusion only; DK retains the eligible denominator.</t>
        </is>
      </c>
      <c r="I30" s="37" t="inlineStr">
        <is>
          <t>Choose this rather than guessing when you cannot confirm the practice or its consistency. You can save the assessment and ask the responsible person.</t>
        </is>
      </c>
      <c r="J30" s="37" t="inlineStr">
        <is>
          <t>A completed payslip check, required corrections issued, delivery/access confirmed and a subsequent payslip checked. Preserve the original record and how any past failure was addressed.</t>
        </is>
      </c>
      <c r="K30" s="37" t="inlineStr">
        <is>
          <t>PAY05_DK</t>
        </is>
      </c>
    </row>
    <row r="31" ht="61" customHeight="1">
      <c r="A31" s="38" t="inlineStr">
        <is>
          <t>PAY06</t>
        </is>
      </c>
      <c r="B31" s="38" t="inlineStr">
        <is>
          <t>PAY06_0</t>
        </is>
      </c>
      <c r="C31" s="49" t="n">
        <v>0</v>
      </c>
      <c r="D31" s="49" t="n">
        <v>0</v>
      </c>
      <c r="E31" s="38" t="inlineStr">
        <is>
          <t>We do not have a process for this leave.</t>
        </is>
      </c>
      <c r="F31" s="38" t="inlineStr">
        <is>
          <t>Practice absent or not established as described</t>
        </is>
      </c>
      <c r="G31" s="38" t="inlineStr">
        <is>
          <t>Outcome PAY06_0 supplies provisional risk, priority, reasons and actions. Apply contextual escalation separately.</t>
        </is>
      </c>
      <c r="H31" s="38" t="inlineStr">
        <is>
          <t>Confirmed exclusion only; DK retains the eligible denominator.</t>
        </is>
      </c>
      <c r="I31" s="38" t="inlineStr">
        <is>
          <t>Choose this when the statement describes the current position. Reporting a gap helps prioritise support; it is not an admission that a legal breach has occurred.</t>
        </is>
      </c>
      <c r="J31" s="38" t="inlineStr">
        <is>
          <t>A tested confidential workflow and fictional payslip, with a named contact for employees.</t>
        </is>
      </c>
      <c r="K31" s="38" t="inlineStr">
        <is>
          <t>PAY06_0</t>
        </is>
      </c>
    </row>
    <row r="32" ht="61" customHeight="1">
      <c r="A32" s="37" t="inlineStr">
        <is>
          <t>PAY06</t>
        </is>
      </c>
      <c r="B32" s="37" t="inlineStr">
        <is>
          <t>PAY06_1</t>
        </is>
      </c>
      <c r="C32" s="48" t="n">
        <v>1</v>
      </c>
      <c r="D32" s="48" t="n">
        <v>1</v>
      </c>
      <c r="E32" s="37" t="inlineStr">
        <is>
          <t>We would work it out when requested, including how to protect the information.</t>
        </is>
      </c>
      <c r="F32" s="37" t="inlineStr">
        <is>
          <t>Assumption-dependent or inconsistent practice</t>
        </is>
      </c>
      <c r="G32" s="37" t="inlineStr">
        <is>
          <t>Outcome PAY06_1 supplies provisional risk, priority, reasons and actions. Apply contextual escalation separately.</t>
        </is>
      </c>
      <c r="H32" s="37" t="inlineStr">
        <is>
          <t>Confirmed exclusion only; DK retains the eligible denominator.</t>
        </is>
      </c>
      <c r="I32" s="37" t="inlineStr">
        <is>
          <t>Choose this when the process depends on assumptions, personal knowledge or ad hoc handling rather than a dependable check.</t>
        </is>
      </c>
      <c r="J32" s="37" t="inlineStr">
        <is>
          <t>A tested confidential workflow and fictional payslip, with a named contact for employees.</t>
        </is>
      </c>
      <c r="K32" s="37" t="inlineStr">
        <is>
          <t>PAY06_1</t>
        </is>
      </c>
    </row>
    <row r="33" ht="61" customHeight="1">
      <c r="A33" s="38" t="inlineStr">
        <is>
          <t>PAY06</t>
        </is>
      </c>
      <c r="B33" s="38" t="inlineStr">
        <is>
          <t>PAY06_2</t>
        </is>
      </c>
      <c r="C33" s="49" t="n">
        <v>2</v>
      </c>
      <c r="D33" s="49" t="n">
        <v>2</v>
      </c>
      <c r="E33" s="38" t="inlineStr">
        <is>
          <t>We have guidance, but payroll treatment or confidentiality has not been checked.</t>
        </is>
      </c>
      <c r="F33" s="38" t="inlineStr">
        <is>
          <t>Partly established; residual gap remains</t>
        </is>
      </c>
      <c r="G33" s="38" t="inlineStr">
        <is>
          <t>Outcome PAY06_2 supplies provisional risk, priority, reasons and actions. Apply contextual escalation separately.</t>
        </is>
      </c>
      <c r="H33" s="38" t="inlineStr">
        <is>
          <t>Confirmed exclusion only; DK retains the eligible denominator.</t>
        </is>
      </c>
      <c r="I33" s="38" t="inlineStr">
        <is>
          <t>Choose this when important parts exist but at least one part of the statement remains unresolved. The report should target that gap, not require a full rebuild.</t>
        </is>
      </c>
      <c r="J33" s="38" t="inlineStr">
        <is>
          <t>A tested confidential workflow and fictional payslip, with a named contact for employees.</t>
        </is>
      </c>
      <c r="K33" s="38" t="inlineStr">
        <is>
          <t>PAY06_2</t>
        </is>
      </c>
    </row>
    <row r="34" ht="61" customHeight="1">
      <c r="A34" s="37" t="inlineStr">
        <is>
          <t>PAY06</t>
        </is>
      </c>
      <c r="B34" s="37" t="inlineStr">
        <is>
          <t>PAY06_3</t>
        </is>
      </c>
      <c r="C34" s="48" t="n">
        <v>3</v>
      </c>
      <c r="D34" s="48" t="n">
        <v>3</v>
      </c>
      <c r="E34" s="37" t="inlineStr">
        <is>
          <t>Authorised staff can apply the entitlement and payment rules, protect supporting information and use an appropriate payslip description.</t>
        </is>
      </c>
      <c r="F34" s="37" t="inlineStr">
        <is>
          <t>Established practice reported, not independently verified</t>
        </is>
      </c>
      <c r="G34" s="37" t="inlineStr">
        <is>
          <t>Outcome PAY06_3 supplies provisional risk, priority, reasons and actions. Apply contextual escalation separately.</t>
        </is>
      </c>
      <c r="H34" s="37" t="inlineStr">
        <is>
          <t>Confirmed exclusion only; DK retains the eligible denominator.</t>
        </is>
      </c>
      <c r="I34" s="37" t="inlineStr">
        <is>
          <t>Choose this only when the whole statement describes routine practice and you can point to a recent example or a tested readiness process. One successful exception is not enough.</t>
        </is>
      </c>
      <c r="J34" s="37" t="inlineStr">
        <is>
          <t>A tested confidential workflow and fictional payslip, with a named contact for employees.</t>
        </is>
      </c>
      <c r="K34" s="37" t="inlineStr">
        <is>
          <t>PAY06_3</t>
        </is>
      </c>
    </row>
    <row r="35" ht="61" customHeight="1">
      <c r="A35" s="38" t="inlineStr">
        <is>
          <t>PAY06</t>
        </is>
      </c>
      <c r="B35" s="38" t="inlineStr">
        <is>
          <t>PAY06_DK</t>
        </is>
      </c>
      <c r="C35" s="38" t="inlineStr">
        <is>
          <t>DK</t>
        </is>
      </c>
      <c r="D35" s="49" t="n">
        <v>0</v>
      </c>
      <c r="E35" s="38" t="inlineStr">
        <is>
          <t>I need to confirm this.</t>
        </is>
      </c>
      <c r="F35" s="38" t="inlineStr">
        <is>
          <t>Unverified, not an established failure</t>
        </is>
      </c>
      <c r="G35" s="38" t="inlineStr">
        <is>
          <t>Outcome PAY06_DK supplies provisional risk, priority, reasons and actions. Apply contextual escalation separately.</t>
        </is>
      </c>
      <c r="H35" s="38" t="inlineStr">
        <is>
          <t>Confirmed exclusion only; DK retains the eligible denominator.</t>
        </is>
      </c>
      <c r="I35" s="38" t="inlineStr">
        <is>
          <t>Choose this rather than guessing when you cannot confirm the practice or its consistency. You can save the assessment and ask the responsible person.</t>
        </is>
      </c>
      <c r="J35" s="38" t="inlineStr">
        <is>
          <t>A tested confidential workflow and fictional payslip, with a named contact for employees.</t>
        </is>
      </c>
      <c r="K35" s="38" t="inlineStr">
        <is>
          <t>PAY06_DK</t>
        </is>
      </c>
    </row>
    <row r="36" ht="61" customHeight="1">
      <c r="A36" s="37" t="inlineStr">
        <is>
          <t>CON01</t>
        </is>
      </c>
      <c r="B36" s="37" t="inlineStr">
        <is>
          <t>CON01_0</t>
        </is>
      </c>
      <c r="C36" s="48" t="n">
        <v>0</v>
      </c>
      <c r="D36" s="48" t="n">
        <v>0</v>
      </c>
      <c r="E36" s="37" t="inlineStr">
        <is>
          <t>Some or all employees have no clear written terms.</t>
        </is>
      </c>
      <c r="F36" s="37" t="inlineStr">
        <is>
          <t>Practice absent or not established as described</t>
        </is>
      </c>
      <c r="G36" s="37" t="inlineStr">
        <is>
          <t>Outcome CON01_0 supplies provisional risk, priority, reasons and actions. Apply contextual escalation separately.</t>
        </is>
      </c>
      <c r="H36" s="37" t="inlineStr">
        <is>
          <t>Confirmed exclusion only; DK retains the eligible denominator.</t>
        </is>
      </c>
      <c r="I36" s="37" t="inlineStr">
        <is>
          <t>Choose this when the statement describes the current position. Reporting a gap helps prioritise support; it is not an admission that a legal breach has occurred.</t>
        </is>
      </c>
      <c r="J36" s="37" t="inlineStr">
        <is>
          <t>Current employment terms match the actual arrangements, required agreement and communication are recorded, and material exceptions have been resolved. A register tracks the next review; merely listing missing contracts does not close the task.</t>
        </is>
      </c>
      <c r="K36" s="37" t="inlineStr">
        <is>
          <t>CON01_0</t>
        </is>
      </c>
    </row>
    <row r="37" ht="61" customHeight="1">
      <c r="A37" s="38" t="inlineStr">
        <is>
          <t>CON01</t>
        </is>
      </c>
      <c r="B37" s="38" t="inlineStr">
        <is>
          <t>CON01_1</t>
        </is>
      </c>
      <c r="C37" s="49" t="n">
        <v>1</v>
      </c>
      <c r="D37" s="49" t="n">
        <v>1</v>
      </c>
      <c r="E37" s="38" t="inlineStr">
        <is>
          <t>We use a template, but it has not been checked for the role or current arrangement.</t>
        </is>
      </c>
      <c r="F37" s="38" t="inlineStr">
        <is>
          <t>Assumption-dependent or inconsistent practice</t>
        </is>
      </c>
      <c r="G37" s="38" t="inlineStr">
        <is>
          <t>Outcome CON01_1 supplies provisional risk, priority, reasons and actions. Apply contextual escalation separately.</t>
        </is>
      </c>
      <c r="H37" s="38" t="inlineStr">
        <is>
          <t>Confirmed exclusion only; DK retains the eligible denominator.</t>
        </is>
      </c>
      <c r="I37" s="38" t="inlineStr">
        <is>
          <t>Choose this when the process depends on assumptions, personal knowledge or ad hoc handling rather than a dependable check.</t>
        </is>
      </c>
      <c r="J37" s="38" t="inlineStr">
        <is>
          <t>Current employment terms match the actual arrangements, required agreement and communication are recorded, and material exceptions have been resolved. A register tracks the next review; merely listing missing contracts does not close the task.</t>
        </is>
      </c>
      <c r="K37" s="38" t="inlineStr">
        <is>
          <t>CON01_1</t>
        </is>
      </c>
    </row>
    <row r="38" ht="61" customHeight="1">
      <c r="A38" s="37" t="inlineStr">
        <is>
          <t>CON01</t>
        </is>
      </c>
      <c r="B38" s="37" t="inlineStr">
        <is>
          <t>CON01_2</t>
        </is>
      </c>
      <c r="C38" s="48" t="n">
        <v>2</v>
      </c>
      <c r="D38" s="48" t="n">
        <v>2</v>
      </c>
      <c r="E38" s="37" t="inlineStr">
        <is>
          <t>Most terms are current, but some employees have unsigned, inconsistent or outdated documents.</t>
        </is>
      </c>
      <c r="F38" s="37" t="inlineStr">
        <is>
          <t>Partly established; residual gap remains</t>
        </is>
      </c>
      <c r="G38" s="37" t="inlineStr">
        <is>
          <t>Outcome CON01_2 supplies provisional risk, priority, reasons and actions. Apply contextual escalation separately.</t>
        </is>
      </c>
      <c r="H38" s="37" t="inlineStr">
        <is>
          <t>Confirmed exclusion only; DK retains the eligible denominator.</t>
        </is>
      </c>
      <c r="I38" s="37" t="inlineStr">
        <is>
          <t>Choose this when important parts exist but at least one part of the statement remains unresolved. The report should target that gap, not require a full rebuild.</t>
        </is>
      </c>
      <c r="J38" s="37" t="inlineStr">
        <is>
          <t>Current employment terms match the actual arrangements, required agreement and communication are recorded, and material exceptions have been resolved. A register tracks the next review; merely listing missing contracts does not close the task.</t>
        </is>
      </c>
      <c r="K38" s="37" t="inlineStr">
        <is>
          <t>CON01_2</t>
        </is>
      </c>
    </row>
    <row r="39" ht="61" customHeight="1">
      <c r="A39" s="38" t="inlineStr">
        <is>
          <t>CON01</t>
        </is>
      </c>
      <c r="B39" s="38" t="inlineStr">
        <is>
          <t>CON01_3</t>
        </is>
      </c>
      <c r="C39" s="49" t="n">
        <v>3</v>
      </c>
      <c r="D39" s="49" t="n">
        <v>3</v>
      </c>
      <c r="E39" s="38" t="inlineStr">
        <is>
          <t>We hold clear, current terms for each employee and can demonstrate that relevant terms were communicated and agreed.</t>
        </is>
      </c>
      <c r="F39" s="38" t="inlineStr">
        <is>
          <t>Established practice reported, not independently verified</t>
        </is>
      </c>
      <c r="G39" s="38" t="inlineStr">
        <is>
          <t>Outcome CON01_3 supplies provisional risk, priority, reasons and actions. Apply contextual escalation separately.</t>
        </is>
      </c>
      <c r="H39" s="38" t="inlineStr">
        <is>
          <t>Confirmed exclusion only; DK retains the eligible denominator.</t>
        </is>
      </c>
      <c r="I39" s="38" t="inlineStr">
        <is>
          <t>Choose this only when the whole statement describes routine practice and you can point to a recent example or a tested readiness process. One successful exception is not enough.</t>
        </is>
      </c>
      <c r="J39" s="38" t="inlineStr">
        <is>
          <t>Current employment terms match the actual arrangements, required agreement and communication are recorded, and material exceptions have been resolved. A register tracks the next review; merely listing missing contracts does not close the task.</t>
        </is>
      </c>
      <c r="K39" s="38" t="inlineStr">
        <is>
          <t>CON01_3</t>
        </is>
      </c>
    </row>
    <row r="40" ht="61" customHeight="1">
      <c r="A40" s="37" t="inlineStr">
        <is>
          <t>CON01</t>
        </is>
      </c>
      <c r="B40" s="37" t="inlineStr">
        <is>
          <t>CON01_DK</t>
        </is>
      </c>
      <c r="C40" s="37" t="inlineStr">
        <is>
          <t>DK</t>
        </is>
      </c>
      <c r="D40" s="48" t="n">
        <v>0</v>
      </c>
      <c r="E40" s="37" t="inlineStr">
        <is>
          <t>I need to confirm this.</t>
        </is>
      </c>
      <c r="F40" s="37" t="inlineStr">
        <is>
          <t>Unverified, not an established failure</t>
        </is>
      </c>
      <c r="G40" s="37" t="inlineStr">
        <is>
          <t>Outcome CON01_DK supplies provisional risk, priority, reasons and actions. Apply contextual escalation separately.</t>
        </is>
      </c>
      <c r="H40" s="37" t="inlineStr">
        <is>
          <t>Confirmed exclusion only; DK retains the eligible denominator.</t>
        </is>
      </c>
      <c r="I40" s="37" t="inlineStr">
        <is>
          <t>Choose this rather than guessing when you cannot confirm the practice or its consistency. You can save the assessment and ask the responsible person.</t>
        </is>
      </c>
      <c r="J40" s="37" t="inlineStr">
        <is>
          <t>Current employment terms match the actual arrangements, required agreement and communication are recorded, and material exceptions have been resolved. A register tracks the next review; merely listing missing contracts does not close the task.</t>
        </is>
      </c>
      <c r="K40" s="37" t="inlineStr">
        <is>
          <t>CON01_DK</t>
        </is>
      </c>
    </row>
    <row r="41" ht="61" customHeight="1">
      <c r="A41" s="38" t="inlineStr">
        <is>
          <t>CON02</t>
        </is>
      </c>
      <c r="B41" s="38" t="inlineStr">
        <is>
          <t>CON02_0</t>
        </is>
      </c>
      <c r="C41" s="49" t="n">
        <v>0</v>
      </c>
      <c r="D41" s="49" t="n">
        <v>0</v>
      </c>
      <c r="E41" s="38" t="inlineStr">
        <is>
          <t>Employment types have not been reviewed.</t>
        </is>
      </c>
      <c r="F41" s="38" t="inlineStr">
        <is>
          <t>Practice absent or not established as described</t>
        </is>
      </c>
      <c r="G41" s="38" t="inlineStr">
        <is>
          <t>Outcome CON02_0 supplies provisional risk, priority, reasons and actions. Apply contextual escalation separately.</t>
        </is>
      </c>
      <c r="H41" s="38" t="inlineStr">
        <is>
          <t>Confirmed exclusion only; DK retains the eligible denominator.</t>
        </is>
      </c>
      <c r="I41" s="38" t="inlineStr">
        <is>
          <t>Choose this when the statement describes the current position. Reporting a gap helps prioritise support; it is not an admission that a legal breach has occurred.</t>
        </is>
      </c>
      <c r="J41" s="38" t="inlineStr">
        <is>
          <t>Each materially different employment arrangement has a recorded assessment and any necessary changes have been agreed, implemented and checked. Keep unresolved status or entitlement questions open.</t>
        </is>
      </c>
      <c r="K41" s="38" t="inlineStr">
        <is>
          <t>CON02_0</t>
        </is>
      </c>
    </row>
    <row r="42" ht="61" customHeight="1">
      <c r="A42" s="37" t="inlineStr">
        <is>
          <t>CON02</t>
        </is>
      </c>
      <c r="B42" s="37" t="inlineStr">
        <is>
          <t>CON02_1</t>
        </is>
      </c>
      <c r="C42" s="48" t="n">
        <v>1</v>
      </c>
      <c r="D42" s="48" t="n">
        <v>1</v>
      </c>
      <c r="E42" s="37" t="inlineStr">
        <is>
          <t>We retain the original label even when the working arrangement changes.</t>
        </is>
      </c>
      <c r="F42" s="37" t="inlineStr">
        <is>
          <t>Assumption-dependent or inconsistent practice</t>
        </is>
      </c>
      <c r="G42" s="37" t="inlineStr">
        <is>
          <t>Outcome CON02_1 supplies provisional risk, priority, reasons and actions. Apply contextual escalation separately.</t>
        </is>
      </c>
      <c r="H42" s="37" t="inlineStr">
        <is>
          <t>Confirmed exclusion only; DK retains the eligible denominator.</t>
        </is>
      </c>
      <c r="I42" s="37" t="inlineStr">
        <is>
          <t>Choose this when the process depends on assumptions, personal knowledge or ad hoc handling rather than a dependable check.</t>
        </is>
      </c>
      <c r="J42" s="37" t="inlineStr">
        <is>
          <t>Each materially different employment arrangement has a recorded assessment and any necessary changes have been agreed, implemented and checked. Keep unresolved status or entitlement questions open.</t>
        </is>
      </c>
      <c r="K42" s="37" t="inlineStr">
        <is>
          <t>CON02_1</t>
        </is>
      </c>
    </row>
    <row r="43" ht="61" customHeight="1">
      <c r="A43" s="38" t="inlineStr">
        <is>
          <t>CON02</t>
        </is>
      </c>
      <c r="B43" s="38" t="inlineStr">
        <is>
          <t>CON02_2</t>
        </is>
      </c>
      <c r="C43" s="49" t="n">
        <v>2</v>
      </c>
      <c r="D43" s="49" t="n">
        <v>2</v>
      </c>
      <c r="E43" s="38" t="inlineStr">
        <is>
          <t>Most arrangements have been reviewed, but some changes or exceptions remain unresolved.</t>
        </is>
      </c>
      <c r="F43" s="38" t="inlineStr">
        <is>
          <t>Partly established; residual gap remains</t>
        </is>
      </c>
      <c r="G43" s="38" t="inlineStr">
        <is>
          <t>Outcome CON02_2 supplies provisional risk, priority, reasons and actions. Apply contextual escalation separately.</t>
        </is>
      </c>
      <c r="H43" s="38" t="inlineStr">
        <is>
          <t>Confirmed exclusion only; DK retains the eligible denominator.</t>
        </is>
      </c>
      <c r="I43" s="38" t="inlineStr">
        <is>
          <t>Choose this when important parts exist but at least one part of the statement remains unresolved. The report should target that gap, not require a full rebuild.</t>
        </is>
      </c>
      <c r="J43" s="38" t="inlineStr">
        <is>
          <t>Each materially different employment arrangement has a recorded assessment and any necessary changes have been agreed, implemented and checked. Keep unresolved status or entitlement questions open.</t>
        </is>
      </c>
      <c r="K43" s="38" t="inlineStr">
        <is>
          <t>CON02_2</t>
        </is>
      </c>
    </row>
    <row r="44" ht="61" customHeight="1">
      <c r="A44" s="37" t="inlineStr">
        <is>
          <t>CON02</t>
        </is>
      </c>
      <c r="B44" s="37" t="inlineStr">
        <is>
          <t>CON02_3</t>
        </is>
      </c>
      <c r="C44" s="48" t="n">
        <v>3</v>
      </c>
      <c r="D44" s="48" t="n">
        <v>3</v>
      </c>
      <c r="E44" s="37" t="inlineStr">
        <is>
          <t>We check the basis for engagement and revisit it when the pattern of work or contractual arrangement changes.</t>
        </is>
      </c>
      <c r="F44" s="37" t="inlineStr">
        <is>
          <t>Established practice reported, not independently verified</t>
        </is>
      </c>
      <c r="G44" s="37" t="inlineStr">
        <is>
          <t>Outcome CON02_3 supplies provisional risk, priority, reasons and actions. Apply contextual escalation separately.</t>
        </is>
      </c>
      <c r="H44" s="37" t="inlineStr">
        <is>
          <t>Confirmed exclusion only; DK retains the eligible denominator.</t>
        </is>
      </c>
      <c r="I44" s="37" t="inlineStr">
        <is>
          <t>Choose this only when the whole statement describes routine practice and you can point to a recent example or a tested readiness process. One successful exception is not enough.</t>
        </is>
      </c>
      <c r="J44" s="37" t="inlineStr">
        <is>
          <t>Each materially different employment arrangement has a recorded assessment and any necessary changes have been agreed, implemented and checked. Keep unresolved status or entitlement questions open.</t>
        </is>
      </c>
      <c r="K44" s="37" t="inlineStr">
        <is>
          <t>CON02_3</t>
        </is>
      </c>
    </row>
    <row r="45" ht="61" customHeight="1">
      <c r="A45" s="38" t="inlineStr">
        <is>
          <t>CON02</t>
        </is>
      </c>
      <c r="B45" s="38" t="inlineStr">
        <is>
          <t>CON02_DK</t>
        </is>
      </c>
      <c r="C45" s="38" t="inlineStr">
        <is>
          <t>DK</t>
        </is>
      </c>
      <c r="D45" s="49" t="n">
        <v>0</v>
      </c>
      <c r="E45" s="38" t="inlineStr">
        <is>
          <t>I need to confirm this.</t>
        </is>
      </c>
      <c r="F45" s="38" t="inlineStr">
        <is>
          <t>Unverified, not an established failure</t>
        </is>
      </c>
      <c r="G45" s="38" t="inlineStr">
        <is>
          <t>Outcome CON02_DK supplies provisional risk, priority, reasons and actions. Apply contextual escalation separately.</t>
        </is>
      </c>
      <c r="H45" s="38" t="inlineStr">
        <is>
          <t>Confirmed exclusion only; DK retains the eligible denominator.</t>
        </is>
      </c>
      <c r="I45" s="38" t="inlineStr">
        <is>
          <t>Choose this rather than guessing when you cannot confirm the practice or its consistency. You can save the assessment and ask the responsible person.</t>
        </is>
      </c>
      <c r="J45" s="38" t="inlineStr">
        <is>
          <t>Each materially different employment arrangement has a recorded assessment and any necessary changes have been agreed, implemented and checked. Keep unresolved status or entitlement questions open.</t>
        </is>
      </c>
      <c r="K45" s="38" t="inlineStr">
        <is>
          <t>CON02_DK</t>
        </is>
      </c>
    </row>
    <row r="46" ht="61" customHeight="1">
      <c r="A46" s="37" t="inlineStr">
        <is>
          <t>CON03</t>
        </is>
      </c>
      <c r="B46" s="37" t="inlineStr">
        <is>
          <t>CON03_0</t>
        </is>
      </c>
      <c r="C46" s="48" t="n">
        <v>0</v>
      </c>
      <c r="D46" s="48" t="n">
        <v>0</v>
      </c>
      <c r="E46" s="37" t="inlineStr">
        <is>
          <t>Changes are made without a consistent process.</t>
        </is>
      </c>
      <c r="F46" s="37" t="inlineStr">
        <is>
          <t>Practice absent or not established as described</t>
        </is>
      </c>
      <c r="G46" s="37" t="inlineStr">
        <is>
          <t>Outcome CON03_0 supplies provisional risk, priority, reasons and actions. Apply contextual escalation separately.</t>
        </is>
      </c>
      <c r="H46" s="37" t="inlineStr">
        <is>
          <t>Confirmed exclusion only; DK retains the eligible denominator.</t>
        </is>
      </c>
      <c r="I46" s="37" t="inlineStr">
        <is>
          <t>Choose this when the statement describes the current position. Reporting a gap helps prioritise support; it is not an admission that a legal breach has occurred.</t>
        </is>
      </c>
      <c r="J46" s="37" t="inlineStr">
        <is>
          <t>A complete change record with approvals, required agreement or consultation and matching payroll instructions.</t>
        </is>
      </c>
      <c r="K46" s="37" t="inlineStr">
        <is>
          <t>CON03_0</t>
        </is>
      </c>
    </row>
    <row r="47" ht="61" customHeight="1">
      <c r="A47" s="38" t="inlineStr">
        <is>
          <t>CON03</t>
        </is>
      </c>
      <c r="B47" s="38" t="inlineStr">
        <is>
          <t>CON03_1</t>
        </is>
      </c>
      <c r="C47" s="49" t="n">
        <v>1</v>
      </c>
      <c r="D47" s="49" t="n">
        <v>1</v>
      </c>
      <c r="E47" s="38" t="inlineStr">
        <is>
          <t>Managers generally agree changes verbally or by informal messages.</t>
        </is>
      </c>
      <c r="F47" s="38" t="inlineStr">
        <is>
          <t>Assumption-dependent or inconsistent practice</t>
        </is>
      </c>
      <c r="G47" s="38" t="inlineStr">
        <is>
          <t>Outcome CON03_1 supplies provisional risk, priority, reasons and actions. Apply contextual escalation separately.</t>
        </is>
      </c>
      <c r="H47" s="38" t="inlineStr">
        <is>
          <t>Confirmed exclusion only; DK retains the eligible denominator.</t>
        </is>
      </c>
      <c r="I47" s="38" t="inlineStr">
        <is>
          <t>Choose this when the process depends on assumptions, personal knowledge or ad hoc handling rather than a dependable check.</t>
        </is>
      </c>
      <c r="J47" s="38" t="inlineStr">
        <is>
          <t>A complete change record with approvals, required agreement or consultation and matching payroll instructions.</t>
        </is>
      </c>
      <c r="K47" s="38" t="inlineStr">
        <is>
          <t>CON03_1</t>
        </is>
      </c>
    </row>
    <row r="48" ht="61" customHeight="1">
      <c r="A48" s="37" t="inlineStr">
        <is>
          <t>CON03</t>
        </is>
      </c>
      <c r="B48" s="37" t="inlineStr">
        <is>
          <t>CON03_2</t>
        </is>
      </c>
      <c r="C48" s="48" t="n">
        <v>2</v>
      </c>
      <c r="D48" s="48" t="n">
        <v>2</v>
      </c>
      <c r="E48" s="37" t="inlineStr">
        <is>
          <t>Most changes are recorded, but agreement, payroll updates or filing can be missed.</t>
        </is>
      </c>
      <c r="F48" s="37" t="inlineStr">
        <is>
          <t>Partly established; residual gap remains</t>
        </is>
      </c>
      <c r="G48" s="37" t="inlineStr">
        <is>
          <t>Outcome CON03_2 supplies provisional risk, priority, reasons and actions. Apply contextual escalation separately.</t>
        </is>
      </c>
      <c r="H48" s="37" t="inlineStr">
        <is>
          <t>Confirmed exclusion only; DK retains the eligible denominator.</t>
        </is>
      </c>
      <c r="I48" s="37" t="inlineStr">
        <is>
          <t>Choose this when important parts exist but at least one part of the statement remains unresolved. The report should target that gap, not require a full rebuild.</t>
        </is>
      </c>
      <c r="J48" s="37" t="inlineStr">
        <is>
          <t>A complete change record with approvals, required agreement or consultation and matching payroll instructions.</t>
        </is>
      </c>
      <c r="K48" s="37" t="inlineStr">
        <is>
          <t>CON03_2</t>
        </is>
      </c>
    </row>
    <row r="49" ht="61" customHeight="1">
      <c r="A49" s="38" t="inlineStr">
        <is>
          <t>CON03</t>
        </is>
      </c>
      <c r="B49" s="38" t="inlineStr">
        <is>
          <t>CON03_3</t>
        </is>
      </c>
      <c r="C49" s="49" t="n">
        <v>3</v>
      </c>
      <c r="D49" s="49" t="n">
        <v>3</v>
      </c>
      <c r="E49" s="38" t="inlineStr">
        <is>
          <t>We check the authority and required process, record relevant agreement and ensure payroll and employee records match the change.</t>
        </is>
      </c>
      <c r="F49" s="38" t="inlineStr">
        <is>
          <t>Established practice reported, not independently verified</t>
        </is>
      </c>
      <c r="G49" s="38" t="inlineStr">
        <is>
          <t>Outcome CON03_3 supplies provisional risk, priority, reasons and actions. Apply contextual escalation separately.</t>
        </is>
      </c>
      <c r="H49" s="38" t="inlineStr">
        <is>
          <t>Confirmed exclusion only; DK retains the eligible denominator.</t>
        </is>
      </c>
      <c r="I49" s="38" t="inlineStr">
        <is>
          <t>Choose this only when the whole statement describes routine practice and you can point to a recent example or a tested readiness process. One successful exception is not enough.</t>
        </is>
      </c>
      <c r="J49" s="38" t="inlineStr">
        <is>
          <t>A complete change record with approvals, required agreement or consultation and matching payroll instructions.</t>
        </is>
      </c>
      <c r="K49" s="38" t="inlineStr">
        <is>
          <t>CON03_3</t>
        </is>
      </c>
    </row>
    <row r="50" ht="61" customHeight="1">
      <c r="A50" s="37" t="inlineStr">
        <is>
          <t>CON03</t>
        </is>
      </c>
      <c r="B50" s="37" t="inlineStr">
        <is>
          <t>CON03_DK</t>
        </is>
      </c>
      <c r="C50" s="37" t="inlineStr">
        <is>
          <t>DK</t>
        </is>
      </c>
      <c r="D50" s="48" t="n">
        <v>0</v>
      </c>
      <c r="E50" s="37" t="inlineStr">
        <is>
          <t>I need to confirm this.</t>
        </is>
      </c>
      <c r="F50" s="37" t="inlineStr">
        <is>
          <t>Unverified, not an established failure</t>
        </is>
      </c>
      <c r="G50" s="37" t="inlineStr">
        <is>
          <t>Outcome CON03_DK supplies provisional risk, priority, reasons and actions. Apply contextual escalation separately.</t>
        </is>
      </c>
      <c r="H50" s="37" t="inlineStr">
        <is>
          <t>Confirmed exclusion only; DK retains the eligible denominator.</t>
        </is>
      </c>
      <c r="I50" s="37" t="inlineStr">
        <is>
          <t>Choose this rather than guessing when you cannot confirm the practice or its consistency. You can save the assessment and ask the responsible person.</t>
        </is>
      </c>
      <c r="J50" s="37" t="inlineStr">
        <is>
          <t>A complete change record with approvals, required agreement or consultation and matching payroll instructions.</t>
        </is>
      </c>
      <c r="K50" s="37" t="inlineStr">
        <is>
          <t>CON03_DK</t>
        </is>
      </c>
    </row>
    <row r="51" ht="61" customHeight="1">
      <c r="A51" s="38" t="inlineStr">
        <is>
          <t>REC01</t>
        </is>
      </c>
      <c r="B51" s="38" t="inlineStr">
        <is>
          <t>REC01_0</t>
        </is>
      </c>
      <c r="C51" s="49" t="n">
        <v>0</v>
      </c>
      <c r="D51" s="49" t="n">
        <v>0</v>
      </c>
      <c r="E51" s="38" t="inlineStr">
        <is>
          <t>We usually start recruiting without a clear role brief.</t>
        </is>
      </c>
      <c r="F51" s="38" t="inlineStr">
        <is>
          <t>Practice absent or not established as described</t>
        </is>
      </c>
      <c r="G51" s="38" t="inlineStr">
        <is>
          <t>Outcome REC01_0 supplies provisional risk, priority, reasons and actions. Apply contextual escalation separately.</t>
        </is>
      </c>
      <c r="H51" s="38" t="inlineStr">
        <is>
          <t>Confirmed exclusion only; DK retains the eligible denominator.</t>
        </is>
      </c>
      <c r="I51" s="38" t="inlineStr">
        <is>
          <t>Choose this when the statement describes the current position. Reporting a gap helps prioritise support; it is not an admission that a legal breach has occurred.</t>
        </is>
      </c>
      <c r="J51" s="38" t="inlineStr">
        <is>
          <t>An agreed role brief that the advert, selection criteria and initial performance goals reflect.</t>
        </is>
      </c>
      <c r="K51" s="38" t="inlineStr">
        <is>
          <t>REC01_0</t>
        </is>
      </c>
    </row>
    <row r="52" ht="61" customHeight="1">
      <c r="A52" s="37" t="inlineStr">
        <is>
          <t>REC01</t>
        </is>
      </c>
      <c r="B52" s="37" t="inlineStr">
        <is>
          <t>REC01_1</t>
        </is>
      </c>
      <c r="C52" s="48" t="n">
        <v>1</v>
      </c>
      <c r="D52" s="48" t="n">
        <v>1</v>
      </c>
      <c r="E52" s="37" t="inlineStr">
        <is>
          <t>We reuse an old description or describe the previous employee's work.</t>
        </is>
      </c>
      <c r="F52" s="37" t="inlineStr">
        <is>
          <t>Assumption-dependent or inconsistent practice</t>
        </is>
      </c>
      <c r="G52" s="37" t="inlineStr">
        <is>
          <t>Outcome REC01_1 supplies provisional risk, priority, reasons and actions. Apply contextual escalation separately.</t>
        </is>
      </c>
      <c r="H52" s="37" t="inlineStr">
        <is>
          <t>Confirmed exclusion only; DK retains the eligible denominator.</t>
        </is>
      </c>
      <c r="I52" s="37" t="inlineStr">
        <is>
          <t>Choose this when the process depends on assumptions, personal knowledge or ad hoc handling rather than a dependable check.</t>
        </is>
      </c>
      <c r="J52" s="37" t="inlineStr">
        <is>
          <t>An agreed role brief that the advert, selection criteria and initial performance goals reflect.</t>
        </is>
      </c>
      <c r="K52" s="37" t="inlineStr">
        <is>
          <t>REC01_1</t>
        </is>
      </c>
    </row>
    <row r="53" ht="61" customHeight="1">
      <c r="A53" s="38" t="inlineStr">
        <is>
          <t>REC01</t>
        </is>
      </c>
      <c r="B53" s="38" t="inlineStr">
        <is>
          <t>REC01_2</t>
        </is>
      </c>
      <c r="C53" s="49" t="n">
        <v>2</v>
      </c>
      <c r="D53" s="49" t="n">
        <v>2</v>
      </c>
      <c r="E53" s="38" t="inlineStr">
        <is>
          <t>We set out key duties, but outcomes, essential requirements or role boundaries are unclear.</t>
        </is>
      </c>
      <c r="F53" s="38" t="inlineStr">
        <is>
          <t>Partly established; residual gap remains</t>
        </is>
      </c>
      <c r="G53" s="38" t="inlineStr">
        <is>
          <t>Outcome REC01_2 supplies provisional risk, priority, reasons and actions. Apply contextual escalation separately.</t>
        </is>
      </c>
      <c r="H53" s="38" t="inlineStr">
        <is>
          <t>Confirmed exclusion only; DK retains the eligible denominator.</t>
        </is>
      </c>
      <c r="I53" s="38" t="inlineStr">
        <is>
          <t>Choose this when important parts exist but at least one part of the statement remains unresolved. The report should target that gap, not require a full rebuild.</t>
        </is>
      </c>
      <c r="J53" s="38" t="inlineStr">
        <is>
          <t>An agreed role brief that the advert, selection criteria and initial performance goals reflect.</t>
        </is>
      </c>
      <c r="K53" s="38" t="inlineStr">
        <is>
          <t>REC01_2</t>
        </is>
      </c>
    </row>
    <row r="54" ht="61" customHeight="1">
      <c r="A54" s="37" t="inlineStr">
        <is>
          <t>REC01</t>
        </is>
      </c>
      <c r="B54" s="37" t="inlineStr">
        <is>
          <t>REC01_3</t>
        </is>
      </c>
      <c r="C54" s="48" t="n">
        <v>3</v>
      </c>
      <c r="D54" s="48" t="n">
        <v>3</v>
      </c>
      <c r="E54" s="37" t="inlineStr">
        <is>
          <t>We confirm the business need, expected outcomes and genuine role requirements, and use that brief consistently in recruitment.</t>
        </is>
      </c>
      <c r="F54" s="37" t="inlineStr">
        <is>
          <t>Established practice reported, not independently verified</t>
        </is>
      </c>
      <c r="G54" s="37" t="inlineStr">
        <is>
          <t>Outcome REC01_3 supplies provisional risk, priority, reasons and actions. Apply contextual escalation separately.</t>
        </is>
      </c>
      <c r="H54" s="37" t="inlineStr">
        <is>
          <t>Confirmed exclusion only; DK retains the eligible denominator.</t>
        </is>
      </c>
      <c r="I54" s="37" t="inlineStr">
        <is>
          <t>Choose this only when the whole statement describes routine practice and you can point to a recent example or a tested readiness process. One successful exception is not enough.</t>
        </is>
      </c>
      <c r="J54" s="37" t="inlineStr">
        <is>
          <t>An agreed role brief that the advert, selection criteria and initial performance goals reflect.</t>
        </is>
      </c>
      <c r="K54" s="37" t="inlineStr">
        <is>
          <t>REC01_3</t>
        </is>
      </c>
    </row>
    <row r="55" ht="61" customHeight="1">
      <c r="A55" s="38" t="inlineStr">
        <is>
          <t>REC01</t>
        </is>
      </c>
      <c r="B55" s="38" t="inlineStr">
        <is>
          <t>REC01_DK</t>
        </is>
      </c>
      <c r="C55" s="38" t="inlineStr">
        <is>
          <t>DK</t>
        </is>
      </c>
      <c r="D55" s="49" t="n">
        <v>0</v>
      </c>
      <c r="E55" s="38" t="inlineStr">
        <is>
          <t>I need to confirm this.</t>
        </is>
      </c>
      <c r="F55" s="38" t="inlineStr">
        <is>
          <t>Unverified, not an established failure</t>
        </is>
      </c>
      <c r="G55" s="38" t="inlineStr">
        <is>
          <t>Outcome REC01_DK supplies provisional risk, priority, reasons and actions. Apply contextual escalation separately.</t>
        </is>
      </c>
      <c r="H55" s="38" t="inlineStr">
        <is>
          <t>Confirmed exclusion only; DK retains the eligible denominator.</t>
        </is>
      </c>
      <c r="I55" s="38" t="inlineStr">
        <is>
          <t>Choose this rather than guessing when you cannot confirm the practice or its consistency. You can save the assessment and ask the responsible person.</t>
        </is>
      </c>
      <c r="J55" s="38" t="inlineStr">
        <is>
          <t>An agreed role brief that the advert, selection criteria and initial performance goals reflect.</t>
        </is>
      </c>
      <c r="K55" s="38" t="inlineStr">
        <is>
          <t>REC01_DK</t>
        </is>
      </c>
    </row>
    <row r="56" ht="61" customHeight="1">
      <c r="A56" s="37" t="inlineStr">
        <is>
          <t>REC02</t>
        </is>
      </c>
      <c r="B56" s="37" t="inlineStr">
        <is>
          <t>REC02_0</t>
        </is>
      </c>
      <c r="C56" s="48" t="n">
        <v>0</v>
      </c>
      <c r="D56" s="48" t="n">
        <v>0</v>
      </c>
      <c r="E56" s="37" t="inlineStr">
        <is>
          <t>Hiring decisions mainly rely on personal impressions.</t>
        </is>
      </c>
      <c r="F56" s="37" t="inlineStr">
        <is>
          <t>Practice absent or not established as described</t>
        </is>
      </c>
      <c r="G56" s="37" t="inlineStr">
        <is>
          <t>Outcome REC02_0 supplies provisional risk, priority, reasons and actions. Apply contextual escalation separately.</t>
        </is>
      </c>
      <c r="H56" s="37" t="inlineStr">
        <is>
          <t>Confirmed exclusion only; DK retains the eligible denominator.</t>
        </is>
      </c>
      <c r="I56" s="37" t="inlineStr">
        <is>
          <t>Choose this when the statement describes the current position. Reporting a gap helps prioritise support; it is not an admission that a legal breach has occurred.</t>
        </is>
      </c>
      <c r="J56" s="37" t="inlineStr">
        <is>
          <t>A completed selection record and an appropriate applicant-information handling process.</t>
        </is>
      </c>
      <c r="K56" s="37" t="inlineStr">
        <is>
          <t>REC02_0</t>
        </is>
      </c>
    </row>
    <row r="57" ht="61" customHeight="1">
      <c r="A57" s="38" t="inlineStr">
        <is>
          <t>REC02</t>
        </is>
      </c>
      <c r="B57" s="38" t="inlineStr">
        <is>
          <t>REC02_1</t>
        </is>
      </c>
      <c r="C57" s="49" t="n">
        <v>1</v>
      </c>
      <c r="D57" s="49" t="n">
        <v>1</v>
      </c>
      <c r="E57" s="38" t="inlineStr">
        <is>
          <t>We use some common questions, but do not consistently record the basis for decisions.</t>
        </is>
      </c>
      <c r="F57" s="38" t="inlineStr">
        <is>
          <t>Assumption-dependent or inconsistent practice</t>
        </is>
      </c>
      <c r="G57" s="38" t="inlineStr">
        <is>
          <t>Outcome REC02_1 supplies provisional risk, priority, reasons and actions. Apply contextual escalation separately.</t>
        </is>
      </c>
      <c r="H57" s="38" t="inlineStr">
        <is>
          <t>Confirmed exclusion only; DK retains the eligible denominator.</t>
        </is>
      </c>
      <c r="I57" s="38" t="inlineStr">
        <is>
          <t>Choose this when the process depends on assumptions, personal knowledge or ad hoc handling rather than a dependable check.</t>
        </is>
      </c>
      <c r="J57" s="38" t="inlineStr">
        <is>
          <t>A completed selection record and an appropriate applicant-information handling process.</t>
        </is>
      </c>
      <c r="K57" s="38" t="inlineStr">
        <is>
          <t>REC02_1</t>
        </is>
      </c>
    </row>
    <row r="58" ht="61" customHeight="1">
      <c r="A58" s="37" t="inlineStr">
        <is>
          <t>REC02</t>
        </is>
      </c>
      <c r="B58" s="37" t="inlineStr">
        <is>
          <t>REC02_2</t>
        </is>
      </c>
      <c r="C58" s="48" t="n">
        <v>2</v>
      </c>
      <c r="D58" s="48" t="n">
        <v>2</v>
      </c>
      <c r="E58" s="37" t="inlineStr">
        <is>
          <t>We assess role-related criteria, but scoring, adjustments or records vary between interviewers.</t>
        </is>
      </c>
      <c r="F58" s="37" t="inlineStr">
        <is>
          <t>Partly established; residual gap remains</t>
        </is>
      </c>
      <c r="G58" s="37" t="inlineStr">
        <is>
          <t>Outcome REC02_2 supplies provisional risk, priority, reasons and actions. Apply contextual escalation separately.</t>
        </is>
      </c>
      <c r="H58" s="37" t="inlineStr">
        <is>
          <t>Confirmed exclusion only; DK retains the eligible denominator.</t>
        </is>
      </c>
      <c r="I58" s="37" t="inlineStr">
        <is>
          <t>Choose this when important parts exist but at least one part of the statement remains unresolved. The report should target that gap, not require a full rebuild.</t>
        </is>
      </c>
      <c r="J58" s="37" t="inlineStr">
        <is>
          <t>A completed selection record and an appropriate applicant-information handling process.</t>
        </is>
      </c>
      <c r="K58" s="37" t="inlineStr">
        <is>
          <t>REC02_2</t>
        </is>
      </c>
    </row>
    <row r="59" ht="61" customHeight="1">
      <c r="A59" s="38" t="inlineStr">
        <is>
          <t>REC02</t>
        </is>
      </c>
      <c r="B59" s="38" t="inlineStr">
        <is>
          <t>REC02_3</t>
        </is>
      </c>
      <c r="C59" s="49" t="n">
        <v>3</v>
      </c>
      <c r="D59" s="49" t="n">
        <v>3</v>
      </c>
      <c r="E59" s="38" t="inlineStr">
        <is>
          <t>We use role-related criteria, consider appropriate adjustments and record evidence supporting the decision, while protecting applicant information.</t>
        </is>
      </c>
      <c r="F59" s="38" t="inlineStr">
        <is>
          <t>Established practice reported, not independently verified</t>
        </is>
      </c>
      <c r="G59" s="38" t="inlineStr">
        <is>
          <t>Outcome REC02_3 supplies provisional risk, priority, reasons and actions. Apply contextual escalation separately.</t>
        </is>
      </c>
      <c r="H59" s="38" t="inlineStr">
        <is>
          <t>Confirmed exclusion only; DK retains the eligible denominator.</t>
        </is>
      </c>
      <c r="I59" s="38" t="inlineStr">
        <is>
          <t>Choose this only when the whole statement describes routine practice and you can point to a recent example or a tested readiness process. One successful exception is not enough.</t>
        </is>
      </c>
      <c r="J59" s="38" t="inlineStr">
        <is>
          <t>A completed selection record and an appropriate applicant-information handling process.</t>
        </is>
      </c>
      <c r="K59" s="38" t="inlineStr">
        <is>
          <t>REC02_3</t>
        </is>
      </c>
    </row>
    <row r="60" ht="61" customHeight="1">
      <c r="A60" s="37" t="inlineStr">
        <is>
          <t>REC02</t>
        </is>
      </c>
      <c r="B60" s="37" t="inlineStr">
        <is>
          <t>REC02_DK</t>
        </is>
      </c>
      <c r="C60" s="37" t="inlineStr">
        <is>
          <t>DK</t>
        </is>
      </c>
      <c r="D60" s="48" t="n">
        <v>0</v>
      </c>
      <c r="E60" s="37" t="inlineStr">
        <is>
          <t>I need to confirm this.</t>
        </is>
      </c>
      <c r="F60" s="37" t="inlineStr">
        <is>
          <t>Unverified, not an established failure</t>
        </is>
      </c>
      <c r="G60" s="37" t="inlineStr">
        <is>
          <t>Outcome REC02_DK supplies provisional risk, priority, reasons and actions. Apply contextual escalation separately.</t>
        </is>
      </c>
      <c r="H60" s="37" t="inlineStr">
        <is>
          <t>Confirmed exclusion only; DK retains the eligible denominator.</t>
        </is>
      </c>
      <c r="I60" s="37" t="inlineStr">
        <is>
          <t>Choose this rather than guessing when you cannot confirm the practice or its consistency. You can save the assessment and ask the responsible person.</t>
        </is>
      </c>
      <c r="J60" s="37" t="inlineStr">
        <is>
          <t>A completed selection record and an appropriate applicant-information handling process.</t>
        </is>
      </c>
      <c r="K60" s="37" t="inlineStr">
        <is>
          <t>REC02_DK</t>
        </is>
      </c>
    </row>
    <row r="61" ht="61" customHeight="1">
      <c r="A61" s="38" t="inlineStr">
        <is>
          <t>REC03</t>
        </is>
      </c>
      <c r="B61" s="38" t="inlineStr">
        <is>
          <t>REC03_0</t>
        </is>
      </c>
      <c r="C61" s="49" t="n">
        <v>0</v>
      </c>
      <c r="D61" s="49" t="n">
        <v>0</v>
      </c>
      <c r="E61" s="38" t="inlineStr">
        <is>
          <t>The role or offer can differ substantially from what candidates were told.</t>
        </is>
      </c>
      <c r="F61" s="38" t="inlineStr">
        <is>
          <t>Practice absent or not established as described</t>
        </is>
      </c>
      <c r="G61" s="38" t="inlineStr">
        <is>
          <t>Outcome REC03_0 supplies provisional risk, priority, reasons and actions. Apply contextual escalation separately.</t>
        </is>
      </c>
      <c r="H61" s="38" t="inlineStr">
        <is>
          <t>Confirmed exclusion only; DK retains the eligible denominator.</t>
        </is>
      </c>
      <c r="I61" s="38" t="inlineStr">
        <is>
          <t>Choose this when the statement describes the current position. Reporting a gap helps prioritise support; it is not an admission that a legal breach has occurred.</t>
        </is>
      </c>
      <c r="J61" s="38" t="inlineStr">
        <is>
          <t>Consistent candidate information and a simple communication checklist.</t>
        </is>
      </c>
      <c r="K61" s="38" t="inlineStr">
        <is>
          <t>REC03_0</t>
        </is>
      </c>
    </row>
    <row r="62" ht="61" customHeight="1">
      <c r="A62" s="37" t="inlineStr">
        <is>
          <t>REC03</t>
        </is>
      </c>
      <c r="B62" s="37" t="inlineStr">
        <is>
          <t>REC03_1</t>
        </is>
      </c>
      <c r="C62" s="48" t="n">
        <v>1</v>
      </c>
      <c r="D62" s="48" t="n">
        <v>1</v>
      </c>
      <c r="E62" s="37" t="inlineStr">
        <is>
          <t>Communication depends on the individual manager and there is no clear follow-through.</t>
        </is>
      </c>
      <c r="F62" s="37" t="inlineStr">
        <is>
          <t>Assumption-dependent or inconsistent practice</t>
        </is>
      </c>
      <c r="G62" s="37" t="inlineStr">
        <is>
          <t>Outcome REC03_1 supplies provisional risk, priority, reasons and actions. Apply contextual escalation separately.</t>
        </is>
      </c>
      <c r="H62" s="37" t="inlineStr">
        <is>
          <t>Confirmed exclusion only; DK retains the eligible denominator.</t>
        </is>
      </c>
      <c r="I62" s="37" t="inlineStr">
        <is>
          <t>Choose this when the process depends on assumptions, personal knowledge or ad hoc handling rather than a dependable check.</t>
        </is>
      </c>
      <c r="J62" s="37" t="inlineStr">
        <is>
          <t>Consistent candidate information and a simple communication checklist.</t>
        </is>
      </c>
      <c r="K62" s="37" t="inlineStr">
        <is>
          <t>REC03_1</t>
        </is>
      </c>
    </row>
    <row r="63" ht="61" customHeight="1">
      <c r="A63" s="38" t="inlineStr">
        <is>
          <t>REC03</t>
        </is>
      </c>
      <c r="B63" s="38" t="inlineStr">
        <is>
          <t>REC03_2</t>
        </is>
      </c>
      <c r="C63" s="49" t="n">
        <v>2</v>
      </c>
      <c r="D63" s="49" t="n">
        <v>2</v>
      </c>
      <c r="E63" s="38" t="inlineStr">
        <is>
          <t>Candidates receive useful information, but some expectations or decisions are not clearly communicated.</t>
        </is>
      </c>
      <c r="F63" s="38" t="inlineStr">
        <is>
          <t>Partly established; residual gap remains</t>
        </is>
      </c>
      <c r="G63" s="38" t="inlineStr">
        <is>
          <t>Outcome REC03_2 supplies provisional risk, priority, reasons and actions. Apply contextual escalation separately.</t>
        </is>
      </c>
      <c r="H63" s="38" t="inlineStr">
        <is>
          <t>Confirmed exclusion only; DK retains the eligible denominator.</t>
        </is>
      </c>
      <c r="I63" s="38" t="inlineStr">
        <is>
          <t>Choose this when important parts exist but at least one part of the statement remains unresolved. The report should target that gap, not require a full rebuild.</t>
        </is>
      </c>
      <c r="J63" s="38" t="inlineStr">
        <is>
          <t>Consistent candidate information and a simple communication checklist.</t>
        </is>
      </c>
      <c r="K63" s="38" t="inlineStr">
        <is>
          <t>REC03_2</t>
        </is>
      </c>
    </row>
    <row r="64" ht="61" customHeight="1">
      <c r="A64" s="37" t="inlineStr">
        <is>
          <t>REC03</t>
        </is>
      </c>
      <c r="B64" s="37" t="inlineStr">
        <is>
          <t>REC03_3</t>
        </is>
      </c>
      <c r="C64" s="48" t="n">
        <v>3</v>
      </c>
      <c r="D64" s="48" t="n">
        <v>3</v>
      </c>
      <c r="E64" s="37" t="inlineStr">
        <is>
          <t>Candidates receive a realistic account of the work and terms, timely communication and an opportunity to ask informed questions.</t>
        </is>
      </c>
      <c r="F64" s="37" t="inlineStr">
        <is>
          <t>Established practice reported, not independently verified</t>
        </is>
      </c>
      <c r="G64" s="37" t="inlineStr">
        <is>
          <t>Outcome REC03_3 supplies provisional risk, priority, reasons and actions. Apply contextual escalation separately.</t>
        </is>
      </c>
      <c r="H64" s="37" t="inlineStr">
        <is>
          <t>Confirmed exclusion only; DK retains the eligible denominator.</t>
        </is>
      </c>
      <c r="I64" s="37" t="inlineStr">
        <is>
          <t>Choose this only when the whole statement describes routine practice and you can point to a recent example or a tested readiness process. One successful exception is not enough.</t>
        </is>
      </c>
      <c r="J64" s="37" t="inlineStr">
        <is>
          <t>Consistent candidate information and a simple communication checklist.</t>
        </is>
      </c>
      <c r="K64" s="37" t="inlineStr">
        <is>
          <t>REC03_3</t>
        </is>
      </c>
    </row>
    <row r="65" ht="61" customHeight="1">
      <c r="A65" s="38" t="inlineStr">
        <is>
          <t>REC03</t>
        </is>
      </c>
      <c r="B65" s="38" t="inlineStr">
        <is>
          <t>REC03_DK</t>
        </is>
      </c>
      <c r="C65" s="38" t="inlineStr">
        <is>
          <t>DK</t>
        </is>
      </c>
      <c r="D65" s="49" t="n">
        <v>0</v>
      </c>
      <c r="E65" s="38" t="inlineStr">
        <is>
          <t>I need to confirm this.</t>
        </is>
      </c>
      <c r="F65" s="38" t="inlineStr">
        <is>
          <t>Unverified, not an established failure</t>
        </is>
      </c>
      <c r="G65" s="38" t="inlineStr">
        <is>
          <t>Outcome REC03_DK supplies provisional risk, priority, reasons and actions. Apply contextual escalation separately.</t>
        </is>
      </c>
      <c r="H65" s="38" t="inlineStr">
        <is>
          <t>Confirmed exclusion only; DK retains the eligible denominator.</t>
        </is>
      </c>
      <c r="I65" s="38" t="inlineStr">
        <is>
          <t>Choose this rather than guessing when you cannot confirm the practice or its consistency. You can save the assessment and ask the responsible person.</t>
        </is>
      </c>
      <c r="J65" s="38" t="inlineStr">
        <is>
          <t>Consistent candidate information and a simple communication checklist.</t>
        </is>
      </c>
      <c r="K65" s="38" t="inlineStr">
        <is>
          <t>REC03_DK</t>
        </is>
      </c>
    </row>
    <row r="66" ht="61" customHeight="1">
      <c r="A66" s="37" t="inlineStr">
        <is>
          <t>ONB01</t>
        </is>
      </c>
      <c r="B66" s="37" t="inlineStr">
        <is>
          <t>ONB01_0</t>
        </is>
      </c>
      <c r="C66" s="48" t="n">
        <v>0</v>
      </c>
      <c r="D66" s="48" t="n">
        <v>0</v>
      </c>
      <c r="E66" s="37" t="inlineStr">
        <is>
          <t>We do not verify work rights.</t>
        </is>
      </c>
      <c r="F66" s="37" t="inlineStr">
        <is>
          <t>Practice absent or not established as described</t>
        </is>
      </c>
      <c r="G66" s="37" t="inlineStr">
        <is>
          <t>Outcome ONB01_0 supplies provisional risk, priority, reasons and actions. Apply contextual escalation separately.</t>
        </is>
      </c>
      <c r="H66" s="37" t="inlineStr">
        <is>
          <t>Confirmed exclusion only; DK retains the eligible denominator.</t>
        </is>
      </c>
      <c r="I66" s="37" t="inlineStr">
        <is>
          <t>Choose this when the statement describes the current position. Reporting a gap helps prioritise support; it is not an admission that a legal breach has occurred.</t>
        </is>
      </c>
      <c r="J66" s="37" t="inlineStr">
        <is>
          <t>A secure verification record and reminders for any restrictions or expiry dates that need action.</t>
        </is>
      </c>
      <c r="K66" s="37" t="inlineStr">
        <is>
          <t>ONB01_0</t>
        </is>
      </c>
    </row>
    <row r="67" ht="61" customHeight="1">
      <c r="A67" s="38" t="inlineStr">
        <is>
          <t>ONB01</t>
        </is>
      </c>
      <c r="B67" s="38" t="inlineStr">
        <is>
          <t>ONB01_1</t>
        </is>
      </c>
      <c r="C67" s="49" t="n">
        <v>1</v>
      </c>
      <c r="D67" s="49" t="n">
        <v>1</v>
      </c>
      <c r="E67" s="38" t="inlineStr">
        <is>
          <t>We rely on what the applicant tells us or on assumptions about citizenship.</t>
        </is>
      </c>
      <c r="F67" s="38" t="inlineStr">
        <is>
          <t>Assumption-dependent or inconsistent practice</t>
        </is>
      </c>
      <c r="G67" s="38" t="inlineStr">
        <is>
          <t>Outcome ONB01_1 supplies provisional risk, priority, reasons and actions. Apply contextual escalation separately.</t>
        </is>
      </c>
      <c r="H67" s="38" t="inlineStr">
        <is>
          <t>Confirmed exclusion only; DK retains the eligible denominator.</t>
        </is>
      </c>
      <c r="I67" s="38" t="inlineStr">
        <is>
          <t>Choose this when the process depends on assumptions, personal knowledge or ad hoc handling rather than a dependable check.</t>
        </is>
      </c>
      <c r="J67" s="38" t="inlineStr">
        <is>
          <t>A secure verification record and reminders for any restrictions or expiry dates that need action.</t>
        </is>
      </c>
      <c r="K67" s="38" t="inlineStr">
        <is>
          <t>ONB01_1</t>
        </is>
      </c>
    </row>
    <row r="68" ht="61" customHeight="1">
      <c r="A68" s="37" t="inlineStr">
        <is>
          <t>ONB01</t>
        </is>
      </c>
      <c r="B68" s="37" t="inlineStr">
        <is>
          <t>ONB01_2</t>
        </is>
      </c>
      <c r="C68" s="48" t="n">
        <v>2</v>
      </c>
      <c r="D68" s="48" t="n">
        <v>2</v>
      </c>
      <c r="E68" s="37" t="inlineStr">
        <is>
          <t>We collect evidence, but restrictions or expiry dates are not consistently tracked.</t>
        </is>
      </c>
      <c r="F68" s="37" t="inlineStr">
        <is>
          <t>Partly established; residual gap remains</t>
        </is>
      </c>
      <c r="G68" s="37" t="inlineStr">
        <is>
          <t>Outcome ONB01_2 supplies provisional risk, priority, reasons and actions. Apply contextual escalation separately.</t>
        </is>
      </c>
      <c r="H68" s="37" t="inlineStr">
        <is>
          <t>Confirmed exclusion only; DK retains the eligible denominator.</t>
        </is>
      </c>
      <c r="I68" s="37" t="inlineStr">
        <is>
          <t>Choose this when important parts exist but at least one part of the statement remains unresolved. The report should target that gap, not require a full rebuild.</t>
        </is>
      </c>
      <c r="J68" s="37" t="inlineStr">
        <is>
          <t>A secure verification record and reminders for any restrictions or expiry dates that need action.</t>
        </is>
      </c>
      <c r="K68" s="37" t="inlineStr">
        <is>
          <t>ONB01_2</t>
        </is>
      </c>
    </row>
    <row r="69" ht="61" customHeight="1">
      <c r="A69" s="38" t="inlineStr">
        <is>
          <t>ONB01</t>
        </is>
      </c>
      <c r="B69" s="38" t="inlineStr">
        <is>
          <t>ONB01_3</t>
        </is>
      </c>
      <c r="C69" s="49" t="n">
        <v>3</v>
      </c>
      <c r="D69" s="49" t="n">
        <v>3</v>
      </c>
      <c r="E69" s="38" t="inlineStr">
        <is>
          <t>We verify appropriate evidence before work starts and monitor relevant restrictions and expiry dates.</t>
        </is>
      </c>
      <c r="F69" s="38" t="inlineStr">
        <is>
          <t>Established practice reported, not independently verified</t>
        </is>
      </c>
      <c r="G69" s="38" t="inlineStr">
        <is>
          <t>Outcome ONB01_3 supplies provisional risk, priority, reasons and actions. Apply contextual escalation separately.</t>
        </is>
      </c>
      <c r="H69" s="38" t="inlineStr">
        <is>
          <t>Confirmed exclusion only; DK retains the eligible denominator.</t>
        </is>
      </c>
      <c r="I69" s="38" t="inlineStr">
        <is>
          <t>Choose this only when the whole statement describes routine practice and you can point to a recent example or a tested readiness process. One successful exception is not enough.</t>
        </is>
      </c>
      <c r="J69" s="38" t="inlineStr">
        <is>
          <t>A secure verification record and reminders for any restrictions or expiry dates that need action.</t>
        </is>
      </c>
      <c r="K69" s="38" t="inlineStr">
        <is>
          <t>ONB01_3</t>
        </is>
      </c>
    </row>
    <row r="70" ht="61" customHeight="1">
      <c r="A70" s="37" t="inlineStr">
        <is>
          <t>ONB01</t>
        </is>
      </c>
      <c r="B70" s="37" t="inlineStr">
        <is>
          <t>ONB01_DK</t>
        </is>
      </c>
      <c r="C70" s="37" t="inlineStr">
        <is>
          <t>DK</t>
        </is>
      </c>
      <c r="D70" s="48" t="n">
        <v>0</v>
      </c>
      <c r="E70" s="37" t="inlineStr">
        <is>
          <t>I need to confirm this.</t>
        </is>
      </c>
      <c r="F70" s="37" t="inlineStr">
        <is>
          <t>Unverified, not an established failure</t>
        </is>
      </c>
      <c r="G70" s="37" t="inlineStr">
        <is>
          <t>Outcome ONB01_DK supplies provisional risk, priority, reasons and actions. Apply contextual escalation separately.</t>
        </is>
      </c>
      <c r="H70" s="37" t="inlineStr">
        <is>
          <t>Confirmed exclusion only; DK retains the eligible denominator.</t>
        </is>
      </c>
      <c r="I70" s="37" t="inlineStr">
        <is>
          <t>Choose this rather than guessing when you cannot confirm the practice or its consistency. You can save the assessment and ask the responsible person.</t>
        </is>
      </c>
      <c r="J70" s="37" t="inlineStr">
        <is>
          <t>A secure verification record and reminders for any restrictions or expiry dates that need action.</t>
        </is>
      </c>
      <c r="K70" s="37" t="inlineStr">
        <is>
          <t>ONB01_DK</t>
        </is>
      </c>
    </row>
    <row r="71" ht="61" customHeight="1">
      <c r="A71" s="38" t="inlineStr">
        <is>
          <t>ONB02</t>
        </is>
      </c>
      <c r="B71" s="38" t="inlineStr">
        <is>
          <t>ONB02_0</t>
        </is>
      </c>
      <c r="C71" s="49" t="n">
        <v>0</v>
      </c>
      <c r="D71" s="49" t="n">
        <v>0</v>
      </c>
      <c r="E71" s="38" t="inlineStr">
        <is>
          <t>Statements are not provided consistently.</t>
        </is>
      </c>
      <c r="F71" s="38" t="inlineStr">
        <is>
          <t>Practice absent or not established as described</t>
        </is>
      </c>
      <c r="G71" s="38" t="inlineStr">
        <is>
          <t>Outcome ONB02_0 supplies provisional risk, priority, reasons and actions. Apply contextual escalation separately.</t>
        </is>
      </c>
      <c r="H71" s="38" t="inlineStr">
        <is>
          <t>Confirmed exclusion only; DK retains the eligible denominator.</t>
        </is>
      </c>
      <c r="I71" s="38" t="inlineStr">
        <is>
          <t>Choose this when the statement describes the current position. Reporting a gap helps prioritise support; it is not an admission that a legal breach has occurred.</t>
        </is>
      </c>
      <c r="J71" s="38" t="inlineStr">
        <is>
          <t>An onboarding delivery record, with additional reminders where the employment type requires them.</t>
        </is>
      </c>
      <c r="K71" s="38" t="inlineStr">
        <is>
          <t>ONB02_0</t>
        </is>
      </c>
    </row>
    <row r="72" ht="61" customHeight="1">
      <c r="A72" s="37" t="inlineStr">
        <is>
          <t>ONB02</t>
        </is>
      </c>
      <c r="B72" s="37" t="inlineStr">
        <is>
          <t>ONB02_1</t>
        </is>
      </c>
      <c r="C72" s="48" t="n">
        <v>1</v>
      </c>
      <c r="D72" s="48" t="n">
        <v>1</v>
      </c>
      <c r="E72" s="37" t="inlineStr">
        <is>
          <t>We assume they are included in onboarding but do not check delivery.</t>
        </is>
      </c>
      <c r="F72" s="37" t="inlineStr">
        <is>
          <t>Assumption-dependent or inconsistent practice</t>
        </is>
      </c>
      <c r="G72" s="37" t="inlineStr">
        <is>
          <t>Outcome ONB02_1 supplies provisional risk, priority, reasons and actions. Apply contextual escalation separately.</t>
        </is>
      </c>
      <c r="H72" s="37" t="inlineStr">
        <is>
          <t>Confirmed exclusion only; DK retains the eligible denominator.</t>
        </is>
      </c>
      <c r="I72" s="37" t="inlineStr">
        <is>
          <t>Choose this when the process depends on assumptions, personal knowledge or ad hoc handling rather than a dependable check.</t>
        </is>
      </c>
      <c r="J72" s="37" t="inlineStr">
        <is>
          <t>An onboarding delivery record, with additional reminders where the employment type requires them.</t>
        </is>
      </c>
      <c r="K72" s="37" t="inlineStr">
        <is>
          <t>ONB02_1</t>
        </is>
      </c>
    </row>
    <row r="73" ht="61" customHeight="1">
      <c r="A73" s="38" t="inlineStr">
        <is>
          <t>ONB02</t>
        </is>
      </c>
      <c r="B73" s="38" t="inlineStr">
        <is>
          <t>ONB02_2</t>
        </is>
      </c>
      <c r="C73" s="49" t="n">
        <v>2</v>
      </c>
      <c r="D73" s="49" t="n">
        <v>2</v>
      </c>
      <c r="E73" s="38" t="inlineStr">
        <is>
          <t>They are usually provided, but version control or delivery records are incomplete.</t>
        </is>
      </c>
      <c r="F73" s="38" t="inlineStr">
        <is>
          <t>Partly established; residual gap remains</t>
        </is>
      </c>
      <c r="G73" s="38" t="inlineStr">
        <is>
          <t>Outcome ONB02_2 supplies provisional risk, priority, reasons and actions. Apply contextual escalation separately.</t>
        </is>
      </c>
      <c r="H73" s="38" t="inlineStr">
        <is>
          <t>Confirmed exclusion only; DK retains the eligible denominator.</t>
        </is>
      </c>
      <c r="I73" s="38" t="inlineStr">
        <is>
          <t>Choose this when important parts exist but at least one part of the statement remains unresolved. The report should target that gap, not require a full rebuild.</t>
        </is>
      </c>
      <c r="J73" s="38" t="inlineStr">
        <is>
          <t>An onboarding delivery record, with additional reminders where the employment type requires them.</t>
        </is>
      </c>
      <c r="K73" s="38" t="inlineStr">
        <is>
          <t>ONB02_2</t>
        </is>
      </c>
    </row>
    <row r="74" ht="61" customHeight="1">
      <c r="A74" s="37" t="inlineStr">
        <is>
          <t>ONB02</t>
        </is>
      </c>
      <c r="B74" s="37" t="inlineStr">
        <is>
          <t>ONB02_3</t>
        </is>
      </c>
      <c r="C74" s="48" t="n">
        <v>3</v>
      </c>
      <c r="D74" s="48" t="n">
        <v>3</v>
      </c>
      <c r="E74" s="37" t="inlineStr">
        <is>
          <t>We provide the current required statements at the relevant time and retain a record of delivery.</t>
        </is>
      </c>
      <c r="F74" s="37" t="inlineStr">
        <is>
          <t>Established practice reported, not independently verified</t>
        </is>
      </c>
      <c r="G74" s="37" t="inlineStr">
        <is>
          <t>Outcome ONB02_3 supplies provisional risk, priority, reasons and actions. Apply contextual escalation separately.</t>
        </is>
      </c>
      <c r="H74" s="37" t="inlineStr">
        <is>
          <t>Confirmed exclusion only; DK retains the eligible denominator.</t>
        </is>
      </c>
      <c r="I74" s="37" t="inlineStr">
        <is>
          <t>Choose this only when the whole statement describes routine practice and you can point to a recent example or a tested readiness process. One successful exception is not enough.</t>
        </is>
      </c>
      <c r="J74" s="37" t="inlineStr">
        <is>
          <t>An onboarding delivery record, with additional reminders where the employment type requires them.</t>
        </is>
      </c>
      <c r="K74" s="37" t="inlineStr">
        <is>
          <t>ONB02_3</t>
        </is>
      </c>
    </row>
    <row r="75" ht="61" customHeight="1">
      <c r="A75" s="38" t="inlineStr">
        <is>
          <t>ONB02</t>
        </is>
      </c>
      <c r="B75" s="38" t="inlineStr">
        <is>
          <t>ONB02_DK</t>
        </is>
      </c>
      <c r="C75" s="38" t="inlineStr">
        <is>
          <t>DK</t>
        </is>
      </c>
      <c r="D75" s="49" t="n">
        <v>0</v>
      </c>
      <c r="E75" s="38" t="inlineStr">
        <is>
          <t>I need to confirm this.</t>
        </is>
      </c>
      <c r="F75" s="38" t="inlineStr">
        <is>
          <t>Unverified, not an established failure</t>
        </is>
      </c>
      <c r="G75" s="38" t="inlineStr">
        <is>
          <t>Outcome ONB02_DK supplies provisional risk, priority, reasons and actions. Apply contextual escalation separately.</t>
        </is>
      </c>
      <c r="H75" s="38" t="inlineStr">
        <is>
          <t>Confirmed exclusion only; DK retains the eligible denominator.</t>
        </is>
      </c>
      <c r="I75" s="38" t="inlineStr">
        <is>
          <t>Choose this rather than guessing when you cannot confirm the practice or its consistency. You can save the assessment and ask the responsible person.</t>
        </is>
      </c>
      <c r="J75" s="38" t="inlineStr">
        <is>
          <t>An onboarding delivery record, with additional reminders where the employment type requires them.</t>
        </is>
      </c>
      <c r="K75" s="38" t="inlineStr">
        <is>
          <t>ONB02_DK</t>
        </is>
      </c>
    </row>
    <row r="76" ht="61" customHeight="1">
      <c r="A76" s="37" t="inlineStr">
        <is>
          <t>ONB03</t>
        </is>
      </c>
      <c r="B76" s="37" t="inlineStr">
        <is>
          <t>ONB03_0</t>
        </is>
      </c>
      <c r="C76" s="48" t="n">
        <v>0</v>
      </c>
      <c r="D76" s="48" t="n">
        <v>0</v>
      </c>
      <c r="E76" s="37" t="inlineStr">
        <is>
          <t>New starters are largely expected to work things out themselves.</t>
        </is>
      </c>
      <c r="F76" s="37" t="inlineStr">
        <is>
          <t>Practice absent or not established as described</t>
        </is>
      </c>
      <c r="G76" s="37" t="inlineStr">
        <is>
          <t>Outcome ONB03_0 supplies provisional risk, priority, reasons and actions. Apply contextual escalation separately.</t>
        </is>
      </c>
      <c r="H76" s="37" t="inlineStr">
        <is>
          <t>Confirmed exclusion only; DK retains the eligible denominator.</t>
        </is>
      </c>
      <c r="I76" s="37" t="inlineStr">
        <is>
          <t>Choose this when the statement describes the current position. Reporting a gap helps prioritise support; it is not an admission that a legal breach has occurred.</t>
        </is>
      </c>
      <c r="J76" s="37" t="inlineStr">
        <is>
          <t>The new starter has completed the role-relevant induction, demonstrated the required understanding or capability and received follow-up support. Unresolved safety or capability restrictions remain active until addressed.</t>
        </is>
      </c>
      <c r="K76" s="37" t="inlineStr">
        <is>
          <t>ONB03_0</t>
        </is>
      </c>
    </row>
    <row r="77" ht="61" customHeight="1">
      <c r="A77" s="38" t="inlineStr">
        <is>
          <t>ONB03</t>
        </is>
      </c>
      <c r="B77" s="38" t="inlineStr">
        <is>
          <t>ONB03_1</t>
        </is>
      </c>
      <c r="C77" s="49" t="n">
        <v>1</v>
      </c>
      <c r="D77" s="49" t="n">
        <v>1</v>
      </c>
      <c r="E77" s="38" t="inlineStr">
        <is>
          <t>We cover practical basics, but training and follow-up depend on who is available.</t>
        </is>
      </c>
      <c r="F77" s="38" t="inlineStr">
        <is>
          <t>Assumption-dependent or inconsistent practice</t>
        </is>
      </c>
      <c r="G77" s="38" t="inlineStr">
        <is>
          <t>Outcome ONB03_1 supplies provisional risk, priority, reasons and actions. Apply contextual escalation separately.</t>
        </is>
      </c>
      <c r="H77" s="38" t="inlineStr">
        <is>
          <t>Confirmed exclusion only; DK retains the eligible denominator.</t>
        </is>
      </c>
      <c r="I77" s="38" t="inlineStr">
        <is>
          <t>Choose this when the process depends on assumptions, personal knowledge or ad hoc handling rather than a dependable check.</t>
        </is>
      </c>
      <c r="J77" s="38" t="inlineStr">
        <is>
          <t>The new starter has completed the role-relevant induction, demonstrated the required understanding or capability and received follow-up support. Unresolved safety or capability restrictions remain active until addressed.</t>
        </is>
      </c>
      <c r="K77" s="38" t="inlineStr">
        <is>
          <t>ONB03_1</t>
        </is>
      </c>
    </row>
    <row r="78" ht="61" customHeight="1">
      <c r="A78" s="37" t="inlineStr">
        <is>
          <t>ONB03</t>
        </is>
      </c>
      <c r="B78" s="37" t="inlineStr">
        <is>
          <t>ONB03_2</t>
        </is>
      </c>
      <c r="C78" s="48" t="n">
        <v>2</v>
      </c>
      <c r="D78" s="48" t="n">
        <v>2</v>
      </c>
      <c r="E78" s="37" t="inlineStr">
        <is>
          <t>We use an induction plan, but understanding or follow-up is not consistently checked.</t>
        </is>
      </c>
      <c r="F78" s="37" t="inlineStr">
        <is>
          <t>Partly established; residual gap remains</t>
        </is>
      </c>
      <c r="G78" s="37" t="inlineStr">
        <is>
          <t>Outcome ONB03_2 supplies provisional risk, priority, reasons and actions. Apply contextual escalation separately.</t>
        </is>
      </c>
      <c r="H78" s="37" t="inlineStr">
        <is>
          <t>Confirmed exclusion only; DK retains the eligible denominator.</t>
        </is>
      </c>
      <c r="I78" s="37" t="inlineStr">
        <is>
          <t>Choose this when important parts exist but at least one part of the statement remains unresolved. The report should target that gap, not require a full rebuild.</t>
        </is>
      </c>
      <c r="J78" s="37" t="inlineStr">
        <is>
          <t>The new starter has completed the role-relevant induction, demonstrated the required understanding or capability and received follow-up support. Unresolved safety or capability restrictions remain active until addressed.</t>
        </is>
      </c>
      <c r="K78" s="37" t="inlineStr">
        <is>
          <t>ONB03_2</t>
        </is>
      </c>
    </row>
    <row r="79" ht="61" customHeight="1">
      <c r="A79" s="38" t="inlineStr">
        <is>
          <t>ONB03</t>
        </is>
      </c>
      <c r="B79" s="38" t="inlineStr">
        <is>
          <t>ONB03_3</t>
        </is>
      </c>
      <c r="C79" s="49" t="n">
        <v>3</v>
      </c>
      <c r="D79" s="49" t="n">
        <v>3</v>
      </c>
      <c r="E79" s="38" t="inlineStr">
        <is>
          <t>We provide a role-appropriate induction, check understanding and schedule early follow-up on capability and support.</t>
        </is>
      </c>
      <c r="F79" s="38" t="inlineStr">
        <is>
          <t>Established practice reported, not independently verified</t>
        </is>
      </c>
      <c r="G79" s="38" t="inlineStr">
        <is>
          <t>Outcome ONB03_3 supplies provisional risk, priority, reasons and actions. Apply contextual escalation separately.</t>
        </is>
      </c>
      <c r="H79" s="38" t="inlineStr">
        <is>
          <t>Confirmed exclusion only; DK retains the eligible denominator.</t>
        </is>
      </c>
      <c r="I79" s="38" t="inlineStr">
        <is>
          <t>Choose this only when the whole statement describes routine practice and you can point to a recent example or a tested readiness process. One successful exception is not enough.</t>
        </is>
      </c>
      <c r="J79" s="38" t="inlineStr">
        <is>
          <t>The new starter has completed the role-relevant induction, demonstrated the required understanding or capability and received follow-up support. Unresolved safety or capability restrictions remain active until addressed.</t>
        </is>
      </c>
      <c r="K79" s="38" t="inlineStr">
        <is>
          <t>ONB03_3</t>
        </is>
      </c>
    </row>
    <row r="80" ht="61" customHeight="1">
      <c r="A80" s="37" t="inlineStr">
        <is>
          <t>ONB03</t>
        </is>
      </c>
      <c r="B80" s="37" t="inlineStr">
        <is>
          <t>ONB03_DK</t>
        </is>
      </c>
      <c r="C80" s="37" t="inlineStr">
        <is>
          <t>DK</t>
        </is>
      </c>
      <c r="D80" s="48" t="n">
        <v>0</v>
      </c>
      <c r="E80" s="37" t="inlineStr">
        <is>
          <t>I need to confirm this.</t>
        </is>
      </c>
      <c r="F80" s="37" t="inlineStr">
        <is>
          <t>Unverified, not an established failure</t>
        </is>
      </c>
      <c r="G80" s="37" t="inlineStr">
        <is>
          <t>Outcome ONB03_DK supplies provisional risk, priority, reasons and actions. Apply contextual escalation separately.</t>
        </is>
      </c>
      <c r="H80" s="37" t="inlineStr">
        <is>
          <t>Confirmed exclusion only; DK retains the eligible denominator.</t>
        </is>
      </c>
      <c r="I80" s="37" t="inlineStr">
        <is>
          <t>Choose this rather than guessing when you cannot confirm the practice or its consistency. You can save the assessment and ask the responsible person.</t>
        </is>
      </c>
      <c r="J80" s="37" t="inlineStr">
        <is>
          <t>The new starter has completed the role-relevant induction, demonstrated the required understanding or capability and received follow-up support. Unresolved safety or capability restrictions remain active until addressed.</t>
        </is>
      </c>
      <c r="K80" s="37" t="inlineStr">
        <is>
          <t>ONB03_DK</t>
        </is>
      </c>
    </row>
    <row r="81" ht="61" customHeight="1">
      <c r="A81" s="38" t="inlineStr">
        <is>
          <t>POL01</t>
        </is>
      </c>
      <c r="B81" s="38" t="inlineStr">
        <is>
          <t>POL01_0</t>
        </is>
      </c>
      <c r="C81" s="49" t="n">
        <v>0</v>
      </c>
      <c r="D81" s="49" t="n">
        <v>0</v>
      </c>
      <c r="E81" s="38" t="inlineStr">
        <is>
          <t>Key workplace expectations and processes are not clearly documented.</t>
        </is>
      </c>
      <c r="F81" s="38" t="inlineStr">
        <is>
          <t>Practice absent or not established as described</t>
        </is>
      </c>
      <c r="G81" s="38" t="inlineStr">
        <is>
          <t>Outcome POL01_0 supplies provisional risk, priority, reasons and actions. Apply contextual escalation separately.</t>
        </is>
      </c>
      <c r="H81" s="38" t="inlineStr">
        <is>
          <t>Confirmed exclusion only; DK retains the eligible denominator.</t>
        </is>
      </c>
      <c r="I81" s="38" t="inlineStr">
        <is>
          <t>Choose this when the statement describes the current position. Reporting a gap helps prioritise support; it is not an admission that a legal breach has occurred.</t>
        </is>
      </c>
      <c r="J81" s="38" t="inlineStr">
        <is>
          <t>A proportionate policy register with owners, current versions and accessible locations.</t>
        </is>
      </c>
      <c r="K81" s="38" t="inlineStr">
        <is>
          <t>POL01_0</t>
        </is>
      </c>
    </row>
    <row r="82" ht="61" customHeight="1">
      <c r="A82" s="37" t="inlineStr">
        <is>
          <t>POL01</t>
        </is>
      </c>
      <c r="B82" s="37" t="inlineStr">
        <is>
          <t>POL01_1</t>
        </is>
      </c>
      <c r="C82" s="48" t="n">
        <v>1</v>
      </c>
      <c r="D82" s="48" t="n">
        <v>1</v>
      </c>
      <c r="E82" s="37" t="inlineStr">
        <is>
          <t>We use generic documents that have not been checked against our work.</t>
        </is>
      </c>
      <c r="F82" s="37" t="inlineStr">
        <is>
          <t>Assumption-dependent or inconsistent practice</t>
        </is>
      </c>
      <c r="G82" s="37" t="inlineStr">
        <is>
          <t>Outcome POL01_1 supplies provisional risk, priority, reasons and actions. Apply contextual escalation separately.</t>
        </is>
      </c>
      <c r="H82" s="37" t="inlineStr">
        <is>
          <t>Confirmed exclusion only; DK retains the eligible denominator.</t>
        </is>
      </c>
      <c r="I82" s="37" t="inlineStr">
        <is>
          <t>Choose this when the process depends on assumptions, personal knowledge or ad hoc handling rather than a dependable check.</t>
        </is>
      </c>
      <c r="J82" s="37" t="inlineStr">
        <is>
          <t>A proportionate policy register with owners, current versions and accessible locations.</t>
        </is>
      </c>
      <c r="K82" s="37" t="inlineStr">
        <is>
          <t>POL01_1</t>
        </is>
      </c>
    </row>
    <row r="83" ht="61" customHeight="1">
      <c r="A83" s="38" t="inlineStr">
        <is>
          <t>POL01</t>
        </is>
      </c>
      <c r="B83" s="38" t="inlineStr">
        <is>
          <t>POL01_2</t>
        </is>
      </c>
      <c r="C83" s="49" t="n">
        <v>2</v>
      </c>
      <c r="D83" s="49" t="n">
        <v>2</v>
      </c>
      <c r="E83" s="38" t="inlineStr">
        <is>
          <t>We have relevant policies, but ownership, updates or accessibility are inconsistent.</t>
        </is>
      </c>
      <c r="F83" s="38" t="inlineStr">
        <is>
          <t>Partly established; residual gap remains</t>
        </is>
      </c>
      <c r="G83" s="38" t="inlineStr">
        <is>
          <t>Outcome POL01_2 supplies provisional risk, priority, reasons and actions. Apply contextual escalation separately.</t>
        </is>
      </c>
      <c r="H83" s="38" t="inlineStr">
        <is>
          <t>Confirmed exclusion only; DK retains the eligible denominator.</t>
        </is>
      </c>
      <c r="I83" s="38" t="inlineStr">
        <is>
          <t>Choose this when important parts exist but at least one part of the statement remains unresolved. The report should target that gap, not require a full rebuild.</t>
        </is>
      </c>
      <c r="J83" s="38" t="inlineStr">
        <is>
          <t>A proportionate policy register with owners, current versions and accessible locations.</t>
        </is>
      </c>
      <c r="K83" s="38" t="inlineStr">
        <is>
          <t>POL01_2</t>
        </is>
      </c>
    </row>
    <row r="84" ht="61" customHeight="1">
      <c r="A84" s="37" t="inlineStr">
        <is>
          <t>POL01</t>
        </is>
      </c>
      <c r="B84" s="37" t="inlineStr">
        <is>
          <t>POL01_3</t>
        </is>
      </c>
      <c r="C84" s="48" t="n">
        <v>3</v>
      </c>
      <c r="D84" s="48" t="n">
        <v>3</v>
      </c>
      <c r="E84" s="37" t="inlineStr">
        <is>
          <t>Our policies address the business's actual requirements, are accessible and have a named owner and review process.</t>
        </is>
      </c>
      <c r="F84" s="37" t="inlineStr">
        <is>
          <t>Established practice reported, not independently verified</t>
        </is>
      </c>
      <c r="G84" s="37" t="inlineStr">
        <is>
          <t>Outcome POL01_3 supplies provisional risk, priority, reasons and actions. Apply contextual escalation separately.</t>
        </is>
      </c>
      <c r="H84" s="37" t="inlineStr">
        <is>
          <t>Confirmed exclusion only; DK retains the eligible denominator.</t>
        </is>
      </c>
      <c r="I84" s="37" t="inlineStr">
        <is>
          <t>Choose this only when the whole statement describes routine practice and you can point to a recent example or a tested readiness process. One successful exception is not enough.</t>
        </is>
      </c>
      <c r="J84" s="37" t="inlineStr">
        <is>
          <t>A proportionate policy register with owners, current versions and accessible locations.</t>
        </is>
      </c>
      <c r="K84" s="37" t="inlineStr">
        <is>
          <t>POL01_3</t>
        </is>
      </c>
    </row>
    <row r="85" ht="61" customHeight="1">
      <c r="A85" s="38" t="inlineStr">
        <is>
          <t>POL01</t>
        </is>
      </c>
      <c r="B85" s="38" t="inlineStr">
        <is>
          <t>POL01_DK</t>
        </is>
      </c>
      <c r="C85" s="38" t="inlineStr">
        <is>
          <t>DK</t>
        </is>
      </c>
      <c r="D85" s="49" t="n">
        <v>0</v>
      </c>
      <c r="E85" s="38" t="inlineStr">
        <is>
          <t>I need to confirm this.</t>
        </is>
      </c>
      <c r="F85" s="38" t="inlineStr">
        <is>
          <t>Unverified, not an established failure</t>
        </is>
      </c>
      <c r="G85" s="38" t="inlineStr">
        <is>
          <t>Outcome POL01_DK supplies provisional risk, priority, reasons and actions. Apply contextual escalation separately.</t>
        </is>
      </c>
      <c r="H85" s="38" t="inlineStr">
        <is>
          <t>Confirmed exclusion only; DK retains the eligible denominator.</t>
        </is>
      </c>
      <c r="I85" s="38" t="inlineStr">
        <is>
          <t>Choose this rather than guessing when you cannot confirm the practice or its consistency. You can save the assessment and ask the responsible person.</t>
        </is>
      </c>
      <c r="J85" s="38" t="inlineStr">
        <is>
          <t>A proportionate policy register with owners, current versions and accessible locations.</t>
        </is>
      </c>
      <c r="K85" s="38" t="inlineStr">
        <is>
          <t>POL01_DK</t>
        </is>
      </c>
    </row>
    <row r="86" ht="61" customHeight="1">
      <c r="A86" s="37" t="inlineStr">
        <is>
          <t>POL02</t>
        </is>
      </c>
      <c r="B86" s="37" t="inlineStr">
        <is>
          <t>POL02_0</t>
        </is>
      </c>
      <c r="C86" s="48" t="n">
        <v>0</v>
      </c>
      <c r="D86" s="48" t="n">
        <v>0</v>
      </c>
      <c r="E86" s="37" t="inlineStr">
        <is>
          <t>Policies are rarely explained or consistently followed.</t>
        </is>
      </c>
      <c r="F86" s="37" t="inlineStr">
        <is>
          <t>Practice absent or not established as described</t>
        </is>
      </c>
      <c r="G86" s="37" t="inlineStr">
        <is>
          <t>Outcome POL02_0 supplies provisional risk, priority, reasons and actions. Apply contextual escalation separately.</t>
        </is>
      </c>
      <c r="H86" s="37" t="inlineStr">
        <is>
          <t>Confirmed exclusion only; DK retains the eligible denominator.</t>
        </is>
      </c>
      <c r="I86" s="37" t="inlineStr">
        <is>
          <t>Choose this when the statement describes the current position. Reporting a gap helps prioritise support; it is not an admission that a legal breach has occurred.</t>
        </is>
      </c>
      <c r="J86" s="37" t="inlineStr">
        <is>
          <t>A practical implementation check shows that staff and managers understand the relevant expectations, use the process and handle exceptions consistently. Required guidance or process changes have been implemented and checked.</t>
        </is>
      </c>
      <c r="K86" s="37" t="inlineStr">
        <is>
          <t>POL02_0</t>
        </is>
      </c>
    </row>
    <row r="87" ht="61" customHeight="1">
      <c r="A87" s="38" t="inlineStr">
        <is>
          <t>POL02</t>
        </is>
      </c>
      <c r="B87" s="38" t="inlineStr">
        <is>
          <t>POL02_1</t>
        </is>
      </c>
      <c r="C87" s="49" t="n">
        <v>1</v>
      </c>
      <c r="D87" s="49" t="n">
        <v>1</v>
      </c>
      <c r="E87" s="38" t="inlineStr">
        <is>
          <t>We collect acknowledgements, but do not check understanding or application.</t>
        </is>
      </c>
      <c r="F87" s="38" t="inlineStr">
        <is>
          <t>Assumption-dependent or inconsistent practice</t>
        </is>
      </c>
      <c r="G87" s="38" t="inlineStr">
        <is>
          <t>Outcome POL02_1 supplies provisional risk, priority, reasons and actions. Apply contextual escalation separately.</t>
        </is>
      </c>
      <c r="H87" s="38" t="inlineStr">
        <is>
          <t>Confirmed exclusion only; DK retains the eligible denominator.</t>
        </is>
      </c>
      <c r="I87" s="38" t="inlineStr">
        <is>
          <t>Choose this when the process depends on assumptions, personal knowledge or ad hoc handling rather than a dependable check.</t>
        </is>
      </c>
      <c r="J87" s="38" t="inlineStr">
        <is>
          <t>A practical implementation check shows that staff and managers understand the relevant expectations, use the process and handle exceptions consistently. Required guidance or process changes have been implemented and checked.</t>
        </is>
      </c>
      <c r="K87" s="38" t="inlineStr">
        <is>
          <t>POL02_1</t>
        </is>
      </c>
    </row>
    <row r="88" ht="61" customHeight="1">
      <c r="A88" s="37" t="inlineStr">
        <is>
          <t>POL02</t>
        </is>
      </c>
      <c r="B88" s="37" t="inlineStr">
        <is>
          <t>POL02_2</t>
        </is>
      </c>
      <c r="C88" s="48" t="n">
        <v>2</v>
      </c>
      <c r="D88" s="48" t="n">
        <v>2</v>
      </c>
      <c r="E88" s="37" t="inlineStr">
        <is>
          <t>Managers usually follow the policies, but exceptions or gaps are not consistently addressed.</t>
        </is>
      </c>
      <c r="F88" s="37" t="inlineStr">
        <is>
          <t>Partly established; residual gap remains</t>
        </is>
      </c>
      <c r="G88" s="37" t="inlineStr">
        <is>
          <t>Outcome POL02_2 supplies provisional risk, priority, reasons and actions. Apply contextual escalation separately.</t>
        </is>
      </c>
      <c r="H88" s="37" t="inlineStr">
        <is>
          <t>Confirmed exclusion only; DK retains the eligible denominator.</t>
        </is>
      </c>
      <c r="I88" s="37" t="inlineStr">
        <is>
          <t>Choose this when important parts exist but at least one part of the statement remains unresolved. The report should target that gap, not require a full rebuild.</t>
        </is>
      </c>
      <c r="J88" s="37" t="inlineStr">
        <is>
          <t>A practical implementation check shows that staff and managers understand the relevant expectations, use the process and handle exceptions consistently. Required guidance or process changes have been implemented and checked.</t>
        </is>
      </c>
      <c r="K88" s="37" t="inlineStr">
        <is>
          <t>POL02_2</t>
        </is>
      </c>
    </row>
    <row r="89" ht="61" customHeight="1">
      <c r="A89" s="38" t="inlineStr">
        <is>
          <t>POL02</t>
        </is>
      </c>
      <c r="B89" s="38" t="inlineStr">
        <is>
          <t>POL02_3</t>
        </is>
      </c>
      <c r="C89" s="49" t="n">
        <v>3</v>
      </c>
      <c r="D89" s="49" t="n">
        <v>3</v>
      </c>
      <c r="E89" s="38" t="inlineStr">
        <is>
          <t>We explain the relevant expectations, check understanding and review how policies are applied across the business.</t>
        </is>
      </c>
      <c r="F89" s="38" t="inlineStr">
        <is>
          <t>Established practice reported, not independently verified</t>
        </is>
      </c>
      <c r="G89" s="38" t="inlineStr">
        <is>
          <t>Outcome POL02_3 supplies provisional risk, priority, reasons and actions. Apply contextual escalation separately.</t>
        </is>
      </c>
      <c r="H89" s="38" t="inlineStr">
        <is>
          <t>Confirmed exclusion only; DK retains the eligible denominator.</t>
        </is>
      </c>
      <c r="I89" s="38" t="inlineStr">
        <is>
          <t>Choose this only when the whole statement describes routine practice and you can point to a recent example or a tested readiness process. One successful exception is not enough.</t>
        </is>
      </c>
      <c r="J89" s="38" t="inlineStr">
        <is>
          <t>A practical implementation check shows that staff and managers understand the relevant expectations, use the process and handle exceptions consistently. Required guidance or process changes have been implemented and checked.</t>
        </is>
      </c>
      <c r="K89" s="38" t="inlineStr">
        <is>
          <t>POL02_3</t>
        </is>
      </c>
    </row>
    <row r="90" ht="61" customHeight="1">
      <c r="A90" s="37" t="inlineStr">
        <is>
          <t>POL02</t>
        </is>
      </c>
      <c r="B90" s="37" t="inlineStr">
        <is>
          <t>POL02_DK</t>
        </is>
      </c>
      <c r="C90" s="37" t="inlineStr">
        <is>
          <t>DK</t>
        </is>
      </c>
      <c r="D90" s="48" t="n">
        <v>0</v>
      </c>
      <c r="E90" s="37" t="inlineStr">
        <is>
          <t>I need to confirm this.</t>
        </is>
      </c>
      <c r="F90" s="37" t="inlineStr">
        <is>
          <t>Unverified, not an established failure</t>
        </is>
      </c>
      <c r="G90" s="37" t="inlineStr">
        <is>
          <t>Outcome POL02_DK supplies provisional risk, priority, reasons and actions. Apply contextual escalation separately.</t>
        </is>
      </c>
      <c r="H90" s="37" t="inlineStr">
        <is>
          <t>Confirmed exclusion only; DK retains the eligible denominator.</t>
        </is>
      </c>
      <c r="I90" s="37" t="inlineStr">
        <is>
          <t>Choose this rather than guessing when you cannot confirm the practice or its consistency. You can save the assessment and ask the responsible person.</t>
        </is>
      </c>
      <c r="J90" s="37" t="inlineStr">
        <is>
          <t>A practical implementation check shows that staff and managers understand the relevant expectations, use the process and handle exceptions consistently. Required guidance or process changes have been implemented and checked.</t>
        </is>
      </c>
      <c r="K90" s="37" t="inlineStr">
        <is>
          <t>POL02_DK</t>
        </is>
      </c>
    </row>
    <row r="91" ht="61" customHeight="1">
      <c r="A91" s="38" t="inlineStr">
        <is>
          <t>POL03</t>
        </is>
      </c>
      <c r="B91" s="38" t="inlineStr">
        <is>
          <t>POL03_0</t>
        </is>
      </c>
      <c r="C91" s="49" t="n">
        <v>0</v>
      </c>
      <c r="D91" s="49" t="n">
        <v>0</v>
      </c>
      <c r="E91" s="38" t="inlineStr">
        <is>
          <t>We do not have a process for considering these requests.</t>
        </is>
      </c>
      <c r="F91" s="38" t="inlineStr">
        <is>
          <t>Practice absent or not established as described</t>
        </is>
      </c>
      <c r="G91" s="38" t="inlineStr">
        <is>
          <t>Outcome POL03_0 supplies provisional risk, priority, reasons and actions. Apply contextual escalation separately.</t>
        </is>
      </c>
      <c r="H91" s="38" t="inlineStr">
        <is>
          <t>Confirmed exclusion only; DK retains the eligible denominator.</t>
        </is>
      </c>
      <c r="I91" s="38" t="inlineStr">
        <is>
          <t>Choose this when the statement describes the current position. Reporting a gap helps prioritise support; it is not an admission that a legal breach has occurred.</t>
        </is>
      </c>
      <c r="J91" s="38" t="inlineStr">
        <is>
          <t>A tested request-handling process and, where a request exists, a documented decision and response meeting the applicable requirements. Agreed arrangements are implemented and reviewed; an unanswered request remains open.</t>
        </is>
      </c>
      <c r="K91" s="38" t="inlineStr">
        <is>
          <t>POL03_0</t>
        </is>
      </c>
    </row>
    <row r="92" ht="61" customHeight="1">
      <c r="A92" s="37" t="inlineStr">
        <is>
          <t>POL03</t>
        </is>
      </c>
      <c r="B92" s="37" t="inlineStr">
        <is>
          <t>POL03_1</t>
        </is>
      </c>
      <c r="C92" s="48" t="n">
        <v>1</v>
      </c>
      <c r="D92" s="48" t="n">
        <v>1</v>
      </c>
      <c r="E92" s="37" t="inlineStr">
        <is>
          <t>We would apply a general policy or manager preference without considering the individual request.</t>
        </is>
      </c>
      <c r="F92" s="37" t="inlineStr">
        <is>
          <t>Assumption-dependent or inconsistent practice</t>
        </is>
      </c>
      <c r="G92" s="37" t="inlineStr">
        <is>
          <t>Outcome POL03_1 supplies provisional risk, priority, reasons and actions. Apply contextual escalation separately.</t>
        </is>
      </c>
      <c r="H92" s="37" t="inlineStr">
        <is>
          <t>Confirmed exclusion only; DK retains the eligible denominator.</t>
        </is>
      </c>
      <c r="I92" s="37" t="inlineStr">
        <is>
          <t>Choose this when the process depends on assumptions, personal knowledge or ad hoc handling rather than a dependable check.</t>
        </is>
      </c>
      <c r="J92" s="37" t="inlineStr">
        <is>
          <t>A tested request-handling process and, where a request exists, a documented decision and response meeting the applicable requirements. Agreed arrangements are implemented and reviewed; an unanswered request remains open.</t>
        </is>
      </c>
      <c r="K92" s="37" t="inlineStr">
        <is>
          <t>POL03_1</t>
        </is>
      </c>
    </row>
    <row r="93" ht="61" customHeight="1">
      <c r="A93" s="38" t="inlineStr">
        <is>
          <t>POL03</t>
        </is>
      </c>
      <c r="B93" s="38" t="inlineStr">
        <is>
          <t>POL03_2</t>
        </is>
      </c>
      <c r="C93" s="49" t="n">
        <v>2</v>
      </c>
      <c r="D93" s="49" t="n">
        <v>2</v>
      </c>
      <c r="E93" s="38" t="inlineStr">
        <is>
          <t>We consider individual circumstances, but timing, discussion or written reasons are inconsistent.</t>
        </is>
      </c>
      <c r="F93" s="38" t="inlineStr">
        <is>
          <t>Partly established; residual gap remains</t>
        </is>
      </c>
      <c r="G93" s="38" t="inlineStr">
        <is>
          <t>Outcome POL03_2 supplies provisional risk, priority, reasons and actions. Apply contextual escalation separately.</t>
        </is>
      </c>
      <c r="H93" s="38" t="inlineStr">
        <is>
          <t>Confirmed exclusion only; DK retains the eligible denominator.</t>
        </is>
      </c>
      <c r="I93" s="38" t="inlineStr">
        <is>
          <t>Choose this when important parts exist but at least one part of the statement remains unresolved. The report should target that gap, not require a full rebuild.</t>
        </is>
      </c>
      <c r="J93" s="38" t="inlineStr">
        <is>
          <t>A tested request-handling process and, where a request exists, a documented decision and response meeting the applicable requirements. Agreed arrangements are implemented and reviewed; an unanswered request remains open.</t>
        </is>
      </c>
      <c r="K93" s="38" t="inlineStr">
        <is>
          <t>POL03_2</t>
        </is>
      </c>
    </row>
    <row r="94" ht="61" customHeight="1">
      <c r="A94" s="37" t="inlineStr">
        <is>
          <t>POL03</t>
        </is>
      </c>
      <c r="B94" s="37" t="inlineStr">
        <is>
          <t>POL03_3</t>
        </is>
      </c>
      <c r="C94" s="48" t="n">
        <v>3</v>
      </c>
      <c r="D94" s="48" t="n">
        <v>3</v>
      </c>
      <c r="E94" s="37" t="inlineStr">
        <is>
          <t>We assess eligibility, discuss the request and alternatives, and provide a reasoned written response within the applicable timeframe.</t>
        </is>
      </c>
      <c r="F94" s="37" t="inlineStr">
        <is>
          <t>Established practice reported, not independently verified</t>
        </is>
      </c>
      <c r="G94" s="37" t="inlineStr">
        <is>
          <t>Outcome POL03_3 supplies provisional risk, priority, reasons and actions. Apply contextual escalation separately.</t>
        </is>
      </c>
      <c r="H94" s="37" t="inlineStr">
        <is>
          <t>Confirmed exclusion only; DK retains the eligible denominator.</t>
        </is>
      </c>
      <c r="I94" s="37" t="inlineStr">
        <is>
          <t>Choose this only when the whole statement describes routine practice and you can point to a recent example or a tested readiness process. One successful exception is not enough.</t>
        </is>
      </c>
      <c r="J94" s="37" t="inlineStr">
        <is>
          <t>A tested request-handling process and, where a request exists, a documented decision and response meeting the applicable requirements. Agreed arrangements are implemented and reviewed; an unanswered request remains open.</t>
        </is>
      </c>
      <c r="K94" s="37" t="inlineStr">
        <is>
          <t>POL03_3</t>
        </is>
      </c>
    </row>
    <row r="95" ht="61" customHeight="1">
      <c r="A95" s="38" t="inlineStr">
        <is>
          <t>POL03</t>
        </is>
      </c>
      <c r="B95" s="38" t="inlineStr">
        <is>
          <t>POL03_DK</t>
        </is>
      </c>
      <c r="C95" s="38" t="inlineStr">
        <is>
          <t>DK</t>
        </is>
      </c>
      <c r="D95" s="49" t="n">
        <v>0</v>
      </c>
      <c r="E95" s="38" t="inlineStr">
        <is>
          <t>I need to confirm this.</t>
        </is>
      </c>
      <c r="F95" s="38" t="inlineStr">
        <is>
          <t>Unverified, not an established failure</t>
        </is>
      </c>
      <c r="G95" s="38" t="inlineStr">
        <is>
          <t>Outcome POL03_DK supplies provisional risk, priority, reasons and actions. Apply contextual escalation separately.</t>
        </is>
      </c>
      <c r="H95" s="38" t="inlineStr">
        <is>
          <t>Confirmed exclusion only; DK retains the eligible denominator.</t>
        </is>
      </c>
      <c r="I95" s="38" t="inlineStr">
        <is>
          <t>Choose this rather than guessing when you cannot confirm the practice or its consistency. You can save the assessment and ask the responsible person.</t>
        </is>
      </c>
      <c r="J95" s="38" t="inlineStr">
        <is>
          <t>A tested request-handling process and, where a request exists, a documented decision and response meeting the applicable requirements. Agreed arrangements are implemented and reviewed; an unanswered request remains open.</t>
        </is>
      </c>
      <c r="K95" s="38" t="inlineStr">
        <is>
          <t>POL03_DK</t>
        </is>
      </c>
    </row>
    <row r="96" ht="61" customHeight="1">
      <c r="A96" s="37" t="inlineStr">
        <is>
          <t>WHS01</t>
        </is>
      </c>
      <c r="B96" s="37" t="inlineStr">
        <is>
          <t>WHS01_0</t>
        </is>
      </c>
      <c r="C96" s="48" t="n">
        <v>0</v>
      </c>
      <c r="D96" s="48" t="n">
        <v>0</v>
      </c>
      <c r="E96" s="37" t="inlineStr">
        <is>
          <t>We have not systematically identified the hazards.</t>
        </is>
      </c>
      <c r="F96" s="37" t="inlineStr">
        <is>
          <t>Practice absent or not established as described</t>
        </is>
      </c>
      <c r="G96" s="37" t="inlineStr">
        <is>
          <t>Outcome WHS01_0 supplies provisional risk, priority, reasons and actions. Apply contextual escalation separately.</t>
        </is>
      </c>
      <c r="H96" s="37" t="inlineStr">
        <is>
          <t>Confirmed exclusion only; DK retains the eligible denominator.</t>
        </is>
      </c>
      <c r="I96" s="37" t="inlineStr">
        <is>
          <t>Choose this when the statement describes the current position. Reporting a gap helps prioritise support; it is not an admission that a legal breach has occurred.</t>
        </is>
      </c>
      <c r="J96" s="37" t="inlineStr">
        <is>
          <t>A task-relevant risk and control record with workers' input and completed follow-up.</t>
        </is>
      </c>
      <c r="K96" s="37" t="inlineStr">
        <is>
          <t>WHS01_0</t>
        </is>
      </c>
    </row>
    <row r="97" ht="61" customHeight="1">
      <c r="A97" s="38" t="inlineStr">
        <is>
          <t>WHS01</t>
        </is>
      </c>
      <c r="B97" s="38" t="inlineStr">
        <is>
          <t>WHS01_1</t>
        </is>
      </c>
      <c r="C97" s="49" t="n">
        <v>1</v>
      </c>
      <c r="D97" s="49" t="n">
        <v>1</v>
      </c>
      <c r="E97" s="38" t="inlineStr">
        <is>
          <t>We mainly respond after an incident or rely on general safety reminders.</t>
        </is>
      </c>
      <c r="F97" s="38" t="inlineStr">
        <is>
          <t>Assumption-dependent or inconsistent practice</t>
        </is>
      </c>
      <c r="G97" s="38" t="inlineStr">
        <is>
          <t>Outcome WHS01_1 supplies provisional risk, priority, reasons and actions. Apply contextual escalation separately.</t>
        </is>
      </c>
      <c r="H97" s="38" t="inlineStr">
        <is>
          <t>Confirmed exclusion only; DK retains the eligible denominator.</t>
        </is>
      </c>
      <c r="I97" s="38" t="inlineStr">
        <is>
          <t>Choose this when the process depends on assumptions, personal knowledge or ad hoc handling rather than a dependable check.</t>
        </is>
      </c>
      <c r="J97" s="38" t="inlineStr">
        <is>
          <t>A task-relevant risk and control record with workers' input and completed follow-up.</t>
        </is>
      </c>
      <c r="K97" s="38" t="inlineStr">
        <is>
          <t>WHS01_1</t>
        </is>
      </c>
    </row>
    <row r="98" ht="61" customHeight="1">
      <c r="A98" s="37" t="inlineStr">
        <is>
          <t>WHS01</t>
        </is>
      </c>
      <c r="B98" s="37" t="inlineStr">
        <is>
          <t>WHS01_2</t>
        </is>
      </c>
      <c r="C98" s="48" t="n">
        <v>2</v>
      </c>
      <c r="D98" s="48" t="n">
        <v>2</v>
      </c>
      <c r="E98" s="37" t="inlineStr">
        <is>
          <t>We have identified hazards and controls, but some tasks, workers or reviews are missing.</t>
        </is>
      </c>
      <c r="F98" s="37" t="inlineStr">
        <is>
          <t>Partly established; residual gap remains</t>
        </is>
      </c>
      <c r="G98" s="37" t="inlineStr">
        <is>
          <t>Outcome WHS01_2 supplies provisional risk, priority, reasons and actions. Apply contextual escalation separately.</t>
        </is>
      </c>
      <c r="H98" s="37" t="inlineStr">
        <is>
          <t>Confirmed exclusion only; DK retains the eligible denominator.</t>
        </is>
      </c>
      <c r="I98" s="37" t="inlineStr">
        <is>
          <t>Choose this when important parts exist but at least one part of the statement remains unresolved. The report should target that gap, not require a full rebuild.</t>
        </is>
      </c>
      <c r="J98" s="37" t="inlineStr">
        <is>
          <t>A task-relevant risk and control record with workers' input and completed follow-up.</t>
        </is>
      </c>
      <c r="K98" s="37" t="inlineStr">
        <is>
          <t>WHS01_2</t>
        </is>
      </c>
    </row>
    <row r="99" ht="61" customHeight="1">
      <c r="A99" s="38" t="inlineStr">
        <is>
          <t>WHS01</t>
        </is>
      </c>
      <c r="B99" s="38" t="inlineStr">
        <is>
          <t>WHS01_3</t>
        </is>
      </c>
      <c r="C99" s="49" t="n">
        <v>3</v>
      </c>
      <c r="D99" s="49" t="n">
        <v>3</v>
      </c>
      <c r="E99" s="38" t="inlineStr">
        <is>
          <t>We consult workers, identify relevant hazards, implement suitable controls and check that they work.</t>
        </is>
      </c>
      <c r="F99" s="38" t="inlineStr">
        <is>
          <t>Established practice reported, not independently verified</t>
        </is>
      </c>
      <c r="G99" s="38" t="inlineStr">
        <is>
          <t>Outcome WHS01_3 supplies provisional risk, priority, reasons and actions. Apply contextual escalation separately.</t>
        </is>
      </c>
      <c r="H99" s="38" t="inlineStr">
        <is>
          <t>Confirmed exclusion only; DK retains the eligible denominator.</t>
        </is>
      </c>
      <c r="I99" s="38" t="inlineStr">
        <is>
          <t>Choose this only when the whole statement describes routine practice and you can point to a recent example or a tested readiness process. One successful exception is not enough.</t>
        </is>
      </c>
      <c r="J99" s="38" t="inlineStr">
        <is>
          <t>A task-relevant risk and control record with workers' input and completed follow-up.</t>
        </is>
      </c>
      <c r="K99" s="38" t="inlineStr">
        <is>
          <t>WHS01_3</t>
        </is>
      </c>
    </row>
    <row r="100" ht="61" customHeight="1">
      <c r="A100" s="37" t="inlineStr">
        <is>
          <t>WHS01</t>
        </is>
      </c>
      <c r="B100" s="37" t="inlineStr">
        <is>
          <t>WHS01_DK</t>
        </is>
      </c>
      <c r="C100" s="37" t="inlineStr">
        <is>
          <t>DK</t>
        </is>
      </c>
      <c r="D100" s="48" t="n">
        <v>0</v>
      </c>
      <c r="E100" s="37" t="inlineStr">
        <is>
          <t>I need to confirm this.</t>
        </is>
      </c>
      <c r="F100" s="37" t="inlineStr">
        <is>
          <t>Unverified, not an established failure</t>
        </is>
      </c>
      <c r="G100" s="37" t="inlineStr">
        <is>
          <t>Outcome WHS01_DK supplies provisional risk, priority, reasons and actions. Apply contextual escalation separately.</t>
        </is>
      </c>
      <c r="H100" s="37" t="inlineStr">
        <is>
          <t>Confirmed exclusion only; DK retains the eligible denominator.</t>
        </is>
      </c>
      <c r="I100" s="37" t="inlineStr">
        <is>
          <t>Choose this rather than guessing when you cannot confirm the practice or its consistency. You can save the assessment and ask the responsible person.</t>
        </is>
      </c>
      <c r="J100" s="37" t="inlineStr">
        <is>
          <t>A task-relevant risk and control record with workers' input and completed follow-up.</t>
        </is>
      </c>
      <c r="K100" s="37" t="inlineStr">
        <is>
          <t>WHS01_DK</t>
        </is>
      </c>
    </row>
    <row r="101" ht="61" customHeight="1">
      <c r="A101" s="38" t="inlineStr">
        <is>
          <t>WHS02</t>
        </is>
      </c>
      <c r="B101" s="38" t="inlineStr">
        <is>
          <t>WHS02_0</t>
        </is>
      </c>
      <c r="C101" s="49" t="n">
        <v>0</v>
      </c>
      <c r="D101" s="49" t="n">
        <v>0</v>
      </c>
      <c r="E101" s="38" t="inlineStr">
        <is>
          <t>We do not have workable emergency arrangements.</t>
        </is>
      </c>
      <c r="F101" s="38" t="inlineStr">
        <is>
          <t>Practice absent or not established as described</t>
        </is>
      </c>
      <c r="G101" s="38" t="inlineStr">
        <is>
          <t>Outcome WHS02_0 supplies provisional risk, priority, reasons and actions. Apply contextual escalation separately.</t>
        </is>
      </c>
      <c r="H101" s="38" t="inlineStr">
        <is>
          <t>Confirmed exclusion only; DK retains the eligible denominator.</t>
        </is>
      </c>
      <c r="I101" s="38" t="inlineStr">
        <is>
          <t>Choose this when the statement describes the current position. Reporting a gap helps prioritise support; it is not an admission that a legal breach has occurred.</t>
        </is>
      </c>
      <c r="J101" s="38" t="inlineStr">
        <is>
          <t>A reviewed emergency plan and readiness check covering relevant people, shifts and locations.</t>
        </is>
      </c>
      <c r="K101" s="38" t="inlineStr">
        <is>
          <t>WHS02_0</t>
        </is>
      </c>
    </row>
    <row r="102" ht="61" customHeight="1">
      <c r="A102" s="37" t="inlineStr">
        <is>
          <t>WHS02</t>
        </is>
      </c>
      <c r="B102" s="37" t="inlineStr">
        <is>
          <t>WHS02_1</t>
        </is>
      </c>
      <c r="C102" s="48" t="n">
        <v>1</v>
      </c>
      <c r="D102" s="48" t="n">
        <v>1</v>
      </c>
      <c r="E102" s="37" t="inlineStr">
        <is>
          <t>We have instructions or equipment, but staff roles and response have not been tested.</t>
        </is>
      </c>
      <c r="F102" s="37" t="inlineStr">
        <is>
          <t>Assumption-dependent or inconsistent practice</t>
        </is>
      </c>
      <c r="G102" s="37" t="inlineStr">
        <is>
          <t>Outcome WHS02_1 supplies provisional risk, priority, reasons and actions. Apply contextual escalation separately.</t>
        </is>
      </c>
      <c r="H102" s="37" t="inlineStr">
        <is>
          <t>Confirmed exclusion only; DK retains the eligible denominator.</t>
        </is>
      </c>
      <c r="I102" s="37" t="inlineStr">
        <is>
          <t>Choose this when the process depends on assumptions, personal knowledge or ad hoc handling rather than a dependable check.</t>
        </is>
      </c>
      <c r="J102" s="37" t="inlineStr">
        <is>
          <t>A reviewed emergency plan and readiness check covering relevant people, shifts and locations.</t>
        </is>
      </c>
      <c r="K102" s="37" t="inlineStr">
        <is>
          <t>WHS02_1</t>
        </is>
      </c>
    </row>
    <row r="103" ht="61" customHeight="1">
      <c r="A103" s="38" t="inlineStr">
        <is>
          <t>WHS02</t>
        </is>
      </c>
      <c r="B103" s="38" t="inlineStr">
        <is>
          <t>WHS02_2</t>
        </is>
      </c>
      <c r="C103" s="49" t="n">
        <v>2</v>
      </c>
      <c r="D103" s="49" t="n">
        <v>2</v>
      </c>
      <c r="E103" s="38" t="inlineStr">
        <is>
          <t>We have arrangements and trained people, but some locations, shifts or tests are missing.</t>
        </is>
      </c>
      <c r="F103" s="38" t="inlineStr">
        <is>
          <t>Partly established; residual gap remains</t>
        </is>
      </c>
      <c r="G103" s="38" t="inlineStr">
        <is>
          <t>Outcome WHS02_2 supplies provisional risk, priority, reasons and actions. Apply contextual escalation separately.</t>
        </is>
      </c>
      <c r="H103" s="38" t="inlineStr">
        <is>
          <t>Confirmed exclusion only; DK retains the eligible denominator.</t>
        </is>
      </c>
      <c r="I103" s="38" t="inlineStr">
        <is>
          <t>Choose this when important parts exist but at least one part of the statement remains unresolved. The report should target that gap, not require a full rebuild.</t>
        </is>
      </c>
      <c r="J103" s="38" t="inlineStr">
        <is>
          <t>A reviewed emergency plan and readiness check covering relevant people, shifts and locations.</t>
        </is>
      </c>
      <c r="K103" s="38" t="inlineStr">
        <is>
          <t>WHS02_2</t>
        </is>
      </c>
    </row>
    <row r="104" ht="61" customHeight="1">
      <c r="A104" s="37" t="inlineStr">
        <is>
          <t>WHS02</t>
        </is>
      </c>
      <c r="B104" s="37" t="inlineStr">
        <is>
          <t>WHS02_3</t>
        </is>
      </c>
      <c r="C104" s="48" t="n">
        <v>3</v>
      </c>
      <c r="D104" s="48" t="n">
        <v>3</v>
      </c>
      <c r="E104" s="37" t="inlineStr">
        <is>
          <t>We have task- and location-appropriate arrangements, capable responders and a recent test or review of readiness.</t>
        </is>
      </c>
      <c r="F104" s="37" t="inlineStr">
        <is>
          <t>Established practice reported, not independently verified</t>
        </is>
      </c>
      <c r="G104" s="37" t="inlineStr">
        <is>
          <t>Outcome WHS02_3 supplies provisional risk, priority, reasons and actions. Apply contextual escalation separately.</t>
        </is>
      </c>
      <c r="H104" s="37" t="inlineStr">
        <is>
          <t>Confirmed exclusion only; DK retains the eligible denominator.</t>
        </is>
      </c>
      <c r="I104" s="37" t="inlineStr">
        <is>
          <t>Choose this only when the whole statement describes routine practice and you can point to a recent example or a tested readiness process. One successful exception is not enough.</t>
        </is>
      </c>
      <c r="J104" s="37" t="inlineStr">
        <is>
          <t>A reviewed emergency plan and readiness check covering relevant people, shifts and locations.</t>
        </is>
      </c>
      <c r="K104" s="37" t="inlineStr">
        <is>
          <t>WHS02_3</t>
        </is>
      </c>
    </row>
    <row r="105" ht="61" customHeight="1">
      <c r="A105" s="38" t="inlineStr">
        <is>
          <t>WHS02</t>
        </is>
      </c>
      <c r="B105" s="38" t="inlineStr">
        <is>
          <t>WHS02_DK</t>
        </is>
      </c>
      <c r="C105" s="38" t="inlineStr">
        <is>
          <t>DK</t>
        </is>
      </c>
      <c r="D105" s="49" t="n">
        <v>0</v>
      </c>
      <c r="E105" s="38" t="inlineStr">
        <is>
          <t>I need to confirm this.</t>
        </is>
      </c>
      <c r="F105" s="38" t="inlineStr">
        <is>
          <t>Unverified, not an established failure</t>
        </is>
      </c>
      <c r="G105" s="38" t="inlineStr">
        <is>
          <t>Outcome WHS02_DK supplies provisional risk, priority, reasons and actions. Apply contextual escalation separately.</t>
        </is>
      </c>
      <c r="H105" s="38" t="inlineStr">
        <is>
          <t>Confirmed exclusion only; DK retains the eligible denominator.</t>
        </is>
      </c>
      <c r="I105" s="38" t="inlineStr">
        <is>
          <t>Choose this rather than guessing when you cannot confirm the practice or its consistency. You can save the assessment and ask the responsible person.</t>
        </is>
      </c>
      <c r="J105" s="38" t="inlineStr">
        <is>
          <t>A reviewed emergency plan and readiness check covering relevant people, shifts and locations.</t>
        </is>
      </c>
      <c r="K105" s="38" t="inlineStr">
        <is>
          <t>WHS02_DK</t>
        </is>
      </c>
    </row>
    <row r="106" ht="61" customHeight="1">
      <c r="A106" s="37" t="inlineStr">
        <is>
          <t>WHS03</t>
        </is>
      </c>
      <c r="B106" s="37" t="inlineStr">
        <is>
          <t>WHS03_0</t>
        </is>
      </c>
      <c r="C106" s="48" t="n">
        <v>0</v>
      </c>
      <c r="D106" s="48" t="n">
        <v>0</v>
      </c>
      <c r="E106" s="37" t="inlineStr">
        <is>
          <t>Required coverage has not been arranged or checked.</t>
        </is>
      </c>
      <c r="F106" s="37" t="inlineStr">
        <is>
          <t>Practice absent or not established as described</t>
        </is>
      </c>
      <c r="G106" s="37" t="inlineStr">
        <is>
          <t>Outcome WHS03_0 supplies provisional risk, priority, reasons and actions. Apply contextual escalation separately.</t>
        </is>
      </c>
      <c r="H106" s="37" t="inlineStr">
        <is>
          <t>Confirmed exclusion only; DK retains the eligible denominator.</t>
        </is>
      </c>
      <c r="I106" s="37" t="inlineStr">
        <is>
          <t>Choose this when the statement describes the current position. Reporting a gap helps prioritise support; it is not an admission that a legal breach has occurred.</t>
        </is>
      </c>
      <c r="J106" s="37" t="inlineStr">
        <is>
          <t>Current cover or a supported exemption assessment, with accurate declarations and a review owner.</t>
        </is>
      </c>
      <c r="K106" s="37" t="inlineStr">
        <is>
          <t>WHS03_0</t>
        </is>
      </c>
    </row>
    <row r="107" ht="61" customHeight="1">
      <c r="A107" s="38" t="inlineStr">
        <is>
          <t>WHS03</t>
        </is>
      </c>
      <c r="B107" s="38" t="inlineStr">
        <is>
          <t>WHS03_1</t>
        </is>
      </c>
      <c r="C107" s="49" t="n">
        <v>1</v>
      </c>
      <c r="D107" s="49" t="n">
        <v>1</v>
      </c>
      <c r="E107" s="38" t="inlineStr">
        <is>
          <t>We have a policy or assume an exemption, but have not checked its scope.</t>
        </is>
      </c>
      <c r="F107" s="38" t="inlineStr">
        <is>
          <t>Assumption-dependent or inconsistent practice</t>
        </is>
      </c>
      <c r="G107" s="38" t="inlineStr">
        <is>
          <t>Outcome WHS03_1 supplies provisional risk, priority, reasons and actions. Apply contextual escalation separately.</t>
        </is>
      </c>
      <c r="H107" s="38" t="inlineStr">
        <is>
          <t>Confirmed exclusion only; DK retains the eligible denominator.</t>
        </is>
      </c>
      <c r="I107" s="38" t="inlineStr">
        <is>
          <t>Choose this when the process depends on assumptions, personal knowledge or ad hoc handling rather than a dependable check.</t>
        </is>
      </c>
      <c r="J107" s="38" t="inlineStr">
        <is>
          <t>Current cover or a supported exemption assessment, with accurate declarations and a review owner.</t>
        </is>
      </c>
      <c r="K107" s="38" t="inlineStr">
        <is>
          <t>WHS03_1</t>
        </is>
      </c>
    </row>
    <row r="108" ht="61" customHeight="1">
      <c r="A108" s="37" t="inlineStr">
        <is>
          <t>WHS03</t>
        </is>
      </c>
      <c r="B108" s="37" t="inlineStr">
        <is>
          <t>WHS03_2</t>
        </is>
      </c>
      <c r="C108" s="48" t="n">
        <v>2</v>
      </c>
      <c r="D108" s="48" t="n">
        <v>2</v>
      </c>
      <c r="E108" s="37" t="inlineStr">
        <is>
          <t>We review renewals, but some workers, activities or declarations may be missing.</t>
        </is>
      </c>
      <c r="F108" s="37" t="inlineStr">
        <is>
          <t>Partly established; residual gap remains</t>
        </is>
      </c>
      <c r="G108" s="37" t="inlineStr">
        <is>
          <t>Outcome WHS03_2 supplies provisional risk, priority, reasons and actions. Apply contextual escalation separately.</t>
        </is>
      </c>
      <c r="H108" s="37" t="inlineStr">
        <is>
          <t>Confirmed exclusion only; DK retains the eligible denominator.</t>
        </is>
      </c>
      <c r="I108" s="37" t="inlineStr">
        <is>
          <t>Choose this when important parts exist but at least one part of the statement remains unresolved. The report should target that gap, not require a full rebuild.</t>
        </is>
      </c>
      <c r="J108" s="37" t="inlineStr">
        <is>
          <t>Current cover or a supported exemption assessment, with accurate declarations and a review owner.</t>
        </is>
      </c>
      <c r="K108" s="37" t="inlineStr">
        <is>
          <t>WHS03_2</t>
        </is>
      </c>
    </row>
    <row r="109" ht="61" customHeight="1">
      <c r="A109" s="38" t="inlineStr">
        <is>
          <t>WHS03</t>
        </is>
      </c>
      <c r="B109" s="38" t="inlineStr">
        <is>
          <t>WHS03_3</t>
        </is>
      </c>
      <c r="C109" s="49" t="n">
        <v>3</v>
      </c>
      <c r="D109" s="49" t="n">
        <v>3</v>
      </c>
      <c r="E109" s="38" t="inlineStr">
        <is>
          <t>We have checked the applicable coverage and declarations, and review them when the workforce or work changes.</t>
        </is>
      </c>
      <c r="F109" s="38" t="inlineStr">
        <is>
          <t>Established practice reported, not independently verified</t>
        </is>
      </c>
      <c r="G109" s="38" t="inlineStr">
        <is>
          <t>Outcome WHS03_3 supplies provisional risk, priority, reasons and actions. Apply contextual escalation separately.</t>
        </is>
      </c>
      <c r="H109" s="38" t="inlineStr">
        <is>
          <t>Confirmed exclusion only; DK retains the eligible denominator.</t>
        </is>
      </c>
      <c r="I109" s="38" t="inlineStr">
        <is>
          <t>Choose this only when the whole statement describes routine practice and you can point to a recent example or a tested readiness process. One successful exception is not enough.</t>
        </is>
      </c>
      <c r="J109" s="38" t="inlineStr">
        <is>
          <t>Current cover or a supported exemption assessment, with accurate declarations and a review owner.</t>
        </is>
      </c>
      <c r="K109" s="38" t="inlineStr">
        <is>
          <t>WHS03_3</t>
        </is>
      </c>
    </row>
    <row r="110" ht="61" customHeight="1">
      <c r="A110" s="37" t="inlineStr">
        <is>
          <t>WHS03</t>
        </is>
      </c>
      <c r="B110" s="37" t="inlineStr">
        <is>
          <t>WHS03_DK</t>
        </is>
      </c>
      <c r="C110" s="37" t="inlineStr">
        <is>
          <t>DK</t>
        </is>
      </c>
      <c r="D110" s="48" t="n">
        <v>0</v>
      </c>
      <c r="E110" s="37" t="inlineStr">
        <is>
          <t>I need to confirm this.</t>
        </is>
      </c>
      <c r="F110" s="37" t="inlineStr">
        <is>
          <t>Unverified, not an established failure</t>
        </is>
      </c>
      <c r="G110" s="37" t="inlineStr">
        <is>
          <t>Outcome WHS03_DK supplies provisional risk, priority, reasons and actions. Apply contextual escalation separately.</t>
        </is>
      </c>
      <c r="H110" s="37" t="inlineStr">
        <is>
          <t>Confirmed exclusion only; DK retains the eligible denominator.</t>
        </is>
      </c>
      <c r="I110" s="37" t="inlineStr">
        <is>
          <t>Choose this rather than guessing when you cannot confirm the practice or its consistency. You can save the assessment and ask the responsible person.</t>
        </is>
      </c>
      <c r="J110" s="37" t="inlineStr">
        <is>
          <t>Current cover or a supported exemption assessment, with accurate declarations and a review owner.</t>
        </is>
      </c>
      <c r="K110" s="37" t="inlineStr">
        <is>
          <t>WHS03_DK</t>
        </is>
      </c>
    </row>
    <row r="111" ht="61" customHeight="1">
      <c r="A111" s="38" t="inlineStr">
        <is>
          <t>WHS04</t>
        </is>
      </c>
      <c r="B111" s="38" t="inlineStr">
        <is>
          <t>WHS04_0</t>
        </is>
      </c>
      <c r="C111" s="49" t="n">
        <v>0</v>
      </c>
      <c r="D111" s="49" t="n">
        <v>0</v>
      </c>
      <c r="E111" s="38" t="inlineStr">
        <is>
          <t>Staff and managers do not know the response process.</t>
        </is>
      </c>
      <c r="F111" s="38" t="inlineStr">
        <is>
          <t>Practice absent or not established as described</t>
        </is>
      </c>
      <c r="G111" s="38" t="inlineStr">
        <is>
          <t>Outcome WHS04_0 supplies provisional risk, priority, reasons and actions. Apply contextual escalation separately.</t>
        </is>
      </c>
      <c r="H111" s="38" t="inlineStr">
        <is>
          <t>Confirmed exclusion only; DK retains the eligible denominator.</t>
        </is>
      </c>
      <c r="I111" s="38" t="inlineStr">
        <is>
          <t>Choose this when the statement describes the current position. Reporting a gap helps prioritise support; it is not an admission that a legal breach has occurred.</t>
        </is>
      </c>
      <c r="J111" s="38" t="inlineStr">
        <is>
          <t>A tested response checklist with named responsibilities and current insurer/regulator contacts.</t>
        </is>
      </c>
      <c r="K111" s="38" t="inlineStr">
        <is>
          <t>WHS04_0</t>
        </is>
      </c>
    </row>
    <row r="112" ht="61" customHeight="1">
      <c r="A112" s="37" t="inlineStr">
        <is>
          <t>WHS04</t>
        </is>
      </c>
      <c r="B112" s="37" t="inlineStr">
        <is>
          <t>WHS04_1</t>
        </is>
      </c>
      <c r="C112" s="48" t="n">
        <v>1</v>
      </c>
      <c r="D112" s="48" t="n">
        <v>1</v>
      </c>
      <c r="E112" s="37" t="inlineStr">
        <is>
          <t>We would find guidance after an incident, with no clear owner.</t>
        </is>
      </c>
      <c r="F112" s="37" t="inlineStr">
        <is>
          <t>Assumption-dependent or inconsistent practice</t>
        </is>
      </c>
      <c r="G112" s="37" t="inlineStr">
        <is>
          <t>Outcome WHS04_1 supplies provisional risk, priority, reasons and actions. Apply contextual escalation separately.</t>
        </is>
      </c>
      <c r="H112" s="37" t="inlineStr">
        <is>
          <t>Confirmed exclusion only; DK retains the eligible denominator.</t>
        </is>
      </c>
      <c r="I112" s="37" t="inlineStr">
        <is>
          <t>Choose this when the process depends on assumptions, personal knowledge or ad hoc handling rather than a dependable check.</t>
        </is>
      </c>
      <c r="J112" s="37" t="inlineStr">
        <is>
          <t>A tested response checklist with named responsibilities and current insurer/regulator contacts.</t>
        </is>
      </c>
      <c r="K112" s="37" t="inlineStr">
        <is>
          <t>WHS04_1</t>
        </is>
      </c>
    </row>
    <row r="113" ht="61" customHeight="1">
      <c r="A113" s="38" t="inlineStr">
        <is>
          <t>WHS04</t>
        </is>
      </c>
      <c r="B113" s="38" t="inlineStr">
        <is>
          <t>WHS04_2</t>
        </is>
      </c>
      <c r="C113" s="49" t="n">
        <v>2</v>
      </c>
      <c r="D113" s="49" t="n">
        <v>2</v>
      </c>
      <c r="E113" s="38" t="inlineStr">
        <is>
          <t>We have a response process, but notification, follow-up or return-to-work responsibilities need testing.</t>
        </is>
      </c>
      <c r="F113" s="38" t="inlineStr">
        <is>
          <t>Partly established; residual gap remains</t>
        </is>
      </c>
      <c r="G113" s="38" t="inlineStr">
        <is>
          <t>Outcome WHS04_2 supplies provisional risk, priority, reasons and actions. Apply contextual escalation separately.</t>
        </is>
      </c>
      <c r="H113" s="38" t="inlineStr">
        <is>
          <t>Confirmed exclusion only; DK retains the eligible denominator.</t>
        </is>
      </c>
      <c r="I113" s="38" t="inlineStr">
        <is>
          <t>Choose this when important parts exist but at least one part of the statement remains unresolved. The report should target that gap, not require a full rebuild.</t>
        </is>
      </c>
      <c r="J113" s="38" t="inlineStr">
        <is>
          <t>A tested response checklist with named responsibilities and current insurer/regulator contacts.</t>
        </is>
      </c>
      <c r="K113" s="38" t="inlineStr">
        <is>
          <t>WHS04_2</t>
        </is>
      </c>
    </row>
    <row r="114" ht="61" customHeight="1">
      <c r="A114" s="37" t="inlineStr">
        <is>
          <t>WHS04</t>
        </is>
      </c>
      <c r="B114" s="37" t="inlineStr">
        <is>
          <t>WHS04_3</t>
        </is>
      </c>
      <c r="C114" s="48" t="n">
        <v>3</v>
      </c>
      <c r="D114" s="48" t="n">
        <v>3</v>
      </c>
      <c r="E114" s="37" t="inlineStr">
        <is>
          <t>People know how to report an incident and who will manage immediate response, required notifications and recovery support.</t>
        </is>
      </c>
      <c r="F114" s="37" t="inlineStr">
        <is>
          <t>Established practice reported, not independently verified</t>
        </is>
      </c>
      <c r="G114" s="37" t="inlineStr">
        <is>
          <t>Outcome WHS04_3 supplies provisional risk, priority, reasons and actions. Apply contextual escalation separately.</t>
        </is>
      </c>
      <c r="H114" s="37" t="inlineStr">
        <is>
          <t>Confirmed exclusion only; DK retains the eligible denominator.</t>
        </is>
      </c>
      <c r="I114" s="37" t="inlineStr">
        <is>
          <t>Choose this only when the whole statement describes routine practice and you can point to a recent example or a tested readiness process. One successful exception is not enough.</t>
        </is>
      </c>
      <c r="J114" s="37" t="inlineStr">
        <is>
          <t>A tested response checklist with named responsibilities and current insurer/regulator contacts.</t>
        </is>
      </c>
      <c r="K114" s="37" t="inlineStr">
        <is>
          <t>WHS04_3</t>
        </is>
      </c>
    </row>
    <row r="115" ht="61" customHeight="1">
      <c r="A115" s="38" t="inlineStr">
        <is>
          <t>WHS04</t>
        </is>
      </c>
      <c r="B115" s="38" t="inlineStr">
        <is>
          <t>WHS04_DK</t>
        </is>
      </c>
      <c r="C115" s="38" t="inlineStr">
        <is>
          <t>DK</t>
        </is>
      </c>
      <c r="D115" s="49" t="n">
        <v>0</v>
      </c>
      <c r="E115" s="38" t="inlineStr">
        <is>
          <t>I need to confirm this.</t>
        </is>
      </c>
      <c r="F115" s="38" t="inlineStr">
        <is>
          <t>Unverified, not an established failure</t>
        </is>
      </c>
      <c r="G115" s="38" t="inlineStr">
        <is>
          <t>Outcome WHS04_DK supplies provisional risk, priority, reasons and actions. Apply contextual escalation separately.</t>
        </is>
      </c>
      <c r="H115" s="38" t="inlineStr">
        <is>
          <t>Confirmed exclusion only; DK retains the eligible denominator.</t>
        </is>
      </c>
      <c r="I115" s="38" t="inlineStr">
        <is>
          <t>Choose this rather than guessing when you cannot confirm the practice or its consistency. You can save the assessment and ask the responsible person.</t>
        </is>
      </c>
      <c r="J115" s="38" t="inlineStr">
        <is>
          <t>A tested response checklist with named responsibilities and current insurer/regulator contacts.</t>
        </is>
      </c>
      <c r="K115" s="38" t="inlineStr">
        <is>
          <t>WHS04_DK</t>
        </is>
      </c>
    </row>
    <row r="116" ht="61" customHeight="1">
      <c r="A116" s="37" t="inlineStr">
        <is>
          <t>PER01</t>
        </is>
      </c>
      <c r="B116" s="37" t="inlineStr">
        <is>
          <t>PER01_0</t>
        </is>
      </c>
      <c r="C116" s="48" t="n">
        <v>0</v>
      </c>
      <c r="D116" s="48" t="n">
        <v>0</v>
      </c>
      <c r="E116" s="37" t="inlineStr">
        <is>
          <t>Employees rarely receive clear expectations or useful feedback.</t>
        </is>
      </c>
      <c r="F116" s="37" t="inlineStr">
        <is>
          <t>Practice absent or not established as described</t>
        </is>
      </c>
      <c r="G116" s="37" t="inlineStr">
        <is>
          <t>Outcome PER01_0 supplies provisional risk, priority, reasons and actions. Apply contextual escalation separately.</t>
        </is>
      </c>
      <c r="H116" s="37" t="inlineStr">
        <is>
          <t>Confirmed exclusion only; DK retains the eligible denominator.</t>
        </is>
      </c>
      <c r="I116" s="37" t="inlineStr">
        <is>
          <t>Choose this when the statement describes the current position. Reporting a gap helps prioritise support; it is not an admission that a legal breach has occurred.</t>
        </is>
      </c>
      <c r="J116" s="37" t="inlineStr">
        <is>
          <t>Current role goals and recent check-in notes showing feedback, support and follow-up.</t>
        </is>
      </c>
      <c r="K116" s="37" t="inlineStr">
        <is>
          <t>PER01_0</t>
        </is>
      </c>
    </row>
    <row r="117" ht="61" customHeight="1">
      <c r="A117" s="38" t="inlineStr">
        <is>
          <t>PER01</t>
        </is>
      </c>
      <c r="B117" s="38" t="inlineStr">
        <is>
          <t>PER01_1</t>
        </is>
      </c>
      <c r="C117" s="49" t="n">
        <v>1</v>
      </c>
      <c r="D117" s="49" t="n">
        <v>1</v>
      </c>
      <c r="E117" s="38" t="inlineStr">
        <is>
          <t>Feedback usually happens only when a problem arises.</t>
        </is>
      </c>
      <c r="F117" s="38" t="inlineStr">
        <is>
          <t>Assumption-dependent or inconsistent practice</t>
        </is>
      </c>
      <c r="G117" s="38" t="inlineStr">
        <is>
          <t>Outcome PER01_1 supplies provisional risk, priority, reasons and actions. Apply contextual escalation separately.</t>
        </is>
      </c>
      <c r="H117" s="38" t="inlineStr">
        <is>
          <t>Confirmed exclusion only; DK retains the eligible denominator.</t>
        </is>
      </c>
      <c r="I117" s="38" t="inlineStr">
        <is>
          <t>Choose this when the process depends on assumptions, personal knowledge or ad hoc handling rather than a dependable check.</t>
        </is>
      </c>
      <c r="J117" s="38" t="inlineStr">
        <is>
          <t>Current role goals and recent check-in notes showing feedback, support and follow-up.</t>
        </is>
      </c>
      <c r="K117" s="38" t="inlineStr">
        <is>
          <t>PER01_1</t>
        </is>
      </c>
    </row>
    <row r="118" ht="61" customHeight="1">
      <c r="A118" s="37" t="inlineStr">
        <is>
          <t>PER01</t>
        </is>
      </c>
      <c r="B118" s="37" t="inlineStr">
        <is>
          <t>PER01_2</t>
        </is>
      </c>
      <c r="C118" s="48" t="n">
        <v>2</v>
      </c>
      <c r="D118" s="48" t="n">
        <v>2</v>
      </c>
      <c r="E118" s="37" t="inlineStr">
        <is>
          <t>Most employees have goals and check-ins, but follow-up or records vary.</t>
        </is>
      </c>
      <c r="F118" s="37" t="inlineStr">
        <is>
          <t>Partly established; residual gap remains</t>
        </is>
      </c>
      <c r="G118" s="37" t="inlineStr">
        <is>
          <t>Outcome PER01_2 supplies provisional risk, priority, reasons and actions. Apply contextual escalation separately.</t>
        </is>
      </c>
      <c r="H118" s="37" t="inlineStr">
        <is>
          <t>Confirmed exclusion only; DK retains the eligible denominator.</t>
        </is>
      </c>
      <c r="I118" s="37" t="inlineStr">
        <is>
          <t>Choose this when important parts exist but at least one part of the statement remains unresolved. The report should target that gap, not require a full rebuild.</t>
        </is>
      </c>
      <c r="J118" s="37" t="inlineStr">
        <is>
          <t>Current role goals and recent check-in notes showing feedback, support and follow-up.</t>
        </is>
      </c>
      <c r="K118" s="37" t="inlineStr">
        <is>
          <t>PER01_2</t>
        </is>
      </c>
    </row>
    <row r="119" ht="61" customHeight="1">
      <c r="A119" s="38" t="inlineStr">
        <is>
          <t>PER01</t>
        </is>
      </c>
      <c r="B119" s="38" t="inlineStr">
        <is>
          <t>PER01_3</t>
        </is>
      </c>
      <c r="C119" s="49" t="n">
        <v>3</v>
      </c>
      <c r="D119" s="49" t="n">
        <v>3</v>
      </c>
      <c r="E119" s="38" t="inlineStr">
        <is>
          <t>Employees understand the expected outcomes, receive regular feedback and have agreed follow-up recorded.</t>
        </is>
      </c>
      <c r="F119" s="38" t="inlineStr">
        <is>
          <t>Established practice reported, not independently verified</t>
        </is>
      </c>
      <c r="G119" s="38" t="inlineStr">
        <is>
          <t>Outcome PER01_3 supplies provisional risk, priority, reasons and actions. Apply contextual escalation separately.</t>
        </is>
      </c>
      <c r="H119" s="38" t="inlineStr">
        <is>
          <t>Confirmed exclusion only; DK retains the eligible denominator.</t>
        </is>
      </c>
      <c r="I119" s="38" t="inlineStr">
        <is>
          <t>Choose this only when the whole statement describes routine practice and you can point to a recent example or a tested readiness process. One successful exception is not enough.</t>
        </is>
      </c>
      <c r="J119" s="38" t="inlineStr">
        <is>
          <t>Current role goals and recent check-in notes showing feedback, support and follow-up.</t>
        </is>
      </c>
      <c r="K119" s="38" t="inlineStr">
        <is>
          <t>PER01_3</t>
        </is>
      </c>
    </row>
    <row r="120" ht="61" customHeight="1">
      <c r="A120" s="37" t="inlineStr">
        <is>
          <t>PER01</t>
        </is>
      </c>
      <c r="B120" s="37" t="inlineStr">
        <is>
          <t>PER01_DK</t>
        </is>
      </c>
      <c r="C120" s="37" t="inlineStr">
        <is>
          <t>DK</t>
        </is>
      </c>
      <c r="D120" s="48" t="n">
        <v>0</v>
      </c>
      <c r="E120" s="37" t="inlineStr">
        <is>
          <t>I need to confirm this.</t>
        </is>
      </c>
      <c r="F120" s="37" t="inlineStr">
        <is>
          <t>Unverified, not an established failure</t>
        </is>
      </c>
      <c r="G120" s="37" t="inlineStr">
        <is>
          <t>Outcome PER01_DK supplies provisional risk, priority, reasons and actions. Apply contextual escalation separately.</t>
        </is>
      </c>
      <c r="H120" s="37" t="inlineStr">
        <is>
          <t>Confirmed exclusion only; DK retains the eligible denominator.</t>
        </is>
      </c>
      <c r="I120" s="37" t="inlineStr">
        <is>
          <t>Choose this rather than guessing when you cannot confirm the practice or its consistency. You can save the assessment and ask the responsible person.</t>
        </is>
      </c>
      <c r="J120" s="37" t="inlineStr">
        <is>
          <t>Current role goals and recent check-in notes showing feedback, support and follow-up.</t>
        </is>
      </c>
      <c r="K120" s="37" t="inlineStr">
        <is>
          <t>PER01_DK</t>
        </is>
      </c>
    </row>
    <row r="121" ht="61" customHeight="1">
      <c r="A121" s="38" t="inlineStr">
        <is>
          <t>PER02</t>
        </is>
      </c>
      <c r="B121" s="38" t="inlineStr">
        <is>
          <t>PER02_0</t>
        </is>
      </c>
      <c r="C121" s="49" t="n">
        <v>0</v>
      </c>
      <c r="D121" s="49" t="n">
        <v>0</v>
      </c>
      <c r="E121" s="38" t="inlineStr">
        <is>
          <t>New employees are not reviewed until a concern becomes urgent.</t>
        </is>
      </c>
      <c r="F121" s="38" t="inlineStr">
        <is>
          <t>Practice absent or not established as described</t>
        </is>
      </c>
      <c r="G121" s="38" t="inlineStr">
        <is>
          <t>Outcome PER02_0 supplies provisional risk, priority, reasons and actions. Apply contextual escalation separately.</t>
        </is>
      </c>
      <c r="H121" s="38" t="inlineStr">
        <is>
          <t>Confirmed exclusion only; DK retains the eligible denominator.</t>
        </is>
      </c>
      <c r="I121" s="38" t="inlineStr">
        <is>
          <t>Choose this when the statement describes the current position. Reporting a gap helps prioritise support; it is not an admission that a legal breach has occurred.</t>
        </is>
      </c>
      <c r="J121" s="38" t="inlineStr">
        <is>
          <t>An early-review schedule and documented feedback, support and decision checks.</t>
        </is>
      </c>
      <c r="K121" s="38" t="inlineStr">
        <is>
          <t>PER02_0</t>
        </is>
      </c>
    </row>
    <row r="122" ht="61" customHeight="1">
      <c r="A122" s="37" t="inlineStr">
        <is>
          <t>PER02</t>
        </is>
      </c>
      <c r="B122" s="37" t="inlineStr">
        <is>
          <t>PER02_1</t>
        </is>
      </c>
      <c r="C122" s="48" t="n">
        <v>1</v>
      </c>
      <c r="D122" s="48" t="n">
        <v>1</v>
      </c>
      <c r="E122" s="37" t="inlineStr">
        <is>
          <t>We rely on the probation end date, with little planned feedback.</t>
        </is>
      </c>
      <c r="F122" s="37" t="inlineStr">
        <is>
          <t>Assumption-dependent or inconsistent practice</t>
        </is>
      </c>
      <c r="G122" s="37" t="inlineStr">
        <is>
          <t>Outcome PER02_1 supplies provisional risk, priority, reasons and actions. Apply contextual escalation separately.</t>
        </is>
      </c>
      <c r="H122" s="37" t="inlineStr">
        <is>
          <t>Confirmed exclusion only; DK retains the eligible denominator.</t>
        </is>
      </c>
      <c r="I122" s="37" t="inlineStr">
        <is>
          <t>Choose this when the process depends on assumptions, personal knowledge or ad hoc handling rather than a dependable check.</t>
        </is>
      </c>
      <c r="J122" s="37" t="inlineStr">
        <is>
          <t>An early-review schedule and documented feedback, support and decision checks.</t>
        </is>
      </c>
      <c r="K122" s="37" t="inlineStr">
        <is>
          <t>PER02_1</t>
        </is>
      </c>
    </row>
    <row r="123" ht="61" customHeight="1">
      <c r="A123" s="38" t="inlineStr">
        <is>
          <t>PER02</t>
        </is>
      </c>
      <c r="B123" s="38" t="inlineStr">
        <is>
          <t>PER02_2</t>
        </is>
      </c>
      <c r="C123" s="49" t="n">
        <v>2</v>
      </c>
      <c r="D123" s="49" t="n">
        <v>2</v>
      </c>
      <c r="E123" s="38" t="inlineStr">
        <is>
          <t>We schedule reviews, but expectations, support or decision dates are not consistently managed.</t>
        </is>
      </c>
      <c r="F123" s="38" t="inlineStr">
        <is>
          <t>Partly established; residual gap remains</t>
        </is>
      </c>
      <c r="G123" s="38" t="inlineStr">
        <is>
          <t>Outcome PER02_2 supplies provisional risk, priority, reasons and actions. Apply contextual escalation separately.</t>
        </is>
      </c>
      <c r="H123" s="38" t="inlineStr">
        <is>
          <t>Confirmed exclusion only; DK retains the eligible denominator.</t>
        </is>
      </c>
      <c r="I123" s="38" t="inlineStr">
        <is>
          <t>Choose this when important parts exist but at least one part of the statement remains unresolved. The report should target that gap, not require a full rebuild.</t>
        </is>
      </c>
      <c r="J123" s="38" t="inlineStr">
        <is>
          <t>An early-review schedule and documented feedback, support and decision checks.</t>
        </is>
      </c>
      <c r="K123" s="38" t="inlineStr">
        <is>
          <t>PER02_2</t>
        </is>
      </c>
    </row>
    <row r="124" ht="61" customHeight="1">
      <c r="A124" s="37" t="inlineStr">
        <is>
          <t>PER02</t>
        </is>
      </c>
      <c r="B124" s="37" t="inlineStr">
        <is>
          <t>PER02_3</t>
        </is>
      </c>
      <c r="C124" s="48" t="n">
        <v>3</v>
      </c>
      <c r="D124" s="48" t="n">
        <v>3</v>
      </c>
      <c r="E124" s="37" t="inlineStr">
        <is>
          <t>We review progress early, provide feedback and support, and check the applicable obligations before any employment decision.</t>
        </is>
      </c>
      <c r="F124" s="37" t="inlineStr">
        <is>
          <t>Established practice reported, not independently verified</t>
        </is>
      </c>
      <c r="G124" s="37" t="inlineStr">
        <is>
          <t>Outcome PER02_3 supplies provisional risk, priority, reasons and actions. Apply contextual escalation separately.</t>
        </is>
      </c>
      <c r="H124" s="37" t="inlineStr">
        <is>
          <t>Confirmed exclusion only; DK retains the eligible denominator.</t>
        </is>
      </c>
      <c r="I124" s="37" t="inlineStr">
        <is>
          <t>Choose this only when the whole statement describes routine practice and you can point to a recent example or a tested readiness process. One successful exception is not enough.</t>
        </is>
      </c>
      <c r="J124" s="37" t="inlineStr">
        <is>
          <t>An early-review schedule and documented feedback, support and decision checks.</t>
        </is>
      </c>
      <c r="K124" s="37" t="inlineStr">
        <is>
          <t>PER02_3</t>
        </is>
      </c>
    </row>
    <row r="125" ht="61" customHeight="1">
      <c r="A125" s="38" t="inlineStr">
        <is>
          <t>PER02</t>
        </is>
      </c>
      <c r="B125" s="38" t="inlineStr">
        <is>
          <t>PER02_DK</t>
        </is>
      </c>
      <c r="C125" s="38" t="inlineStr">
        <is>
          <t>DK</t>
        </is>
      </c>
      <c r="D125" s="49" t="n">
        <v>0</v>
      </c>
      <c r="E125" s="38" t="inlineStr">
        <is>
          <t>I need to confirm this.</t>
        </is>
      </c>
      <c r="F125" s="38" t="inlineStr">
        <is>
          <t>Unverified, not an established failure</t>
        </is>
      </c>
      <c r="G125" s="38" t="inlineStr">
        <is>
          <t>Outcome PER02_DK supplies provisional risk, priority, reasons and actions. Apply contextual escalation separately.</t>
        </is>
      </c>
      <c r="H125" s="38" t="inlineStr">
        <is>
          <t>Confirmed exclusion only; DK retains the eligible denominator.</t>
        </is>
      </c>
      <c r="I125" s="38" t="inlineStr">
        <is>
          <t>Choose this rather than guessing when you cannot confirm the practice or its consistency. You can save the assessment and ask the responsible person.</t>
        </is>
      </c>
      <c r="J125" s="38" t="inlineStr">
        <is>
          <t>An early-review schedule and documented feedback, support and decision checks.</t>
        </is>
      </c>
      <c r="K125" s="38" t="inlineStr">
        <is>
          <t>PER02_DK</t>
        </is>
      </c>
    </row>
    <row r="126" ht="61" customHeight="1">
      <c r="A126" s="37" t="inlineStr">
        <is>
          <t>PER03</t>
        </is>
      </c>
      <c r="B126" s="37" t="inlineStr">
        <is>
          <t>PER03_0</t>
        </is>
      </c>
      <c r="C126" s="48" t="n">
        <v>0</v>
      </c>
      <c r="D126" s="48" t="n">
        <v>0</v>
      </c>
      <c r="E126" s="37" t="inlineStr">
        <is>
          <t>There is no consistent process for addressing underperformance.</t>
        </is>
      </c>
      <c r="F126" s="37" t="inlineStr">
        <is>
          <t>Practice absent or not established as described</t>
        </is>
      </c>
      <c r="G126" s="37" t="inlineStr">
        <is>
          <t>Outcome PER03_0 supplies provisional risk, priority, reasons and actions. Apply contextual escalation separately.</t>
        </is>
      </c>
      <c r="H126" s="37" t="inlineStr">
        <is>
          <t>Confirmed exclusion only; DK retains the eligible denominator.</t>
        </is>
      </c>
      <c r="I126" s="37" t="inlineStr">
        <is>
          <t>Choose this when the statement describes the current position. Reporting a gap helps prioritise support; it is not an admission that a legal breach has occurred.</t>
        </is>
      </c>
      <c r="J126" s="37" t="inlineStr">
        <is>
          <t>A proportionate performance record that shows both the concern and the employee's opportunity to improve.</t>
        </is>
      </c>
      <c r="K126" s="37" t="inlineStr">
        <is>
          <t>PER03_0</t>
        </is>
      </c>
    </row>
    <row r="127" ht="61" customHeight="1">
      <c r="A127" s="38" t="inlineStr">
        <is>
          <t>PER03</t>
        </is>
      </c>
      <c r="B127" s="38" t="inlineStr">
        <is>
          <t>PER03_1</t>
        </is>
      </c>
      <c r="C127" s="49" t="n">
        <v>1</v>
      </c>
      <c r="D127" s="49" t="n">
        <v>1</v>
      </c>
      <c r="E127" s="38" t="inlineStr">
        <is>
          <t>Concerns are raised informally, but expectations or follow-up remain unclear.</t>
        </is>
      </c>
      <c r="F127" s="38" t="inlineStr">
        <is>
          <t>Assumption-dependent or inconsistent practice</t>
        </is>
      </c>
      <c r="G127" s="38" t="inlineStr">
        <is>
          <t>Outcome PER03_1 supplies provisional risk, priority, reasons and actions. Apply contextual escalation separately.</t>
        </is>
      </c>
      <c r="H127" s="38" t="inlineStr">
        <is>
          <t>Confirmed exclusion only; DK retains the eligible denominator.</t>
        </is>
      </c>
      <c r="I127" s="38" t="inlineStr">
        <is>
          <t>Choose this when the process depends on assumptions, personal knowledge or ad hoc handling rather than a dependable check.</t>
        </is>
      </c>
      <c r="J127" s="38" t="inlineStr">
        <is>
          <t>A proportionate performance record that shows both the concern and the employee's opportunity to improve.</t>
        </is>
      </c>
      <c r="K127" s="38" t="inlineStr">
        <is>
          <t>PER03_1</t>
        </is>
      </c>
    </row>
    <row r="128" ht="61" customHeight="1">
      <c r="A128" s="37" t="inlineStr">
        <is>
          <t>PER03</t>
        </is>
      </c>
      <c r="B128" s="37" t="inlineStr">
        <is>
          <t>PER03_2</t>
        </is>
      </c>
      <c r="C128" s="48" t="n">
        <v>2</v>
      </c>
      <c r="D128" s="48" t="n">
        <v>2</v>
      </c>
      <c r="E128" s="37" t="inlineStr">
        <is>
          <t>We use a process, but evidence, support or review can be inconsistent.</t>
        </is>
      </c>
      <c r="F128" s="37" t="inlineStr">
        <is>
          <t>Partly established; residual gap remains</t>
        </is>
      </c>
      <c r="G128" s="37" t="inlineStr">
        <is>
          <t>Outcome PER03_2 supplies provisional risk, priority, reasons and actions. Apply contextual escalation separately.</t>
        </is>
      </c>
      <c r="H128" s="37" t="inlineStr">
        <is>
          <t>Confirmed exclusion only; DK retains the eligible denominator.</t>
        </is>
      </c>
      <c r="I128" s="37" t="inlineStr">
        <is>
          <t>Choose this when important parts exist but at least one part of the statement remains unresolved. The report should target that gap, not require a full rebuild.</t>
        </is>
      </c>
      <c r="J128" s="37" t="inlineStr">
        <is>
          <t>A proportionate performance record that shows both the concern and the employee's opportunity to improve.</t>
        </is>
      </c>
      <c r="K128" s="37" t="inlineStr">
        <is>
          <t>PER03_2</t>
        </is>
      </c>
    </row>
    <row r="129" ht="61" customHeight="1">
      <c r="A129" s="38" t="inlineStr">
        <is>
          <t>PER03</t>
        </is>
      </c>
      <c r="B129" s="38" t="inlineStr">
        <is>
          <t>PER03_3</t>
        </is>
      </c>
      <c r="C129" s="49" t="n">
        <v>3</v>
      </c>
      <c r="D129" s="49" t="n">
        <v>3</v>
      </c>
      <c r="E129" s="38" t="inlineStr">
        <is>
          <t>We explain the concern with evidence, hear the employee's response, agree reasonable improvement and support, and review progress fairly.</t>
        </is>
      </c>
      <c r="F129" s="38" t="inlineStr">
        <is>
          <t>Established practice reported, not independently verified</t>
        </is>
      </c>
      <c r="G129" s="38" t="inlineStr">
        <is>
          <t>Outcome PER03_3 supplies provisional risk, priority, reasons and actions. Apply contextual escalation separately.</t>
        </is>
      </c>
      <c r="H129" s="38" t="inlineStr">
        <is>
          <t>Confirmed exclusion only; DK retains the eligible denominator.</t>
        </is>
      </c>
      <c r="I129" s="38" t="inlineStr">
        <is>
          <t>Choose this only when the whole statement describes routine practice and you can point to a recent example or a tested readiness process. One successful exception is not enough.</t>
        </is>
      </c>
      <c r="J129" s="38" t="inlineStr">
        <is>
          <t>A proportionate performance record that shows both the concern and the employee's opportunity to improve.</t>
        </is>
      </c>
      <c r="K129" s="38" t="inlineStr">
        <is>
          <t>PER03_3</t>
        </is>
      </c>
    </row>
    <row r="130" ht="61" customHeight="1">
      <c r="A130" s="37" t="inlineStr">
        <is>
          <t>PER03</t>
        </is>
      </c>
      <c r="B130" s="37" t="inlineStr">
        <is>
          <t>PER03_DK</t>
        </is>
      </c>
      <c r="C130" s="37" t="inlineStr">
        <is>
          <t>DK</t>
        </is>
      </c>
      <c r="D130" s="48" t="n">
        <v>0</v>
      </c>
      <c r="E130" s="37" t="inlineStr">
        <is>
          <t>I need to confirm this.</t>
        </is>
      </c>
      <c r="F130" s="37" t="inlineStr">
        <is>
          <t>Unverified, not an established failure</t>
        </is>
      </c>
      <c r="G130" s="37" t="inlineStr">
        <is>
          <t>Outcome PER03_DK supplies provisional risk, priority, reasons and actions. Apply contextual escalation separately.</t>
        </is>
      </c>
      <c r="H130" s="37" t="inlineStr">
        <is>
          <t>Confirmed exclusion only; DK retains the eligible denominator.</t>
        </is>
      </c>
      <c r="I130" s="37" t="inlineStr">
        <is>
          <t>Choose this rather than guessing when you cannot confirm the practice or its consistency. You can save the assessment and ask the responsible person.</t>
        </is>
      </c>
      <c r="J130" s="37" t="inlineStr">
        <is>
          <t>A proportionate performance record that shows both the concern and the employee's opportunity to improve.</t>
        </is>
      </c>
      <c r="K130" s="37" t="inlineStr">
        <is>
          <t>PER03_DK</t>
        </is>
      </c>
    </row>
    <row r="131" ht="61" customHeight="1">
      <c r="A131" s="38" t="inlineStr">
        <is>
          <t>PER04</t>
        </is>
      </c>
      <c r="B131" s="38" t="inlineStr">
        <is>
          <t>PER04_0</t>
        </is>
      </c>
      <c r="C131" s="49" t="n">
        <v>0</v>
      </c>
      <c r="D131" s="49" t="n">
        <v>0</v>
      </c>
      <c r="E131" s="38" t="inlineStr">
        <is>
          <t>Managers may act immediately without checking the facts or hearing a response.</t>
        </is>
      </c>
      <c r="F131" s="38" t="inlineStr">
        <is>
          <t>Practice absent or not established as described</t>
        </is>
      </c>
      <c r="G131" s="38" t="inlineStr">
        <is>
          <t>Outcome PER04_0 supplies provisional risk, priority, reasons and actions. Apply contextual escalation separately.</t>
        </is>
      </c>
      <c r="H131" s="38" t="inlineStr">
        <is>
          <t>Confirmed exclusion only; DK retains the eligible denominator.</t>
        </is>
      </c>
      <c r="I131" s="38" t="inlineStr">
        <is>
          <t>Choose this when the statement describes the current position. Reporting a gap helps prioritise support; it is not an admission that a legal breach has occurred.</t>
        </is>
      </c>
      <c r="J131" s="38" t="inlineStr">
        <is>
          <t>An escalation and decision checklist that separates allegations, evidence, responses and findings.</t>
        </is>
      </c>
      <c r="K131" s="38" t="inlineStr">
        <is>
          <t>PER04_0</t>
        </is>
      </c>
    </row>
    <row r="132" ht="61" customHeight="1">
      <c r="A132" s="37" t="inlineStr">
        <is>
          <t>PER04</t>
        </is>
      </c>
      <c r="B132" s="37" t="inlineStr">
        <is>
          <t>PER04_1</t>
        </is>
      </c>
      <c r="C132" s="48" t="n">
        <v>1</v>
      </c>
      <c r="D132" s="48" t="n">
        <v>1</v>
      </c>
      <c r="E132" s="37" t="inlineStr">
        <is>
          <t>The response depends on the manager, with limited evidence or documentation.</t>
        </is>
      </c>
      <c r="F132" s="37" t="inlineStr">
        <is>
          <t>Assumption-dependent or inconsistent practice</t>
        </is>
      </c>
      <c r="G132" s="37" t="inlineStr">
        <is>
          <t>Outcome PER04_1 supplies provisional risk, priority, reasons and actions. Apply contextual escalation separately.</t>
        </is>
      </c>
      <c r="H132" s="37" t="inlineStr">
        <is>
          <t>Confirmed exclusion only; DK retains the eligible denominator.</t>
        </is>
      </c>
      <c r="I132" s="37" t="inlineStr">
        <is>
          <t>Choose this when the process depends on assumptions, personal knowledge or ad hoc handling rather than a dependable check.</t>
        </is>
      </c>
      <c r="J132" s="37" t="inlineStr">
        <is>
          <t>An escalation and decision checklist that separates allegations, evidence, responses and findings.</t>
        </is>
      </c>
      <c r="K132" s="37" t="inlineStr">
        <is>
          <t>PER04_1</t>
        </is>
      </c>
    </row>
    <row r="133" ht="61" customHeight="1">
      <c r="A133" s="38" t="inlineStr">
        <is>
          <t>PER04</t>
        </is>
      </c>
      <c r="B133" s="38" t="inlineStr">
        <is>
          <t>PER04_2</t>
        </is>
      </c>
      <c r="C133" s="49" t="n">
        <v>2</v>
      </c>
      <c r="D133" s="49" t="n">
        <v>2</v>
      </c>
      <c r="E133" s="38" t="inlineStr">
        <is>
          <t>We have a process, but consistency, impartiality or escalation needs improvement.</t>
        </is>
      </c>
      <c r="F133" s="38" t="inlineStr">
        <is>
          <t>Partly established; residual gap remains</t>
        </is>
      </c>
      <c r="G133" s="38" t="inlineStr">
        <is>
          <t>Outcome PER04_2 supplies provisional risk, priority, reasons and actions. Apply contextual escalation separately.</t>
        </is>
      </c>
      <c r="H133" s="38" t="inlineStr">
        <is>
          <t>Confirmed exclusion only; DK retains the eligible denominator.</t>
        </is>
      </c>
      <c r="I133" s="38" t="inlineStr">
        <is>
          <t>Choose this when important parts exist but at least one part of the statement remains unresolved. The report should target that gap, not require a full rebuild.</t>
        </is>
      </c>
      <c r="J133" s="38" t="inlineStr">
        <is>
          <t>An escalation and decision checklist that separates allegations, evidence, responses and findings.</t>
        </is>
      </c>
      <c r="K133" s="38" t="inlineStr">
        <is>
          <t>PER04_2</t>
        </is>
      </c>
    </row>
    <row r="134" ht="61" customHeight="1">
      <c r="A134" s="37" t="inlineStr">
        <is>
          <t>PER04</t>
        </is>
      </c>
      <c r="B134" s="37" t="inlineStr">
        <is>
          <t>PER04_3</t>
        </is>
      </c>
      <c r="C134" s="48" t="n">
        <v>3</v>
      </c>
      <c r="D134" s="48" t="n">
        <v>3</v>
      </c>
      <c r="E134" s="37" t="inlineStr">
        <is>
          <t>We protect safety where needed, establish relevant facts, give a fair opportunity to respond and obtain appropriate advice before serious action.</t>
        </is>
      </c>
      <c r="F134" s="37" t="inlineStr">
        <is>
          <t>Established practice reported, not independently verified</t>
        </is>
      </c>
      <c r="G134" s="37" t="inlineStr">
        <is>
          <t>Outcome PER04_3 supplies provisional risk, priority, reasons and actions. Apply contextual escalation separately.</t>
        </is>
      </c>
      <c r="H134" s="37" t="inlineStr">
        <is>
          <t>Confirmed exclusion only; DK retains the eligible denominator.</t>
        </is>
      </c>
      <c r="I134" s="37" t="inlineStr">
        <is>
          <t>Choose this only when the whole statement describes routine practice and you can point to a recent example or a tested readiness process. One successful exception is not enough.</t>
        </is>
      </c>
      <c r="J134" s="37" t="inlineStr">
        <is>
          <t>An escalation and decision checklist that separates allegations, evidence, responses and findings.</t>
        </is>
      </c>
      <c r="K134" s="37" t="inlineStr">
        <is>
          <t>PER04_3</t>
        </is>
      </c>
    </row>
    <row r="135" ht="61" customHeight="1">
      <c r="A135" s="38" t="inlineStr">
        <is>
          <t>PER04</t>
        </is>
      </c>
      <c r="B135" s="38" t="inlineStr">
        <is>
          <t>PER04_DK</t>
        </is>
      </c>
      <c r="C135" s="38" t="inlineStr">
        <is>
          <t>DK</t>
        </is>
      </c>
      <c r="D135" s="49" t="n">
        <v>0</v>
      </c>
      <c r="E135" s="38" t="inlineStr">
        <is>
          <t>I need to confirm this.</t>
        </is>
      </c>
      <c r="F135" s="38" t="inlineStr">
        <is>
          <t>Unverified, not an established failure</t>
        </is>
      </c>
      <c r="G135" s="38" t="inlineStr">
        <is>
          <t>Outcome PER04_DK supplies provisional risk, priority, reasons and actions. Apply contextual escalation separately.</t>
        </is>
      </c>
      <c r="H135" s="38" t="inlineStr">
        <is>
          <t>Confirmed exclusion only; DK retains the eligible denominator.</t>
        </is>
      </c>
      <c r="I135" s="38" t="inlineStr">
        <is>
          <t>Choose this rather than guessing when you cannot confirm the practice or its consistency. You can save the assessment and ask the responsible person.</t>
        </is>
      </c>
      <c r="J135" s="38" t="inlineStr">
        <is>
          <t>An escalation and decision checklist that separates allegations, evidence, responses and findings.</t>
        </is>
      </c>
      <c r="K135" s="38" t="inlineStr">
        <is>
          <t>PER04_DK</t>
        </is>
      </c>
    </row>
    <row r="136" ht="61" customHeight="1">
      <c r="A136" s="37" t="inlineStr">
        <is>
          <t>LND01</t>
        </is>
      </c>
      <c r="B136" s="37" t="inlineStr">
        <is>
          <t>LND01_0</t>
        </is>
      </c>
      <c r="C136" s="48" t="n">
        <v>0</v>
      </c>
      <c r="D136" s="48" t="n">
        <v>0</v>
      </c>
      <c r="E136" s="37" t="inlineStr">
        <is>
          <t>Training happens without a clear view of the skills we need.</t>
        </is>
      </c>
      <c r="F136" s="37" t="inlineStr">
        <is>
          <t>Practice absent or not established as described</t>
        </is>
      </c>
      <c r="G136" s="37" t="inlineStr">
        <is>
          <t>Outcome LND01_0 supplies provisional risk, priority, reasons and actions. Apply contextual escalation separately.</t>
        </is>
      </c>
      <c r="H136" s="37" t="inlineStr">
        <is>
          <t>Confirmed exclusion only; DK retains the eligible denominator.</t>
        </is>
      </c>
      <c r="I136" s="37" t="inlineStr">
        <is>
          <t>Choose this when the statement describes the current position. Reporting a gap helps prioritise support; it is not an admission that a legal breach has occurred.</t>
        </is>
      </c>
      <c r="J136" s="37" t="inlineStr">
        <is>
          <t>The priority skill gap has an agreed development action, responsible person and resources; the learning has been applied and reviewed against the intended work outcome. A plan alone records progress, not completion.</t>
        </is>
      </c>
      <c r="K136" s="37" t="inlineStr">
        <is>
          <t>LND01_0</t>
        </is>
      </c>
    </row>
    <row r="137" ht="61" customHeight="1">
      <c r="A137" s="38" t="inlineStr">
        <is>
          <t>LND01</t>
        </is>
      </c>
      <c r="B137" s="38" t="inlineStr">
        <is>
          <t>LND01_1</t>
        </is>
      </c>
      <c r="C137" s="49" t="n">
        <v>1</v>
      </c>
      <c r="D137" s="49" t="n">
        <v>1</v>
      </c>
      <c r="E137" s="38" t="inlineStr">
        <is>
          <t>We mainly respond when someone cannot do a task.</t>
        </is>
      </c>
      <c r="F137" s="38" t="inlineStr">
        <is>
          <t>Assumption-dependent or inconsistent practice</t>
        </is>
      </c>
      <c r="G137" s="38" t="inlineStr">
        <is>
          <t>Outcome LND01_1 supplies provisional risk, priority, reasons and actions. Apply contextual escalation separately.</t>
        </is>
      </c>
      <c r="H137" s="38" t="inlineStr">
        <is>
          <t>Confirmed exclusion only; DK retains the eligible denominator.</t>
        </is>
      </c>
      <c r="I137" s="38" t="inlineStr">
        <is>
          <t>Choose this when the process depends on assumptions, personal knowledge or ad hoc handling rather than a dependable check.</t>
        </is>
      </c>
      <c r="J137" s="38" t="inlineStr">
        <is>
          <t>The priority skill gap has an agreed development action, responsible person and resources; the learning has been applied and reviewed against the intended work outcome. A plan alone records progress, not completion.</t>
        </is>
      </c>
      <c r="K137" s="38" t="inlineStr">
        <is>
          <t>LND01_1</t>
        </is>
      </c>
    </row>
    <row r="138" ht="61" customHeight="1">
      <c r="A138" s="37" t="inlineStr">
        <is>
          <t>LND01</t>
        </is>
      </c>
      <c r="B138" s="37" t="inlineStr">
        <is>
          <t>LND01_2</t>
        </is>
      </c>
      <c r="C138" s="48" t="n">
        <v>2</v>
      </c>
      <c r="D138" s="48" t="n">
        <v>2</v>
      </c>
      <c r="E138" s="37" t="inlineStr">
        <is>
          <t>We identify some skill gaps, but priorities are not linked to upcoming work.</t>
        </is>
      </c>
      <c r="F138" s="37" t="inlineStr">
        <is>
          <t>Partly established; residual gap remains</t>
        </is>
      </c>
      <c r="G138" s="37" t="inlineStr">
        <is>
          <t>Outcome LND01_2 supplies provisional risk, priority, reasons and actions. Apply contextual escalation separately.</t>
        </is>
      </c>
      <c r="H138" s="37" t="inlineStr">
        <is>
          <t>Confirmed exclusion only; DK retains the eligible denominator.</t>
        </is>
      </c>
      <c r="I138" s="37" t="inlineStr">
        <is>
          <t>Choose this when important parts exist but at least one part of the statement remains unresolved. The report should target that gap, not require a full rebuild.</t>
        </is>
      </c>
      <c r="J138" s="37" t="inlineStr">
        <is>
          <t>The priority skill gap has an agreed development action, responsible person and resources; the learning has been applied and reviewed against the intended work outcome. A plan alone records progress, not completion.</t>
        </is>
      </c>
      <c r="K138" s="37" t="inlineStr">
        <is>
          <t>LND01_2</t>
        </is>
      </c>
    </row>
    <row r="139" ht="61" customHeight="1">
      <c r="A139" s="38" t="inlineStr">
        <is>
          <t>LND01</t>
        </is>
      </c>
      <c r="B139" s="38" t="inlineStr">
        <is>
          <t>LND01_3</t>
        </is>
      </c>
      <c r="C139" s="49" t="n">
        <v>3</v>
      </c>
      <c r="D139" s="49" t="n">
        <v>3</v>
      </c>
      <c r="E139" s="38" t="inlineStr">
        <is>
          <t>We identify priority skill gaps against upcoming work and agree practical development actions and owners.</t>
        </is>
      </c>
      <c r="F139" s="38" t="inlineStr">
        <is>
          <t>Established practice reported, not independently verified</t>
        </is>
      </c>
      <c r="G139" s="38" t="inlineStr">
        <is>
          <t>Outcome LND01_3 supplies provisional risk, priority, reasons and actions. Apply contextual escalation separately.</t>
        </is>
      </c>
      <c r="H139" s="38" t="inlineStr">
        <is>
          <t>Confirmed exclusion only; DK retains the eligible denominator.</t>
        </is>
      </c>
      <c r="I139" s="38" t="inlineStr">
        <is>
          <t>Choose this only when the whole statement describes routine practice and you can point to a recent example or a tested readiness process. One successful exception is not enough.</t>
        </is>
      </c>
      <c r="J139" s="38" t="inlineStr">
        <is>
          <t>The priority skill gap has an agreed development action, responsible person and resources; the learning has been applied and reviewed against the intended work outcome. A plan alone records progress, not completion.</t>
        </is>
      </c>
      <c r="K139" s="38" t="inlineStr">
        <is>
          <t>LND01_3</t>
        </is>
      </c>
    </row>
    <row r="140" ht="61" customHeight="1">
      <c r="A140" s="37" t="inlineStr">
        <is>
          <t>LND01</t>
        </is>
      </c>
      <c r="B140" s="37" t="inlineStr">
        <is>
          <t>LND01_DK</t>
        </is>
      </c>
      <c r="C140" s="37" t="inlineStr">
        <is>
          <t>DK</t>
        </is>
      </c>
      <c r="D140" s="48" t="n">
        <v>0</v>
      </c>
      <c r="E140" s="37" t="inlineStr">
        <is>
          <t>I need to confirm this.</t>
        </is>
      </c>
      <c r="F140" s="37" t="inlineStr">
        <is>
          <t>Unverified, not an established failure</t>
        </is>
      </c>
      <c r="G140" s="37" t="inlineStr">
        <is>
          <t>Outcome LND01_DK supplies provisional risk, priority, reasons and actions. Apply contextual escalation separately.</t>
        </is>
      </c>
      <c r="H140" s="37" t="inlineStr">
        <is>
          <t>Confirmed exclusion only; DK retains the eligible denominator.</t>
        </is>
      </c>
      <c r="I140" s="37" t="inlineStr">
        <is>
          <t>Choose this rather than guessing when you cannot confirm the practice or its consistency. You can save the assessment and ask the responsible person.</t>
        </is>
      </c>
      <c r="J140" s="37" t="inlineStr">
        <is>
          <t>The priority skill gap has an agreed development action, responsible person and resources; the learning has been applied and reviewed against the intended work outcome. A plan alone records progress, not completion.</t>
        </is>
      </c>
      <c r="K140" s="37" t="inlineStr">
        <is>
          <t>LND01_DK</t>
        </is>
      </c>
    </row>
    <row r="141" ht="61" customHeight="1">
      <c r="A141" s="38" t="inlineStr">
        <is>
          <t>LND02</t>
        </is>
      </c>
      <c r="B141" s="38" t="inlineStr">
        <is>
          <t>LND02_0</t>
        </is>
      </c>
      <c r="C141" s="49" t="n">
        <v>0</v>
      </c>
      <c r="D141" s="49" t="n">
        <v>0</v>
      </c>
      <c r="E141" s="38" t="inlineStr">
        <is>
          <t>We do not check whether training has been useful.</t>
        </is>
      </c>
      <c r="F141" s="38" t="inlineStr">
        <is>
          <t>Practice absent or not established as described</t>
        </is>
      </c>
      <c r="G141" s="38" t="inlineStr">
        <is>
          <t>Outcome LND02_0 supplies provisional risk, priority, reasons and actions. Apply contextual escalation separately.</t>
        </is>
      </c>
      <c r="H141" s="38" t="inlineStr">
        <is>
          <t>Confirmed exclusion only; DK retains the eligible denominator.</t>
        </is>
      </c>
      <c r="I141" s="38" t="inlineStr">
        <is>
          <t>Choose this when the statement describes the current position. Reporting a gap helps prioritise support; it is not an admission that a legal breach has occurred.</t>
        </is>
      </c>
      <c r="J141" s="38" t="inlineStr">
        <is>
          <t>A follow-up example shows whether the intended work outcome improved, and any remaining support or corrective learning has been delivered and checked.</t>
        </is>
      </c>
      <c r="K141" s="38" t="inlineStr">
        <is>
          <t>LND02_0</t>
        </is>
      </c>
    </row>
    <row r="142" ht="61" customHeight="1">
      <c r="A142" s="37" t="inlineStr">
        <is>
          <t>LND02</t>
        </is>
      </c>
      <c r="B142" s="37" t="inlineStr">
        <is>
          <t>LND02_1</t>
        </is>
      </c>
      <c r="C142" s="48" t="n">
        <v>1</v>
      </c>
      <c r="D142" s="48" t="n">
        <v>1</v>
      </c>
      <c r="E142" s="37" t="inlineStr">
        <is>
          <t>We record attendance or completion but rarely check application.</t>
        </is>
      </c>
      <c r="F142" s="37" t="inlineStr">
        <is>
          <t>Assumption-dependent or inconsistent practice</t>
        </is>
      </c>
      <c r="G142" s="37" t="inlineStr">
        <is>
          <t>Outcome LND02_1 supplies provisional risk, priority, reasons and actions. Apply contextual escalation separately.</t>
        </is>
      </c>
      <c r="H142" s="37" t="inlineStr">
        <is>
          <t>Confirmed exclusion only; DK retains the eligible denominator.</t>
        </is>
      </c>
      <c r="I142" s="37" t="inlineStr">
        <is>
          <t>Choose this when the process depends on assumptions, personal knowledge or ad hoc handling rather than a dependable check.</t>
        </is>
      </c>
      <c r="J142" s="37" t="inlineStr">
        <is>
          <t>A follow-up example shows whether the intended work outcome improved, and any remaining support or corrective learning has been delivered and checked.</t>
        </is>
      </c>
      <c r="K142" s="37" t="inlineStr">
        <is>
          <t>LND02_1</t>
        </is>
      </c>
    </row>
    <row r="143" ht="61" customHeight="1">
      <c r="A143" s="38" t="inlineStr">
        <is>
          <t>LND02</t>
        </is>
      </c>
      <c r="B143" s="38" t="inlineStr">
        <is>
          <t>LND02_2</t>
        </is>
      </c>
      <c r="C143" s="49" t="n">
        <v>2</v>
      </c>
      <c r="D143" s="49" t="n">
        <v>2</v>
      </c>
      <c r="E143" s="38" t="inlineStr">
        <is>
          <t>Managers sometimes check application, but the approach is inconsistent.</t>
        </is>
      </c>
      <c r="F143" s="38" t="inlineStr">
        <is>
          <t>Partly established; residual gap remains</t>
        </is>
      </c>
      <c r="G143" s="38" t="inlineStr">
        <is>
          <t>Outcome LND02_2 supplies provisional risk, priority, reasons and actions. Apply contextual escalation separately.</t>
        </is>
      </c>
      <c r="H143" s="38" t="inlineStr">
        <is>
          <t>Confirmed exclusion only; DK retains the eligible denominator.</t>
        </is>
      </c>
      <c r="I143" s="38" t="inlineStr">
        <is>
          <t>Choose this when important parts exist but at least one part of the statement remains unresolved. The report should target that gap, not require a full rebuild.</t>
        </is>
      </c>
      <c r="J143" s="38" t="inlineStr">
        <is>
          <t>A follow-up example shows whether the intended work outcome improved, and any remaining support or corrective learning has been delivered and checked.</t>
        </is>
      </c>
      <c r="K143" s="38" t="inlineStr">
        <is>
          <t>LND02_2</t>
        </is>
      </c>
    </row>
    <row r="144" ht="61" customHeight="1">
      <c r="A144" s="37" t="inlineStr">
        <is>
          <t>LND02</t>
        </is>
      </c>
      <c r="B144" s="37" t="inlineStr">
        <is>
          <t>LND02_3</t>
        </is>
      </c>
      <c r="C144" s="48" t="n">
        <v>3</v>
      </c>
      <c r="D144" s="48" t="n">
        <v>3</v>
      </c>
      <c r="E144" s="37" t="inlineStr">
        <is>
          <t>We agree the intended improvement, give people an opportunity to apply it and review the result.</t>
        </is>
      </c>
      <c r="F144" s="37" t="inlineStr">
        <is>
          <t>Established practice reported, not independently verified</t>
        </is>
      </c>
      <c r="G144" s="37" t="inlineStr">
        <is>
          <t>Outcome LND02_3 supplies provisional risk, priority, reasons and actions. Apply contextual escalation separately.</t>
        </is>
      </c>
      <c r="H144" s="37" t="inlineStr">
        <is>
          <t>Confirmed exclusion only; DK retains the eligible denominator.</t>
        </is>
      </c>
      <c r="I144" s="37" t="inlineStr">
        <is>
          <t>Choose this only when the whole statement describes routine practice and you can point to a recent example or a tested readiness process. One successful exception is not enough.</t>
        </is>
      </c>
      <c r="J144" s="37" t="inlineStr">
        <is>
          <t>A follow-up example shows whether the intended work outcome improved, and any remaining support or corrective learning has been delivered and checked.</t>
        </is>
      </c>
      <c r="K144" s="37" t="inlineStr">
        <is>
          <t>LND02_3</t>
        </is>
      </c>
    </row>
    <row r="145" ht="61" customHeight="1">
      <c r="A145" s="38" t="inlineStr">
        <is>
          <t>LND02</t>
        </is>
      </c>
      <c r="B145" s="38" t="inlineStr">
        <is>
          <t>LND02_DK</t>
        </is>
      </c>
      <c r="C145" s="38" t="inlineStr">
        <is>
          <t>DK</t>
        </is>
      </c>
      <c r="D145" s="49" t="n">
        <v>0</v>
      </c>
      <c r="E145" s="38" t="inlineStr">
        <is>
          <t>I need to confirm this.</t>
        </is>
      </c>
      <c r="F145" s="38" t="inlineStr">
        <is>
          <t>Unverified, not an established failure</t>
        </is>
      </c>
      <c r="G145" s="38" t="inlineStr">
        <is>
          <t>Outcome LND02_DK supplies provisional risk, priority, reasons and actions. Apply contextual escalation separately.</t>
        </is>
      </c>
      <c r="H145" s="38" t="inlineStr">
        <is>
          <t>Confirmed exclusion only; DK retains the eligible denominator.</t>
        </is>
      </c>
      <c r="I145" s="38" t="inlineStr">
        <is>
          <t>Choose this rather than guessing when you cannot confirm the practice or its consistency. You can save the assessment and ask the responsible person.</t>
        </is>
      </c>
      <c r="J145" s="38" t="inlineStr">
        <is>
          <t>A follow-up example shows whether the intended work outcome improved, and any remaining support or corrective learning has been delivered and checked.</t>
        </is>
      </c>
      <c r="K145" s="38" t="inlineStr">
        <is>
          <t>LND02_DK</t>
        </is>
      </c>
    </row>
    <row r="146" ht="61" customHeight="1">
      <c r="A146" s="37" t="inlineStr">
        <is>
          <t>LND03</t>
        </is>
      </c>
      <c r="B146" s="37" t="inlineStr">
        <is>
          <t>LND03_0</t>
        </is>
      </c>
      <c r="C146" s="48" t="n">
        <v>0</v>
      </c>
      <c r="D146" s="48" t="n">
        <v>0</v>
      </c>
      <c r="E146" s="37" t="inlineStr">
        <is>
          <t>Some critical work would stop because only one person can do it.</t>
        </is>
      </c>
      <c r="F146" s="37" t="inlineStr">
        <is>
          <t>Practice absent or not established as described</t>
        </is>
      </c>
      <c r="G146" s="37" t="inlineStr">
        <is>
          <t>Outcome LND03_0 supplies provisional risk, priority, reasons and actions. Apply contextual escalation separately.</t>
        </is>
      </c>
      <c r="H146" s="37" t="inlineStr">
        <is>
          <t>Confirmed exclusion only; DK retains the eligible denominator.</t>
        </is>
      </c>
      <c r="I146" s="37" t="inlineStr">
        <is>
          <t>Choose this when the statement describes the current position. Reporting a gap helps prioritise support; it is not an admission that a legal breach has occurred.</t>
        </is>
      </c>
      <c r="J146" s="37" t="inlineStr">
        <is>
          <t>A tested cover arrangement for priority tasks, including secure access and authorisations.</t>
        </is>
      </c>
      <c r="K146" s="37" t="inlineStr">
        <is>
          <t>LND03_0</t>
        </is>
      </c>
    </row>
    <row r="147" ht="61" customHeight="1">
      <c r="A147" s="38" t="inlineStr">
        <is>
          <t>LND03</t>
        </is>
      </c>
      <c r="B147" s="38" t="inlineStr">
        <is>
          <t>LND03_1</t>
        </is>
      </c>
      <c r="C147" s="49" t="n">
        <v>1</v>
      </c>
      <c r="D147" s="49" t="n">
        <v>1</v>
      </c>
      <c r="E147" s="38" t="inlineStr">
        <is>
          <t>We rely on that person explaining the work if they become unavailable.</t>
        </is>
      </c>
      <c r="F147" s="38" t="inlineStr">
        <is>
          <t>Assumption-dependent or inconsistent practice</t>
        </is>
      </c>
      <c r="G147" s="38" t="inlineStr">
        <is>
          <t>Outcome LND03_1 supplies provisional risk, priority, reasons and actions. Apply contextual escalation separately.</t>
        </is>
      </c>
      <c r="H147" s="38" t="inlineStr">
        <is>
          <t>Confirmed exclusion only; DK retains the eligible denominator.</t>
        </is>
      </c>
      <c r="I147" s="38" t="inlineStr">
        <is>
          <t>Choose this when the process depends on assumptions, personal knowledge or ad hoc handling rather than a dependable check.</t>
        </is>
      </c>
      <c r="J147" s="38" t="inlineStr">
        <is>
          <t>A tested cover arrangement for priority tasks, including secure access and authorisations.</t>
        </is>
      </c>
      <c r="K147" s="38" t="inlineStr">
        <is>
          <t>LND03_1</t>
        </is>
      </c>
    </row>
    <row r="148" ht="61" customHeight="1">
      <c r="A148" s="37" t="inlineStr">
        <is>
          <t>LND03</t>
        </is>
      </c>
      <c r="B148" s="37" t="inlineStr">
        <is>
          <t>LND03_2</t>
        </is>
      </c>
      <c r="C148" s="48" t="n">
        <v>2</v>
      </c>
      <c r="D148" s="48" t="n">
        <v>2</v>
      </c>
      <c r="E148" s="37" t="inlineStr">
        <is>
          <t>We have some backups or instructions, but they have not been tested.</t>
        </is>
      </c>
      <c r="F148" s="37" t="inlineStr">
        <is>
          <t>Partly established; residual gap remains</t>
        </is>
      </c>
      <c r="G148" s="37" t="inlineStr">
        <is>
          <t>Outcome LND03_2 supplies provisional risk, priority, reasons and actions. Apply contextual escalation separately.</t>
        </is>
      </c>
      <c r="H148" s="37" t="inlineStr">
        <is>
          <t>Confirmed exclusion only; DK retains the eligible denominator.</t>
        </is>
      </c>
      <c r="I148" s="37" t="inlineStr">
        <is>
          <t>Choose this when important parts exist but at least one part of the statement remains unresolved. The report should target that gap, not require a full rebuild.</t>
        </is>
      </c>
      <c r="J148" s="37" t="inlineStr">
        <is>
          <t>A tested cover arrangement for priority tasks, including secure access and authorisations.</t>
        </is>
      </c>
      <c r="K148" s="37" t="inlineStr">
        <is>
          <t>LND03_2</t>
        </is>
      </c>
    </row>
    <row r="149" ht="61" customHeight="1">
      <c r="A149" s="38" t="inlineStr">
        <is>
          <t>LND03</t>
        </is>
      </c>
      <c r="B149" s="38" t="inlineStr">
        <is>
          <t>LND03_3</t>
        </is>
      </c>
      <c r="C149" s="49" t="n">
        <v>3</v>
      </c>
      <c r="D149" s="49" t="n">
        <v>3</v>
      </c>
      <c r="E149" s="38" t="inlineStr">
        <is>
          <t>Critical work has a capable backup or workable alternative, with accessible instructions that have been tested.</t>
        </is>
      </c>
      <c r="F149" s="38" t="inlineStr">
        <is>
          <t>Established practice reported, not independently verified</t>
        </is>
      </c>
      <c r="G149" s="38" t="inlineStr">
        <is>
          <t>Outcome LND03_3 supplies provisional risk, priority, reasons and actions. Apply contextual escalation separately.</t>
        </is>
      </c>
      <c r="H149" s="38" t="inlineStr">
        <is>
          <t>Confirmed exclusion only; DK retains the eligible denominator.</t>
        </is>
      </c>
      <c r="I149" s="38" t="inlineStr">
        <is>
          <t>Choose this only when the whole statement describes routine practice and you can point to a recent example or a tested readiness process. One successful exception is not enough.</t>
        </is>
      </c>
      <c r="J149" s="38" t="inlineStr">
        <is>
          <t>A tested cover arrangement for priority tasks, including secure access and authorisations.</t>
        </is>
      </c>
      <c r="K149" s="38" t="inlineStr">
        <is>
          <t>LND03_3</t>
        </is>
      </c>
    </row>
    <row r="150" ht="61" customHeight="1">
      <c r="A150" s="37" t="inlineStr">
        <is>
          <t>LND03</t>
        </is>
      </c>
      <c r="B150" s="37" t="inlineStr">
        <is>
          <t>LND03_DK</t>
        </is>
      </c>
      <c r="C150" s="37" t="inlineStr">
        <is>
          <t>DK</t>
        </is>
      </c>
      <c r="D150" s="48" t="n">
        <v>0</v>
      </c>
      <c r="E150" s="37" t="inlineStr">
        <is>
          <t>I need to confirm this.</t>
        </is>
      </c>
      <c r="F150" s="37" t="inlineStr">
        <is>
          <t>Unverified, not an established failure</t>
        </is>
      </c>
      <c r="G150" s="37" t="inlineStr">
        <is>
          <t>Outcome LND03_DK supplies provisional risk, priority, reasons and actions. Apply contextual escalation separately.</t>
        </is>
      </c>
      <c r="H150" s="37" t="inlineStr">
        <is>
          <t>Confirmed exclusion only; DK retains the eligible denominator.</t>
        </is>
      </c>
      <c r="I150" s="37" t="inlineStr">
        <is>
          <t>Choose this rather than guessing when you cannot confirm the practice or its consistency. You can save the assessment and ask the responsible person.</t>
        </is>
      </c>
      <c r="J150" s="37" t="inlineStr">
        <is>
          <t>A tested cover arrangement for priority tasks, including secure access and authorisations.</t>
        </is>
      </c>
      <c r="K150" s="37" t="inlineStr">
        <is>
          <t>LND03_DK</t>
        </is>
      </c>
    </row>
    <row r="151" ht="61" customHeight="1">
      <c r="A151" s="38" t="inlineStr">
        <is>
          <t>CUL01</t>
        </is>
      </c>
      <c r="B151" s="38" t="inlineStr">
        <is>
          <t>CUL01_0</t>
        </is>
      </c>
      <c r="C151" s="49" t="n">
        <v>0</v>
      </c>
      <c r="D151" s="49" t="n">
        <v>0</v>
      </c>
      <c r="E151" s="38" t="inlineStr">
        <is>
          <t>We do not regularly seek employee input.</t>
        </is>
      </c>
      <c r="F151" s="38" t="inlineStr">
        <is>
          <t>Practice absent or not established as described</t>
        </is>
      </c>
      <c r="G151" s="38" t="inlineStr">
        <is>
          <t>Outcome CUL01_0 supplies provisional risk, priority, reasons and actions. Apply contextual escalation separately.</t>
        </is>
      </c>
      <c r="H151" s="38" t="inlineStr">
        <is>
          <t>Confirmed exclusion only; DK retains the eligible denominator.</t>
        </is>
      </c>
      <c r="I151" s="38" t="inlineStr">
        <is>
          <t>Choose this when the statement describes the current position. Reporting a gap helps prioritise support; it is not an admission that a legal breach has occurred.</t>
        </is>
      </c>
      <c r="J151" s="38" t="inlineStr">
        <is>
          <t>Feedback has been considered, the business has communicated its response and the agreed priority action has been implemented and checked with employees. A survey or summary alone does not close the action.</t>
        </is>
      </c>
      <c r="K151" s="38" t="inlineStr">
        <is>
          <t>CUL01_0</t>
        </is>
      </c>
    </row>
    <row r="152" ht="61" customHeight="1">
      <c r="A152" s="37" t="inlineStr">
        <is>
          <t>CUL01</t>
        </is>
      </c>
      <c r="B152" s="37" t="inlineStr">
        <is>
          <t>CUL01_1</t>
        </is>
      </c>
      <c r="C152" s="48" t="n">
        <v>1</v>
      </c>
      <c r="D152" s="48" t="n">
        <v>1</v>
      </c>
      <c r="E152" s="37" t="inlineStr">
        <is>
          <t>We rely on informal comments or assume silence means things are going well.</t>
        </is>
      </c>
      <c r="F152" s="37" t="inlineStr">
        <is>
          <t>Assumption-dependent or inconsistent practice</t>
        </is>
      </c>
      <c r="G152" s="37" t="inlineStr">
        <is>
          <t>Outcome CUL01_1 supplies provisional risk, priority, reasons and actions. Apply contextual escalation separately.</t>
        </is>
      </c>
      <c r="H152" s="37" t="inlineStr">
        <is>
          <t>Confirmed exclusion only; DK retains the eligible denominator.</t>
        </is>
      </c>
      <c r="I152" s="37" t="inlineStr">
        <is>
          <t>Choose this when the process depends on assumptions, personal knowledge or ad hoc handling rather than a dependable check.</t>
        </is>
      </c>
      <c r="J152" s="37" t="inlineStr">
        <is>
          <t>Feedback has been considered, the business has communicated its response and the agreed priority action has been implemented and checked with employees. A survey or summary alone does not close the action.</t>
        </is>
      </c>
      <c r="K152" s="37" t="inlineStr">
        <is>
          <t>CUL01_1</t>
        </is>
      </c>
    </row>
    <row r="153" ht="61" customHeight="1">
      <c r="A153" s="38" t="inlineStr">
        <is>
          <t>CUL01</t>
        </is>
      </c>
      <c r="B153" s="38" t="inlineStr">
        <is>
          <t>CUL01_2</t>
        </is>
      </c>
      <c r="C153" s="49" t="n">
        <v>2</v>
      </c>
      <c r="D153" s="49" t="n">
        <v>2</v>
      </c>
      <c r="E153" s="38" t="inlineStr">
        <is>
          <t>We seek feedback, but do not consistently act on it or explain the response.</t>
        </is>
      </c>
      <c r="F153" s="38" t="inlineStr">
        <is>
          <t>Partly established; residual gap remains</t>
        </is>
      </c>
      <c r="G153" s="38" t="inlineStr">
        <is>
          <t>Outcome CUL01_2 supplies provisional risk, priority, reasons and actions. Apply contextual escalation separately.</t>
        </is>
      </c>
      <c r="H153" s="38" t="inlineStr">
        <is>
          <t>Confirmed exclusion only; DK retains the eligible denominator.</t>
        </is>
      </c>
      <c r="I153" s="38" t="inlineStr">
        <is>
          <t>Choose this when important parts exist but at least one part of the statement remains unresolved. The report should target that gap, not require a full rebuild.</t>
        </is>
      </c>
      <c r="J153" s="38" t="inlineStr">
        <is>
          <t>Feedback has been considered, the business has communicated its response and the agreed priority action has been implemented and checked with employees. A survey or summary alone does not close the action.</t>
        </is>
      </c>
      <c r="K153" s="38" t="inlineStr">
        <is>
          <t>CUL01_2</t>
        </is>
      </c>
    </row>
    <row r="154" ht="61" customHeight="1">
      <c r="A154" s="37" t="inlineStr">
        <is>
          <t>CUL01</t>
        </is>
      </c>
      <c r="B154" s="37" t="inlineStr">
        <is>
          <t>CUL01_3</t>
        </is>
      </c>
      <c r="C154" s="48" t="n">
        <v>3</v>
      </c>
      <c r="D154" s="48" t="n">
        <v>3</v>
      </c>
      <c r="E154" s="37" t="inlineStr">
        <is>
          <t>We use a credible way to hear employees, identify themes, act on priorities and explain what will and will not change.</t>
        </is>
      </c>
      <c r="F154" s="37" t="inlineStr">
        <is>
          <t>Established practice reported, not independently verified</t>
        </is>
      </c>
      <c r="G154" s="37" t="inlineStr">
        <is>
          <t>Outcome CUL01_3 supplies provisional risk, priority, reasons and actions. Apply contextual escalation separately.</t>
        </is>
      </c>
      <c r="H154" s="37" t="inlineStr">
        <is>
          <t>Confirmed exclusion only; DK retains the eligible denominator.</t>
        </is>
      </c>
      <c r="I154" s="37" t="inlineStr">
        <is>
          <t>Choose this only when the whole statement describes routine practice and you can point to a recent example or a tested readiness process. One successful exception is not enough.</t>
        </is>
      </c>
      <c r="J154" s="37" t="inlineStr">
        <is>
          <t>Feedback has been considered, the business has communicated its response and the agreed priority action has been implemented and checked with employees. A survey or summary alone does not close the action.</t>
        </is>
      </c>
      <c r="K154" s="37" t="inlineStr">
        <is>
          <t>CUL01_3</t>
        </is>
      </c>
    </row>
    <row r="155" ht="61" customHeight="1">
      <c r="A155" s="38" t="inlineStr">
        <is>
          <t>CUL01</t>
        </is>
      </c>
      <c r="B155" s="38" t="inlineStr">
        <is>
          <t>CUL01_DK</t>
        </is>
      </c>
      <c r="C155" s="38" t="inlineStr">
        <is>
          <t>DK</t>
        </is>
      </c>
      <c r="D155" s="49" t="n">
        <v>0</v>
      </c>
      <c r="E155" s="38" t="inlineStr">
        <is>
          <t>I need to confirm this.</t>
        </is>
      </c>
      <c r="F155" s="38" t="inlineStr">
        <is>
          <t>Unverified, not an established failure</t>
        </is>
      </c>
      <c r="G155" s="38" t="inlineStr">
        <is>
          <t>Outcome CUL01_DK supplies provisional risk, priority, reasons and actions. Apply contextual escalation separately.</t>
        </is>
      </c>
      <c r="H155" s="38" t="inlineStr">
        <is>
          <t>Confirmed exclusion only; DK retains the eligible denominator.</t>
        </is>
      </c>
      <c r="I155" s="38" t="inlineStr">
        <is>
          <t>Choose this rather than guessing when you cannot confirm the practice or its consistency. You can save the assessment and ask the responsible person.</t>
        </is>
      </c>
      <c r="J155" s="38" t="inlineStr">
        <is>
          <t>Feedback has been considered, the business has communicated its response and the agreed priority action has been implemented and checked with employees. A survey or summary alone does not close the action.</t>
        </is>
      </c>
      <c r="K155" s="38" t="inlineStr">
        <is>
          <t>CUL01_DK</t>
        </is>
      </c>
    </row>
    <row r="156" ht="61" customHeight="1">
      <c r="A156" s="37" t="inlineStr">
        <is>
          <t>CUL02</t>
        </is>
      </c>
      <c r="B156" s="37" t="inlineStr">
        <is>
          <t>CUL02_0</t>
        </is>
      </c>
      <c r="C156" s="48" t="n">
        <v>0</v>
      </c>
      <c r="D156" s="48" t="n">
        <v>0</v>
      </c>
      <c r="E156" s="37" t="inlineStr">
        <is>
          <t>We rarely review retention concerns or the reasons people leave.</t>
        </is>
      </c>
      <c r="F156" s="37" t="inlineStr">
        <is>
          <t>Practice absent or not established as described</t>
        </is>
      </c>
      <c r="G156" s="37" t="inlineStr">
        <is>
          <t>Outcome CUL02_0 supplies provisional risk, priority, reasons and actions. Apply contextual escalation separately.</t>
        </is>
      </c>
      <c r="H156" s="37" t="inlineStr">
        <is>
          <t>Confirmed exclusion only; DK retains the eligible denominator.</t>
        </is>
      </c>
      <c r="I156" s="37" t="inlineStr">
        <is>
          <t>Choose this when the statement describes the current position. Reporting a gap helps prioritise support; it is not an admission that a legal breach has occurred.</t>
        </is>
      </c>
      <c r="J156" s="37" t="inlineStr">
        <is>
          <t>The business has tested the main retention concerns, implemented targeted actions and reviewed subsequent feedback and departures. Do not claim a causal reduction in turnover from a short observation period.</t>
        </is>
      </c>
      <c r="K156" s="37" t="inlineStr">
        <is>
          <t>CUL02_0</t>
        </is>
      </c>
    </row>
    <row r="157" ht="61" customHeight="1">
      <c r="A157" s="38" t="inlineStr">
        <is>
          <t>CUL02</t>
        </is>
      </c>
      <c r="B157" s="38" t="inlineStr">
        <is>
          <t>CUL02_1</t>
        </is>
      </c>
      <c r="C157" s="49" t="n">
        <v>1</v>
      </c>
      <c r="D157" s="49" t="n">
        <v>1</v>
      </c>
      <c r="E157" s="38" t="inlineStr">
        <is>
          <t>We mainly rely on assumptions or wait for a resignation before asking.</t>
        </is>
      </c>
      <c r="F157" s="38" t="inlineStr">
        <is>
          <t>Assumption-dependent or inconsistent practice</t>
        </is>
      </c>
      <c r="G157" s="38" t="inlineStr">
        <is>
          <t>Outcome CUL02_1 supplies provisional risk, priority, reasons and actions. Apply contextual escalation separately.</t>
        </is>
      </c>
      <c r="H157" s="38" t="inlineStr">
        <is>
          <t>Confirmed exclusion only; DK retains the eligible denominator.</t>
        </is>
      </c>
      <c r="I157" s="38" t="inlineStr">
        <is>
          <t>Choose this when the process depends on assumptions, personal knowledge or ad hoc handling rather than a dependable check.</t>
        </is>
      </c>
      <c r="J157" s="38" t="inlineStr">
        <is>
          <t>The business has tested the main retention concerns, implemented targeted actions and reviewed subsequent feedback and departures. Do not claim a causal reduction in turnover from a short observation period.</t>
        </is>
      </c>
      <c r="K157" s="38" t="inlineStr">
        <is>
          <t>CUL02_1</t>
        </is>
      </c>
    </row>
    <row r="158" ht="61" customHeight="1">
      <c r="A158" s="37" t="inlineStr">
        <is>
          <t>CUL02</t>
        </is>
      </c>
      <c r="B158" s="37" t="inlineStr">
        <is>
          <t>CUL02_2</t>
        </is>
      </c>
      <c r="C158" s="48" t="n">
        <v>2</v>
      </c>
      <c r="D158" s="48" t="n">
        <v>2</v>
      </c>
      <c r="E158" s="37" t="inlineStr">
        <is>
          <t>We collect some feedback, but do not consistently test themes or act on them.</t>
        </is>
      </c>
      <c r="F158" s="37" t="inlineStr">
        <is>
          <t>Partly established; residual gap remains</t>
        </is>
      </c>
      <c r="G158" s="37" t="inlineStr">
        <is>
          <t>Outcome CUL02_2 supplies provisional risk, priority, reasons and actions. Apply contextual escalation separately.</t>
        </is>
      </c>
      <c r="H158" s="37" t="inlineStr">
        <is>
          <t>Confirmed exclusion only; DK retains the eligible denominator.</t>
        </is>
      </c>
      <c r="I158" s="37" t="inlineStr">
        <is>
          <t>Choose this when important parts exist but at least one part of the statement remains unresolved. The report should target that gap, not require a full rebuild.</t>
        </is>
      </c>
      <c r="J158" s="37" t="inlineStr">
        <is>
          <t>The business has tested the main retention concerns, implemented targeted actions and reviewed subsequent feedback and departures. Do not claim a causal reduction in turnover from a short observation period.</t>
        </is>
      </c>
      <c r="K158" s="37" t="inlineStr">
        <is>
          <t>CUL02_2</t>
        </is>
      </c>
    </row>
    <row r="159" ht="61" customHeight="1">
      <c r="A159" s="38" t="inlineStr">
        <is>
          <t>CUL02</t>
        </is>
      </c>
      <c r="B159" s="38" t="inlineStr">
        <is>
          <t>CUL02_3</t>
        </is>
      </c>
      <c r="C159" s="49" t="n">
        <v>3</v>
      </c>
      <c r="D159" s="49" t="n">
        <v>3</v>
      </c>
      <c r="E159" s="38" t="inlineStr">
        <is>
          <t>We review retention concerns and any departures in context, check the likely causes and take targeted action.</t>
        </is>
      </c>
      <c r="F159" s="38" t="inlineStr">
        <is>
          <t>Established practice reported, not independently verified</t>
        </is>
      </c>
      <c r="G159" s="38" t="inlineStr">
        <is>
          <t>Outcome CUL02_3 supplies provisional risk, priority, reasons and actions. Apply contextual escalation separately.</t>
        </is>
      </c>
      <c r="H159" s="38" t="inlineStr">
        <is>
          <t>Confirmed exclusion only; DK retains the eligible denominator.</t>
        </is>
      </c>
      <c r="I159" s="38" t="inlineStr">
        <is>
          <t>Choose this only when the whole statement describes routine practice and you can point to a recent example or a tested readiness process. One successful exception is not enough.</t>
        </is>
      </c>
      <c r="J159" s="38" t="inlineStr">
        <is>
          <t>The business has tested the main retention concerns, implemented targeted actions and reviewed subsequent feedback and departures. Do not claim a causal reduction in turnover from a short observation period.</t>
        </is>
      </c>
      <c r="K159" s="38" t="inlineStr">
        <is>
          <t>CUL02_3</t>
        </is>
      </c>
    </row>
    <row r="160" ht="61" customHeight="1">
      <c r="A160" s="37" t="inlineStr">
        <is>
          <t>CUL02</t>
        </is>
      </c>
      <c r="B160" s="37" t="inlineStr">
        <is>
          <t>CUL02_DK</t>
        </is>
      </c>
      <c r="C160" s="37" t="inlineStr">
        <is>
          <t>DK</t>
        </is>
      </c>
      <c r="D160" s="48" t="n">
        <v>0</v>
      </c>
      <c r="E160" s="37" t="inlineStr">
        <is>
          <t>I need to confirm this.</t>
        </is>
      </c>
      <c r="F160" s="37" t="inlineStr">
        <is>
          <t>Unverified, not an established failure</t>
        </is>
      </c>
      <c r="G160" s="37" t="inlineStr">
        <is>
          <t>Outcome CUL02_DK supplies provisional risk, priority, reasons and actions. Apply contextual escalation separately.</t>
        </is>
      </c>
      <c r="H160" s="37" t="inlineStr">
        <is>
          <t>Confirmed exclusion only; DK retains the eligible denominator.</t>
        </is>
      </c>
      <c r="I160" s="37" t="inlineStr">
        <is>
          <t>Choose this rather than guessing when you cannot confirm the practice or its consistency. You can save the assessment and ask the responsible person.</t>
        </is>
      </c>
      <c r="J160" s="37" t="inlineStr">
        <is>
          <t>The business has tested the main retention concerns, implemented targeted actions and reviewed subsequent feedback and departures. Do not claim a causal reduction in turnover from a short observation period.</t>
        </is>
      </c>
      <c r="K160" s="37" t="inlineStr">
        <is>
          <t>CUL02_DK</t>
        </is>
      </c>
    </row>
    <row r="161" ht="61" customHeight="1">
      <c r="A161" s="38" t="inlineStr">
        <is>
          <t>CUL03</t>
        </is>
      </c>
      <c r="B161" s="38" t="inlineStr">
        <is>
          <t>CUL03_0</t>
        </is>
      </c>
      <c r="C161" s="49" t="n">
        <v>0</v>
      </c>
      <c r="D161" s="49" t="n">
        <v>0</v>
      </c>
      <c r="E161" s="38" t="inlineStr">
        <is>
          <t>Recognition and opportunities are inconsistent or largely absent.</t>
        </is>
      </c>
      <c r="F161" s="38" t="inlineStr">
        <is>
          <t>Practice absent or not established as described</t>
        </is>
      </c>
      <c r="G161" s="38" t="inlineStr">
        <is>
          <t>Outcome CUL03_0 supplies provisional risk, priority, reasons and actions. Apply contextual escalation separately.</t>
        </is>
      </c>
      <c r="H161" s="38" t="inlineStr">
        <is>
          <t>Confirmed exclusion only; DK retains the eligible denominator.</t>
        </is>
      </c>
      <c r="I161" s="38" t="inlineStr">
        <is>
          <t>Choose this when the statement describes the current position. Reporting a gap helps prioritise support; it is not an admission that a legal breach has occurred.</t>
        </is>
      </c>
      <c r="J161" s="38" t="inlineStr">
        <is>
          <t>Recognition and development decisions have been checked for consistency and access, identified barriers have been addressed, and a later example shows the revised approach in use.</t>
        </is>
      </c>
      <c r="K161" s="38" t="inlineStr">
        <is>
          <t>CUL03_0</t>
        </is>
      </c>
    </row>
    <row r="162" ht="61" customHeight="1">
      <c r="A162" s="37" t="inlineStr">
        <is>
          <t>CUL03</t>
        </is>
      </c>
      <c r="B162" s="37" t="inlineStr">
        <is>
          <t>CUL03_1</t>
        </is>
      </c>
      <c r="C162" s="48" t="n">
        <v>1</v>
      </c>
      <c r="D162" s="48" t="n">
        <v>1</v>
      </c>
      <c r="E162" s="37" t="inlineStr">
        <is>
          <t>Recognition depends on personal relationships or who is most visible.</t>
        </is>
      </c>
      <c r="F162" s="37" t="inlineStr">
        <is>
          <t>Assumption-dependent or inconsistent practice</t>
        </is>
      </c>
      <c r="G162" s="37" t="inlineStr">
        <is>
          <t>Outcome CUL03_1 supplies provisional risk, priority, reasons and actions. Apply contextual escalation separately.</t>
        </is>
      </c>
      <c r="H162" s="37" t="inlineStr">
        <is>
          <t>Confirmed exclusion only; DK retains the eligible denominator.</t>
        </is>
      </c>
      <c r="I162" s="37" t="inlineStr">
        <is>
          <t>Choose this when the process depends on assumptions, personal knowledge or ad hoc handling rather than a dependable check.</t>
        </is>
      </c>
      <c r="J162" s="37" t="inlineStr">
        <is>
          <t>Recognition and development decisions have been checked for consistency and access, identified barriers have been addressed, and a later example shows the revised approach in use.</t>
        </is>
      </c>
      <c r="K162" s="37" t="inlineStr">
        <is>
          <t>CUL03_1</t>
        </is>
      </c>
    </row>
    <row r="163" ht="61" customHeight="1">
      <c r="A163" s="38" t="inlineStr">
        <is>
          <t>CUL03</t>
        </is>
      </c>
      <c r="B163" s="38" t="inlineStr">
        <is>
          <t>CUL03_2</t>
        </is>
      </c>
      <c r="C163" s="49" t="n">
        <v>2</v>
      </c>
      <c r="D163" s="49" t="n">
        <v>2</v>
      </c>
      <c r="E163" s="38" t="inlineStr">
        <is>
          <t>We recognise contribution, but fairness across roles, locations or work patterns needs checking.</t>
        </is>
      </c>
      <c r="F163" s="38" t="inlineStr">
        <is>
          <t>Partly established; residual gap remains</t>
        </is>
      </c>
      <c r="G163" s="38" t="inlineStr">
        <is>
          <t>Outcome CUL03_2 supplies provisional risk, priority, reasons and actions. Apply contextual escalation separately.</t>
        </is>
      </c>
      <c r="H163" s="38" t="inlineStr">
        <is>
          <t>Confirmed exclusion only; DK retains the eligible denominator.</t>
        </is>
      </c>
      <c r="I163" s="38" t="inlineStr">
        <is>
          <t>Choose this when important parts exist but at least one part of the statement remains unresolved. The report should target that gap, not require a full rebuild.</t>
        </is>
      </c>
      <c r="J163" s="38" t="inlineStr">
        <is>
          <t>Recognition and development decisions have been checked for consistency and access, identified barriers have been addressed, and a later example shows the revised approach in use.</t>
        </is>
      </c>
      <c r="K163" s="38" t="inlineStr">
        <is>
          <t>CUL03_2</t>
        </is>
      </c>
    </row>
    <row r="164" ht="61" customHeight="1">
      <c r="A164" s="37" t="inlineStr">
        <is>
          <t>CUL03</t>
        </is>
      </c>
      <c r="B164" s="37" t="inlineStr">
        <is>
          <t>CUL03_3</t>
        </is>
      </c>
      <c r="C164" s="48" t="n">
        <v>3</v>
      </c>
      <c r="D164" s="48" t="n">
        <v>3</v>
      </c>
      <c r="E164" s="37" t="inlineStr">
        <is>
          <t>We recognise specific contribution and use explainable criteria for opportunities, with checks for overlooked groups or individuals.</t>
        </is>
      </c>
      <c r="F164" s="37" t="inlineStr">
        <is>
          <t>Established practice reported, not independently verified</t>
        </is>
      </c>
      <c r="G164" s="37" t="inlineStr">
        <is>
          <t>Outcome CUL03_3 supplies provisional risk, priority, reasons and actions. Apply contextual escalation separately.</t>
        </is>
      </c>
      <c r="H164" s="37" t="inlineStr">
        <is>
          <t>Confirmed exclusion only; DK retains the eligible denominator.</t>
        </is>
      </c>
      <c r="I164" s="37" t="inlineStr">
        <is>
          <t>Choose this only when the whole statement describes routine practice and you can point to a recent example or a tested readiness process. One successful exception is not enough.</t>
        </is>
      </c>
      <c r="J164" s="37" t="inlineStr">
        <is>
          <t>Recognition and development decisions have been checked for consistency and access, identified barriers have been addressed, and a later example shows the revised approach in use.</t>
        </is>
      </c>
      <c r="K164" s="37" t="inlineStr">
        <is>
          <t>CUL03_3</t>
        </is>
      </c>
    </row>
    <row r="165" ht="61" customHeight="1">
      <c r="A165" s="38" t="inlineStr">
        <is>
          <t>CUL03</t>
        </is>
      </c>
      <c r="B165" s="38" t="inlineStr">
        <is>
          <t>CUL03_DK</t>
        </is>
      </c>
      <c r="C165" s="38" t="inlineStr">
        <is>
          <t>DK</t>
        </is>
      </c>
      <c r="D165" s="49" t="n">
        <v>0</v>
      </c>
      <c r="E165" s="38" t="inlineStr">
        <is>
          <t>I need to confirm this.</t>
        </is>
      </c>
      <c r="F165" s="38" t="inlineStr">
        <is>
          <t>Unverified, not an established failure</t>
        </is>
      </c>
      <c r="G165" s="38" t="inlineStr">
        <is>
          <t>Outcome CUL03_DK supplies provisional risk, priority, reasons and actions. Apply contextual escalation separately.</t>
        </is>
      </c>
      <c r="H165" s="38" t="inlineStr">
        <is>
          <t>Confirmed exclusion only; DK retains the eligible denominator.</t>
        </is>
      </c>
      <c r="I165" s="38" t="inlineStr">
        <is>
          <t>Choose this rather than guessing when you cannot confirm the practice or its consistency. You can save the assessment and ask the responsible person.</t>
        </is>
      </c>
      <c r="J165" s="38" t="inlineStr">
        <is>
          <t>Recognition and development decisions have been checked for consistency and access, identified barriers have been addressed, and a later example shows the revised approach in use.</t>
        </is>
      </c>
      <c r="K165" s="38" t="inlineStr">
        <is>
          <t>CUL03_DK</t>
        </is>
      </c>
    </row>
    <row r="166" ht="61" customHeight="1">
      <c r="A166" s="37" t="inlineStr">
        <is>
          <t>CUL04</t>
        </is>
      </c>
      <c r="B166" s="37" t="inlineStr">
        <is>
          <t>CUL04_0</t>
        </is>
      </c>
      <c r="C166" s="48" t="n">
        <v>0</v>
      </c>
      <c r="D166" s="48" t="n">
        <v>0</v>
      </c>
      <c r="E166" s="37" t="inlineStr">
        <is>
          <t>People management expectations are not clear or reviewed.</t>
        </is>
      </c>
      <c r="F166" s="37" t="inlineStr">
        <is>
          <t>Practice absent or not established as described</t>
        </is>
      </c>
      <c r="G166" s="37" t="inlineStr">
        <is>
          <t>Outcome CUL04_0 supplies provisional risk, priority, reasons and actions. Apply contextual escalation separately.</t>
        </is>
      </c>
      <c r="H166" s="37" t="inlineStr">
        <is>
          <t>Confirmed exclusion only; DK retains the eligible denominator.</t>
        </is>
      </c>
      <c r="I166" s="37" t="inlineStr">
        <is>
          <t>Choose this when the statement describes the current position. Reporting a gap helps prioritise support; it is not an admission that a legal breach has occurred.</t>
        </is>
      </c>
      <c r="J166" s="37" t="inlineStr">
        <is>
          <t>People-leadership expectations and support are clear, and a sample of real decisions demonstrates their use. Inconsistent behaviour is addressed and followed up, not simply recorded in a leadership document.</t>
        </is>
      </c>
      <c r="K166" s="37" t="inlineStr">
        <is>
          <t>CUL04_0</t>
        </is>
      </c>
    </row>
    <row r="167" ht="61" customHeight="1">
      <c r="A167" s="38" t="inlineStr">
        <is>
          <t>CUL04</t>
        </is>
      </c>
      <c r="B167" s="38" t="inlineStr">
        <is>
          <t>CUL04_1</t>
        </is>
      </c>
      <c r="C167" s="49" t="n">
        <v>1</v>
      </c>
      <c r="D167" s="49" t="n">
        <v>1</v>
      </c>
      <c r="E167" s="38" t="inlineStr">
        <is>
          <t>Leaders are judged mainly on operational results, even when people concerns arise.</t>
        </is>
      </c>
      <c r="F167" s="38" t="inlineStr">
        <is>
          <t>Assumption-dependent or inconsistent practice</t>
        </is>
      </c>
      <c r="G167" s="38" t="inlineStr">
        <is>
          <t>Outcome CUL04_1 supplies provisional risk, priority, reasons and actions. Apply contextual escalation separately.</t>
        </is>
      </c>
      <c r="H167" s="38" t="inlineStr">
        <is>
          <t>Confirmed exclusion only; DK retains the eligible denominator.</t>
        </is>
      </c>
      <c r="I167" s="38" t="inlineStr">
        <is>
          <t>Choose this when the process depends on assumptions, personal knowledge or ad hoc handling rather than a dependable check.</t>
        </is>
      </c>
      <c r="J167" s="38" t="inlineStr">
        <is>
          <t>People-leadership expectations and support are clear, and a sample of real decisions demonstrates their use. Inconsistent behaviour is addressed and followed up, not simply recorded in a leadership document.</t>
        </is>
      </c>
      <c r="K167" s="38" t="inlineStr">
        <is>
          <t>CUL04_1</t>
        </is>
      </c>
    </row>
    <row r="168" ht="61" customHeight="1">
      <c r="A168" s="37" t="inlineStr">
        <is>
          <t>CUL04</t>
        </is>
      </c>
      <c r="B168" s="37" t="inlineStr">
        <is>
          <t>CUL04_2</t>
        </is>
      </c>
      <c r="C168" s="48" t="n">
        <v>2</v>
      </c>
      <c r="D168" s="48" t="n">
        <v>2</v>
      </c>
      <c r="E168" s="37" t="inlineStr">
        <is>
          <t>Expectations exist, but support or accountability varies between leaders.</t>
        </is>
      </c>
      <c r="F168" s="37" t="inlineStr">
        <is>
          <t>Partly established; residual gap remains</t>
        </is>
      </c>
      <c r="G168" s="37" t="inlineStr">
        <is>
          <t>Outcome CUL04_2 supplies provisional risk, priority, reasons and actions. Apply contextual escalation separately.</t>
        </is>
      </c>
      <c r="H168" s="37" t="inlineStr">
        <is>
          <t>Confirmed exclusion only; DK retains the eligible denominator.</t>
        </is>
      </c>
      <c r="I168" s="37" t="inlineStr">
        <is>
          <t>Choose this when important parts exist but at least one part of the statement remains unresolved. The report should target that gap, not require a full rebuild.</t>
        </is>
      </c>
      <c r="J168" s="37" t="inlineStr">
        <is>
          <t>People-leadership expectations and support are clear, and a sample of real decisions demonstrates their use. Inconsistent behaviour is addressed and followed up, not simply recorded in a leadership document.</t>
        </is>
      </c>
      <c r="K168" s="37" t="inlineStr">
        <is>
          <t>CUL04_2</t>
        </is>
      </c>
    </row>
    <row r="169" ht="61" customHeight="1">
      <c r="A169" s="38" t="inlineStr">
        <is>
          <t>CUL04</t>
        </is>
      </c>
      <c r="B169" s="38" t="inlineStr">
        <is>
          <t>CUL04_3</t>
        </is>
      </c>
      <c r="C169" s="49" t="n">
        <v>3</v>
      </c>
      <c r="D169" s="49" t="n">
        <v>3</v>
      </c>
      <c r="E169" s="38" t="inlineStr">
        <is>
          <t>Leaders have clear people management expectations, practical support and regular review of how they apply them.</t>
        </is>
      </c>
      <c r="F169" s="38" t="inlineStr">
        <is>
          <t>Established practice reported, not independently verified</t>
        </is>
      </c>
      <c r="G169" s="38" t="inlineStr">
        <is>
          <t>Outcome CUL04_3 supplies provisional risk, priority, reasons and actions. Apply contextual escalation separately.</t>
        </is>
      </c>
      <c r="H169" s="38" t="inlineStr">
        <is>
          <t>Confirmed exclusion only; DK retains the eligible denominator.</t>
        </is>
      </c>
      <c r="I169" s="38" t="inlineStr">
        <is>
          <t>Choose this only when the whole statement describes routine practice and you can point to a recent example or a tested readiness process. One successful exception is not enough.</t>
        </is>
      </c>
      <c r="J169" s="38" t="inlineStr">
        <is>
          <t>People-leadership expectations and support are clear, and a sample of real decisions demonstrates their use. Inconsistent behaviour is addressed and followed up, not simply recorded in a leadership document.</t>
        </is>
      </c>
      <c r="K169" s="38" t="inlineStr">
        <is>
          <t>CUL04_3</t>
        </is>
      </c>
    </row>
    <row r="170" ht="61" customHeight="1">
      <c r="A170" s="37" t="inlineStr">
        <is>
          <t>CUL04</t>
        </is>
      </c>
      <c r="B170" s="37" t="inlineStr">
        <is>
          <t>CUL04_DK</t>
        </is>
      </c>
      <c r="C170" s="37" t="inlineStr">
        <is>
          <t>DK</t>
        </is>
      </c>
      <c r="D170" s="48" t="n">
        <v>0</v>
      </c>
      <c r="E170" s="37" t="inlineStr">
        <is>
          <t>I need to confirm this.</t>
        </is>
      </c>
      <c r="F170" s="37" t="inlineStr">
        <is>
          <t>Unverified, not an established failure</t>
        </is>
      </c>
      <c r="G170" s="37" t="inlineStr">
        <is>
          <t>Outcome CUL04_DK supplies provisional risk, priority, reasons and actions. Apply contextual escalation separately.</t>
        </is>
      </c>
      <c r="H170" s="37" t="inlineStr">
        <is>
          <t>Confirmed exclusion only; DK retains the eligible denominator.</t>
        </is>
      </c>
      <c r="I170" s="37" t="inlineStr">
        <is>
          <t>Choose this rather than guessing when you cannot confirm the practice or its consistency. You can save the assessment and ask the responsible person.</t>
        </is>
      </c>
      <c r="J170" s="37" t="inlineStr">
        <is>
          <t>People-leadership expectations and support are clear, and a sample of real decisions demonstrates their use. Inconsistent behaviour is addressed and followed up, not simply recorded in a leadership document.</t>
        </is>
      </c>
      <c r="K170" s="37" t="inlineStr">
        <is>
          <t>CUL04_DK</t>
        </is>
      </c>
    </row>
    <row r="171" ht="61" customHeight="1">
      <c r="A171" s="38" t="inlineStr">
        <is>
          <t>DAT01</t>
        </is>
      </c>
      <c r="B171" s="38" t="inlineStr">
        <is>
          <t>DAT01_0</t>
        </is>
      </c>
      <c r="C171" s="49" t="n">
        <v>0</v>
      </c>
      <c r="D171" s="49" t="n">
        <v>0</v>
      </c>
      <c r="E171" s="38" t="inlineStr">
        <is>
          <t>Records are missing or would not support a reliable reconstruction.</t>
        </is>
      </c>
      <c r="F171" s="38" t="inlineStr">
        <is>
          <t>Practice absent or not established as described</t>
        </is>
      </c>
      <c r="G171" s="38" t="inlineStr">
        <is>
          <t>Outcome DAT01_0 supplies provisional risk, priority, reasons and actions. Apply contextual escalation separately.</t>
        </is>
      </c>
      <c r="H171" s="38" t="inlineStr">
        <is>
          <t>Confirmed exclusion only; DK retains the eligible denominator.</t>
        </is>
      </c>
      <c r="I171" s="38" t="inlineStr">
        <is>
          <t>Choose this when the statement describes the current position. Reporting a gap helps prioritise support; it is not an admission that a legal breach has occurred.</t>
        </is>
      </c>
      <c r="J171" s="38" t="inlineStr">
        <is>
          <t>A reproducible pay trail, retention rules and records of corrections rather than unexplained changes.</t>
        </is>
      </c>
      <c r="K171" s="38" t="inlineStr">
        <is>
          <t>DAT01_0</t>
        </is>
      </c>
    </row>
    <row r="172" ht="61" customHeight="1">
      <c r="A172" s="37" t="inlineStr">
        <is>
          <t>DAT01</t>
        </is>
      </c>
      <c r="B172" s="37" t="inlineStr">
        <is>
          <t>DAT01_1</t>
        </is>
      </c>
      <c r="C172" s="48" t="n">
        <v>1</v>
      </c>
      <c r="D172" s="48" t="n">
        <v>1</v>
      </c>
      <c r="E172" s="37" t="inlineStr">
        <is>
          <t>We rely on rosters, memory or incomplete records.</t>
        </is>
      </c>
      <c r="F172" s="37" t="inlineStr">
        <is>
          <t>Assumption-dependent or inconsistent practice</t>
        </is>
      </c>
      <c r="G172" s="37" t="inlineStr">
        <is>
          <t>Outcome DAT01_1 supplies provisional risk, priority, reasons and actions. Apply contextual escalation separately.</t>
        </is>
      </c>
      <c r="H172" s="37" t="inlineStr">
        <is>
          <t>Confirmed exclusion only; DK retains the eligible denominator.</t>
        </is>
      </c>
      <c r="I172" s="37" t="inlineStr">
        <is>
          <t>Choose this when the process depends on assumptions, personal knowledge or ad hoc handling rather than a dependable check.</t>
        </is>
      </c>
      <c r="J172" s="37" t="inlineStr">
        <is>
          <t>A reproducible pay trail, retention rules and records of corrections rather than unexplained changes.</t>
        </is>
      </c>
      <c r="K172" s="37" t="inlineStr">
        <is>
          <t>DAT01_1</t>
        </is>
      </c>
    </row>
    <row r="173" ht="61" customHeight="1">
      <c r="A173" s="38" t="inlineStr">
        <is>
          <t>DAT01</t>
        </is>
      </c>
      <c r="B173" s="38" t="inlineStr">
        <is>
          <t>DAT01_2</t>
        </is>
      </c>
      <c r="C173" s="49" t="n">
        <v>2</v>
      </c>
      <c r="D173" s="49" t="n">
        <v>2</v>
      </c>
      <c r="E173" s="38" t="inlineStr">
        <is>
          <t>Most records are available, but actual hours, changes or approvals are inconsistent.</t>
        </is>
      </c>
      <c r="F173" s="38" t="inlineStr">
        <is>
          <t>Partly established; residual gap remains</t>
        </is>
      </c>
      <c r="G173" s="38" t="inlineStr">
        <is>
          <t>Outcome DAT01_2 supplies provisional risk, priority, reasons and actions. Apply contextual escalation separately.</t>
        </is>
      </c>
      <c r="H173" s="38" t="inlineStr">
        <is>
          <t>Confirmed exclusion only; DK retains the eligible denominator.</t>
        </is>
      </c>
      <c r="I173" s="38" t="inlineStr">
        <is>
          <t>Choose this when important parts exist but at least one part of the statement remains unresolved. The report should target that gap, not require a full rebuild.</t>
        </is>
      </c>
      <c r="J173" s="38" t="inlineStr">
        <is>
          <t>A reproducible pay trail, retention rules and records of corrections rather than unexplained changes.</t>
        </is>
      </c>
      <c r="K173" s="38" t="inlineStr">
        <is>
          <t>DAT01_2</t>
        </is>
      </c>
    </row>
    <row r="174" ht="61" customHeight="1">
      <c r="A174" s="37" t="inlineStr">
        <is>
          <t>DAT01</t>
        </is>
      </c>
      <c r="B174" s="37" t="inlineStr">
        <is>
          <t>DAT01_3</t>
        </is>
      </c>
      <c r="C174" s="48" t="n">
        <v>3</v>
      </c>
      <c r="D174" s="48" t="n">
        <v>3</v>
      </c>
      <c r="E174" s="37" t="inlineStr">
        <is>
          <t>We keep the required records, can reconcile them to payroll and retain them for the applicable period.</t>
        </is>
      </c>
      <c r="F174" s="37" t="inlineStr">
        <is>
          <t>Established practice reported, not independently verified</t>
        </is>
      </c>
      <c r="G174" s="37" t="inlineStr">
        <is>
          <t>Outcome DAT01_3 supplies provisional risk, priority, reasons and actions. Apply contextual escalation separately.</t>
        </is>
      </c>
      <c r="H174" s="37" t="inlineStr">
        <is>
          <t>Confirmed exclusion only; DK retains the eligible denominator.</t>
        </is>
      </c>
      <c r="I174" s="37" t="inlineStr">
        <is>
          <t>Choose this only when the whole statement describes routine practice and you can point to a recent example or a tested readiness process. One successful exception is not enough.</t>
        </is>
      </c>
      <c r="J174" s="37" t="inlineStr">
        <is>
          <t>A reproducible pay trail, retention rules and records of corrections rather than unexplained changes.</t>
        </is>
      </c>
      <c r="K174" s="37" t="inlineStr">
        <is>
          <t>DAT01_3</t>
        </is>
      </c>
    </row>
    <row r="175" ht="61" customHeight="1">
      <c r="A175" s="38" t="inlineStr">
        <is>
          <t>DAT01</t>
        </is>
      </c>
      <c r="B175" s="38" t="inlineStr">
        <is>
          <t>DAT01_DK</t>
        </is>
      </c>
      <c r="C175" s="38" t="inlineStr">
        <is>
          <t>DK</t>
        </is>
      </c>
      <c r="D175" s="49" t="n">
        <v>0</v>
      </c>
      <c r="E175" s="38" t="inlineStr">
        <is>
          <t>I need to confirm this.</t>
        </is>
      </c>
      <c r="F175" s="38" t="inlineStr">
        <is>
          <t>Unverified, not an established failure</t>
        </is>
      </c>
      <c r="G175" s="38" t="inlineStr">
        <is>
          <t>Outcome DAT01_DK supplies provisional risk, priority, reasons and actions. Apply contextual escalation separately.</t>
        </is>
      </c>
      <c r="H175" s="38" t="inlineStr">
        <is>
          <t>Confirmed exclusion only; DK retains the eligible denominator.</t>
        </is>
      </c>
      <c r="I175" s="38" t="inlineStr">
        <is>
          <t>Choose this rather than guessing when you cannot confirm the practice or its consistency. You can save the assessment and ask the responsible person.</t>
        </is>
      </c>
      <c r="J175" s="38" t="inlineStr">
        <is>
          <t>A reproducible pay trail, retention rules and records of corrections rather than unexplained changes.</t>
        </is>
      </c>
      <c r="K175" s="38" t="inlineStr">
        <is>
          <t>DAT01_DK</t>
        </is>
      </c>
    </row>
    <row r="176" ht="61" customHeight="1">
      <c r="A176" s="37" t="inlineStr">
        <is>
          <t>DAT02</t>
        </is>
      </c>
      <c r="B176" s="37" t="inlineStr">
        <is>
          <t>DAT02_0</t>
        </is>
      </c>
      <c r="C176" s="48" t="n">
        <v>0</v>
      </c>
      <c r="D176" s="48" t="n">
        <v>0</v>
      </c>
      <c r="E176" s="37" t="inlineStr">
        <is>
          <t>Sensitive information is widely accessible or handled without clear rules.</t>
        </is>
      </c>
      <c r="F176" s="37" t="inlineStr">
        <is>
          <t>Practice absent or not established as described</t>
        </is>
      </c>
      <c r="G176" s="37" t="inlineStr">
        <is>
          <t>Outcome DAT02_0 supplies provisional risk, priority, reasons and actions. Apply contextual escalation separately.</t>
        </is>
      </c>
      <c r="H176" s="37" t="inlineStr">
        <is>
          <t>Confirmed exclusion only; DK retains the eligible denominator.</t>
        </is>
      </c>
      <c r="I176" s="37" t="inlineStr">
        <is>
          <t>Choose this when the statement describes the current position. Reporting a gap helps prioritise support; it is not an admission that a legal breach has occurred.</t>
        </is>
      </c>
      <c r="J176" s="37" t="inlineStr">
        <is>
          <t>The information-handling and access review is complete, unnecessary access has been removed, applicable privacy and retention requirements are mapped and priority safeguards work in practice. An unresolved exposure stays open.</t>
        </is>
      </c>
      <c r="K176" s="37" t="inlineStr">
        <is>
          <t>DAT02_0</t>
        </is>
      </c>
    </row>
    <row r="177" ht="61" customHeight="1">
      <c r="A177" s="38" t="inlineStr">
        <is>
          <t>DAT02</t>
        </is>
      </c>
      <c r="B177" s="38" t="inlineStr">
        <is>
          <t>DAT02_1</t>
        </is>
      </c>
      <c r="C177" s="49" t="n">
        <v>1</v>
      </c>
      <c r="D177" s="49" t="n">
        <v>1</v>
      </c>
      <c r="E177" s="38" t="inlineStr">
        <is>
          <t>We rely on staff discretion and basic folder access.</t>
        </is>
      </c>
      <c r="F177" s="38" t="inlineStr">
        <is>
          <t>Assumption-dependent or inconsistent practice</t>
        </is>
      </c>
      <c r="G177" s="38" t="inlineStr">
        <is>
          <t>Outcome DAT02_1 supplies provisional risk, priority, reasons and actions. Apply contextual escalation separately.</t>
        </is>
      </c>
      <c r="H177" s="38" t="inlineStr">
        <is>
          <t>Confirmed exclusion only; DK retains the eligible denominator.</t>
        </is>
      </c>
      <c r="I177" s="38" t="inlineStr">
        <is>
          <t>Choose this when the process depends on assumptions, personal knowledge or ad hoc handling rather than a dependable check.</t>
        </is>
      </c>
      <c r="J177" s="38" t="inlineStr">
        <is>
          <t>The information-handling and access review is complete, unnecessary access has been removed, applicable privacy and retention requirements are mapped and priority safeguards work in practice. An unresolved exposure stays open.</t>
        </is>
      </c>
      <c r="K177" s="38" t="inlineStr">
        <is>
          <t>DAT02_1</t>
        </is>
      </c>
    </row>
    <row r="178" ht="61" customHeight="1">
      <c r="A178" s="37" t="inlineStr">
        <is>
          <t>DAT02</t>
        </is>
      </c>
      <c r="B178" s="37" t="inlineStr">
        <is>
          <t>DAT02_2</t>
        </is>
      </c>
      <c r="C178" s="48" t="n">
        <v>2</v>
      </c>
      <c r="D178" s="48" t="n">
        <v>2</v>
      </c>
      <c r="E178" s="37" t="inlineStr">
        <is>
          <t>Access is restricted, but sharing, providers or retention rules have not been fully checked.</t>
        </is>
      </c>
      <c r="F178" s="37" t="inlineStr">
        <is>
          <t>Partly established; residual gap remains</t>
        </is>
      </c>
      <c r="G178" s="37" t="inlineStr">
        <is>
          <t>Outcome DAT02_2 supplies provisional risk, priority, reasons and actions. Apply contextual escalation separately.</t>
        </is>
      </c>
      <c r="H178" s="37" t="inlineStr">
        <is>
          <t>Confirmed exclusion only; DK retains the eligible denominator.</t>
        </is>
      </c>
      <c r="I178" s="37" t="inlineStr">
        <is>
          <t>Choose this when important parts exist but at least one part of the statement remains unresolved. The report should target that gap, not require a full rebuild.</t>
        </is>
      </c>
      <c r="J178" s="37" t="inlineStr">
        <is>
          <t>The information-handling and access review is complete, unnecessary access has been removed, applicable privacy and retention requirements are mapped and priority safeguards work in practice. An unresolved exposure stays open.</t>
        </is>
      </c>
      <c r="K178" s="37" t="inlineStr">
        <is>
          <t>DAT02_2</t>
        </is>
      </c>
    </row>
    <row r="179" ht="61" customHeight="1">
      <c r="A179" s="38" t="inlineStr">
        <is>
          <t>DAT02</t>
        </is>
      </c>
      <c r="B179" s="38" t="inlineStr">
        <is>
          <t>DAT02_3</t>
        </is>
      </c>
      <c r="C179" s="49" t="n">
        <v>3</v>
      </c>
      <c r="D179" s="49" t="n">
        <v>3</v>
      </c>
      <c r="E179" s="38" t="inlineStr">
        <is>
          <t>We limit access and use to legitimate purposes, check providers and maintain clear retention, sharing and incident-response rules.</t>
        </is>
      </c>
      <c r="F179" s="38" t="inlineStr">
        <is>
          <t>Established practice reported, not independently verified</t>
        </is>
      </c>
      <c r="G179" s="38" t="inlineStr">
        <is>
          <t>Outcome DAT02_3 supplies provisional risk, priority, reasons and actions. Apply contextual escalation separately.</t>
        </is>
      </c>
      <c r="H179" s="38" t="inlineStr">
        <is>
          <t>Confirmed exclusion only; DK retains the eligible denominator.</t>
        </is>
      </c>
      <c r="I179" s="38" t="inlineStr">
        <is>
          <t>Choose this only when the whole statement describes routine practice and you can point to a recent example or a tested readiness process. One successful exception is not enough.</t>
        </is>
      </c>
      <c r="J179" s="38" t="inlineStr">
        <is>
          <t>The information-handling and access review is complete, unnecessary access has been removed, applicable privacy and retention requirements are mapped and priority safeguards work in practice. An unresolved exposure stays open.</t>
        </is>
      </c>
      <c r="K179" s="38" t="inlineStr">
        <is>
          <t>DAT02_3</t>
        </is>
      </c>
    </row>
    <row r="180" ht="61" customHeight="1">
      <c r="A180" s="37" t="inlineStr">
        <is>
          <t>DAT02</t>
        </is>
      </c>
      <c r="B180" s="37" t="inlineStr">
        <is>
          <t>DAT02_DK</t>
        </is>
      </c>
      <c r="C180" s="37" t="inlineStr">
        <is>
          <t>DK</t>
        </is>
      </c>
      <c r="D180" s="48" t="n">
        <v>0</v>
      </c>
      <c r="E180" s="37" t="inlineStr">
        <is>
          <t>I need to confirm this.</t>
        </is>
      </c>
      <c r="F180" s="37" t="inlineStr">
        <is>
          <t>Unverified, not an established failure</t>
        </is>
      </c>
      <c r="G180" s="37" t="inlineStr">
        <is>
          <t>Outcome DAT02_DK supplies provisional risk, priority, reasons and actions. Apply contextual escalation separately.</t>
        </is>
      </c>
      <c r="H180" s="37" t="inlineStr">
        <is>
          <t>Confirmed exclusion only; DK retains the eligible denominator.</t>
        </is>
      </c>
      <c r="I180" s="37" t="inlineStr">
        <is>
          <t>Choose this rather than guessing when you cannot confirm the practice or its consistency. You can save the assessment and ask the responsible person.</t>
        </is>
      </c>
      <c r="J180" s="37" t="inlineStr">
        <is>
          <t>The information-handling and access review is complete, unnecessary access has been removed, applicable privacy and retention requirements are mapped and priority safeguards work in practice. An unresolved exposure stays open.</t>
        </is>
      </c>
      <c r="K180" s="37" t="inlineStr">
        <is>
          <t>DAT02_DK</t>
        </is>
      </c>
    </row>
    <row r="181" ht="61" customHeight="1">
      <c r="A181" s="38" t="inlineStr">
        <is>
          <t>DAT03</t>
        </is>
      </c>
      <c r="B181" s="38" t="inlineStr">
        <is>
          <t>DAT03_0</t>
        </is>
      </c>
      <c r="C181" s="49" t="n">
        <v>0</v>
      </c>
      <c r="D181" s="49" t="n">
        <v>0</v>
      </c>
      <c r="E181" s="38" t="inlineStr">
        <is>
          <t>Essential records depend on one person or system with no workable backup.</t>
        </is>
      </c>
      <c r="F181" s="38" t="inlineStr">
        <is>
          <t>Practice absent or not established as described</t>
        </is>
      </c>
      <c r="G181" s="38" t="inlineStr">
        <is>
          <t>Outcome DAT03_0 supplies provisional risk, priority, reasons and actions. Apply contextual escalation separately.</t>
        </is>
      </c>
      <c r="H181" s="38" t="inlineStr">
        <is>
          <t>Confirmed exclusion only; DK retains the eligible denominator.</t>
        </is>
      </c>
      <c r="I181" s="38" t="inlineStr">
        <is>
          <t>Choose this when the statement describes the current position. Reporting a gap helps prioritise support; it is not an admission that a legal breach has occurred.</t>
        </is>
      </c>
      <c r="J181" s="38" t="inlineStr">
        <is>
          <t>A successful retrieval test, secure access arrangements and a record owner.</t>
        </is>
      </c>
      <c r="K181" s="38" t="inlineStr">
        <is>
          <t>DAT03_0</t>
        </is>
      </c>
    </row>
    <row r="182" ht="61" customHeight="1">
      <c r="A182" s="37" t="inlineStr">
        <is>
          <t>DAT03</t>
        </is>
      </c>
      <c r="B182" s="37" t="inlineStr">
        <is>
          <t>DAT03_1</t>
        </is>
      </c>
      <c r="C182" s="48" t="n">
        <v>1</v>
      </c>
      <c r="D182" s="48" t="n">
        <v>1</v>
      </c>
      <c r="E182" s="37" t="inlineStr">
        <is>
          <t>We believe records are backed up, but retrieval has not been tested.</t>
        </is>
      </c>
      <c r="F182" s="37" t="inlineStr">
        <is>
          <t>Assumption-dependent or inconsistent practice</t>
        </is>
      </c>
      <c r="G182" s="37" t="inlineStr">
        <is>
          <t>Outcome DAT03_1 supplies provisional risk, priority, reasons and actions. Apply contextual escalation separately.</t>
        </is>
      </c>
      <c r="H182" s="37" t="inlineStr">
        <is>
          <t>Confirmed exclusion only; DK retains the eligible denominator.</t>
        </is>
      </c>
      <c r="I182" s="37" t="inlineStr">
        <is>
          <t>Choose this when the process depends on assumptions, personal knowledge or ad hoc handling rather than a dependable check.</t>
        </is>
      </c>
      <c r="J182" s="37" t="inlineStr">
        <is>
          <t>A successful retrieval test, secure access arrangements and a record owner.</t>
        </is>
      </c>
      <c r="K182" s="37" t="inlineStr">
        <is>
          <t>DAT03_1</t>
        </is>
      </c>
    </row>
    <row r="183" ht="61" customHeight="1">
      <c r="A183" s="38" t="inlineStr">
        <is>
          <t>DAT03</t>
        </is>
      </c>
      <c r="B183" s="38" t="inlineStr">
        <is>
          <t>DAT03_2</t>
        </is>
      </c>
      <c r="C183" s="49" t="n">
        <v>2</v>
      </c>
      <c r="D183" s="49" t="n">
        <v>2</v>
      </c>
      <c r="E183" s="38" t="inlineStr">
        <is>
          <t>Some records can be recovered, but permissions, completeness or version control need checking.</t>
        </is>
      </c>
      <c r="F183" s="38" t="inlineStr">
        <is>
          <t>Partly established; residual gap remains</t>
        </is>
      </c>
      <c r="G183" s="38" t="inlineStr">
        <is>
          <t>Outcome DAT03_2 supplies provisional risk, priority, reasons and actions. Apply contextual escalation separately.</t>
        </is>
      </c>
      <c r="H183" s="38" t="inlineStr">
        <is>
          <t>Confirmed exclusion only; DK retains the eligible denominator.</t>
        </is>
      </c>
      <c r="I183" s="38" t="inlineStr">
        <is>
          <t>Choose this when important parts exist but at least one part of the statement remains unresolved. The report should target that gap, not require a full rebuild.</t>
        </is>
      </c>
      <c r="J183" s="38" t="inlineStr">
        <is>
          <t>A successful retrieval test, secure access arrangements and a record owner.</t>
        </is>
      </c>
      <c r="K183" s="38" t="inlineStr">
        <is>
          <t>DAT03_2</t>
        </is>
      </c>
    </row>
    <row r="184" ht="61" customHeight="1">
      <c r="A184" s="37" t="inlineStr">
        <is>
          <t>DAT03</t>
        </is>
      </c>
      <c r="B184" s="37" t="inlineStr">
        <is>
          <t>DAT03_3</t>
        </is>
      </c>
      <c r="C184" s="48" t="n">
        <v>3</v>
      </c>
      <c r="D184" s="48" t="n">
        <v>3</v>
      </c>
      <c r="E184" s="37" t="inlineStr">
        <is>
          <t>Authorised people can retrieve the current essential records through a tested backup or recovery process.</t>
        </is>
      </c>
      <c r="F184" s="37" t="inlineStr">
        <is>
          <t>Established practice reported, not independently verified</t>
        </is>
      </c>
      <c r="G184" s="37" t="inlineStr">
        <is>
          <t>Outcome DAT03_3 supplies provisional risk, priority, reasons and actions. Apply contextual escalation separately.</t>
        </is>
      </c>
      <c r="H184" s="37" t="inlineStr">
        <is>
          <t>Confirmed exclusion only; DK retains the eligible denominator.</t>
        </is>
      </c>
      <c r="I184" s="37" t="inlineStr">
        <is>
          <t>Choose this only when the whole statement describes routine practice and you can point to a recent example or a tested readiness process. One successful exception is not enough.</t>
        </is>
      </c>
      <c r="J184" s="37" t="inlineStr">
        <is>
          <t>A successful retrieval test, secure access arrangements and a record owner.</t>
        </is>
      </c>
      <c r="K184" s="37" t="inlineStr">
        <is>
          <t>DAT03_3</t>
        </is>
      </c>
    </row>
    <row r="185" ht="61" customHeight="1">
      <c r="A185" s="38" t="inlineStr">
        <is>
          <t>DAT03</t>
        </is>
      </c>
      <c r="B185" s="38" t="inlineStr">
        <is>
          <t>DAT03_DK</t>
        </is>
      </c>
      <c r="C185" s="38" t="inlineStr">
        <is>
          <t>DK</t>
        </is>
      </c>
      <c r="D185" s="49" t="n">
        <v>0</v>
      </c>
      <c r="E185" s="38" t="inlineStr">
        <is>
          <t>I need to confirm this.</t>
        </is>
      </c>
      <c r="F185" s="38" t="inlineStr">
        <is>
          <t>Unverified, not an established failure</t>
        </is>
      </c>
      <c r="G185" s="38" t="inlineStr">
        <is>
          <t>Outcome DAT03_DK supplies provisional risk, priority, reasons and actions. Apply contextual escalation separately.</t>
        </is>
      </c>
      <c r="H185" s="38" t="inlineStr">
        <is>
          <t>Confirmed exclusion only; DK retains the eligible denominator.</t>
        </is>
      </c>
      <c r="I185" s="38" t="inlineStr">
        <is>
          <t>Choose this rather than guessing when you cannot confirm the practice or its consistency. You can save the assessment and ask the responsible person.</t>
        </is>
      </c>
      <c r="J185" s="38" t="inlineStr">
        <is>
          <t>A successful retrieval test, secure access arrangements and a record owner.</t>
        </is>
      </c>
      <c r="K185" s="38" t="inlineStr">
        <is>
          <t>DAT03_DK</t>
        </is>
      </c>
    </row>
    <row r="186" ht="61" customHeight="1">
      <c r="A186" s="37" t="inlineStr">
        <is>
          <t>EXT01</t>
        </is>
      </c>
      <c r="B186" s="37" t="inlineStr">
        <is>
          <t>EXT01_0</t>
        </is>
      </c>
      <c r="C186" s="48" t="n">
        <v>0</v>
      </c>
      <c r="D186" s="48" t="n">
        <v>0</v>
      </c>
      <c r="E186" s="37" t="inlineStr">
        <is>
          <t>The decision may be made without checking the applicable obligations.</t>
        </is>
      </c>
      <c r="F186" s="37" t="inlineStr">
        <is>
          <t>Practice absent or not established as described</t>
        </is>
      </c>
      <c r="G186" s="37" t="inlineStr">
        <is>
          <t>Outcome EXT01_0 supplies provisional risk, priority, reasons and actions. Apply contextual escalation separately.</t>
        </is>
      </c>
      <c r="H186" s="37" t="inlineStr">
        <is>
          <t>Confirmed exclusion only; DK retains the eligible denominator.</t>
        </is>
      </c>
      <c r="I186" s="37" t="inlineStr">
        <is>
          <t>Choose this when the statement describes the current position. Reporting a gap helps prioritise support; it is not an admission that a legal breach has occurred.</t>
        </is>
      </c>
      <c r="J186" s="37" t="inlineStr">
        <is>
          <t>A dated decision record with the applicable checks and approvals, prepared before the decision is communicated.</t>
        </is>
      </c>
      <c r="K186" s="37" t="inlineStr">
        <is>
          <t>EXT01_0</t>
        </is>
      </c>
    </row>
    <row r="187" ht="61" customHeight="1">
      <c r="A187" s="38" t="inlineStr">
        <is>
          <t>EXT01</t>
        </is>
      </c>
      <c r="B187" s="38" t="inlineStr">
        <is>
          <t>EXT01_1</t>
        </is>
      </c>
      <c r="C187" s="49" t="n">
        <v>1</v>
      </c>
      <c r="D187" s="49" t="n">
        <v>1</v>
      </c>
      <c r="E187" s="38" t="inlineStr">
        <is>
          <t>We rely on assumptions about probation, small-business rules or the contract.</t>
        </is>
      </c>
      <c r="F187" s="38" t="inlineStr">
        <is>
          <t>Assumption-dependent or inconsistent practice</t>
        </is>
      </c>
      <c r="G187" s="38" t="inlineStr">
        <is>
          <t>Outcome EXT01_1 supplies provisional risk, priority, reasons and actions. Apply contextual escalation separately.</t>
        </is>
      </c>
      <c r="H187" s="38" t="inlineStr">
        <is>
          <t>Confirmed exclusion only; DK retains the eligible denominator.</t>
        </is>
      </c>
      <c r="I187" s="38" t="inlineStr">
        <is>
          <t>Choose this when the process depends on assumptions, personal knowledge or ad hoc handling rather than a dependable check.</t>
        </is>
      </c>
      <c r="J187" s="38" t="inlineStr">
        <is>
          <t>A dated decision record with the applicable checks and approvals, prepared before the decision is communicated.</t>
        </is>
      </c>
      <c r="K187" s="38" t="inlineStr">
        <is>
          <t>EXT01_1</t>
        </is>
      </c>
    </row>
    <row r="188" ht="61" customHeight="1">
      <c r="A188" s="37" t="inlineStr">
        <is>
          <t>EXT01</t>
        </is>
      </c>
      <c r="B188" s="37" t="inlineStr">
        <is>
          <t>EXT01_2</t>
        </is>
      </c>
      <c r="C188" s="48" t="n">
        <v>2</v>
      </c>
      <c r="D188" s="48" t="n">
        <v>2</v>
      </c>
      <c r="E188" s="37" t="inlineStr">
        <is>
          <t>We check some requirements, but the reason, employee response or protected circumstances may be missed.</t>
        </is>
      </c>
      <c r="F188" s="37" t="inlineStr">
        <is>
          <t>Partly established; residual gap remains</t>
        </is>
      </c>
      <c r="G188" s="37" t="inlineStr">
        <is>
          <t>Outcome EXT01_2 supplies provisional risk, priority, reasons and actions. Apply contextual escalation separately.</t>
        </is>
      </c>
      <c r="H188" s="37" t="inlineStr">
        <is>
          <t>Confirmed exclusion only; DK retains the eligible denominator.</t>
        </is>
      </c>
      <c r="I188" s="37" t="inlineStr">
        <is>
          <t>Choose this when important parts exist but at least one part of the statement remains unresolved. The report should target that gap, not require a full rebuild.</t>
        </is>
      </c>
      <c r="J188" s="37" t="inlineStr">
        <is>
          <t>A dated decision record with the applicable checks and approvals, prepared before the decision is communicated.</t>
        </is>
      </c>
      <c r="K188" s="37" t="inlineStr">
        <is>
          <t>EXT01_2</t>
        </is>
      </c>
    </row>
    <row r="189" ht="61" customHeight="1">
      <c r="A189" s="38" t="inlineStr">
        <is>
          <t>EXT01</t>
        </is>
      </c>
      <c r="B189" s="38" t="inlineStr">
        <is>
          <t>EXT01_3</t>
        </is>
      </c>
      <c r="C189" s="49" t="n">
        <v>3</v>
      </c>
      <c r="D189" s="49" t="n">
        <v>3</v>
      </c>
      <c r="E189" s="38" t="inlineStr">
        <is>
          <t>We check the facts, lawful basis, relevant protections and required process, with appropriate advice before a high-risk decision.</t>
        </is>
      </c>
      <c r="F189" s="38" t="inlineStr">
        <is>
          <t>Established practice reported, not independently verified</t>
        </is>
      </c>
      <c r="G189" s="38" t="inlineStr">
        <is>
          <t>Outcome EXT01_3 supplies provisional risk, priority, reasons and actions. Apply contextual escalation separately.</t>
        </is>
      </c>
      <c r="H189" s="38" t="inlineStr">
        <is>
          <t>Confirmed exclusion only; DK retains the eligible denominator.</t>
        </is>
      </c>
      <c r="I189" s="38" t="inlineStr">
        <is>
          <t>Choose this only when the whole statement describes routine practice and you can point to a recent example or a tested readiness process. One successful exception is not enough.</t>
        </is>
      </c>
      <c r="J189" s="38" t="inlineStr">
        <is>
          <t>A dated decision record with the applicable checks and approvals, prepared before the decision is communicated.</t>
        </is>
      </c>
      <c r="K189" s="38" t="inlineStr">
        <is>
          <t>EXT01_3</t>
        </is>
      </c>
    </row>
    <row r="190" ht="61" customHeight="1">
      <c r="A190" s="37" t="inlineStr">
        <is>
          <t>EXT01</t>
        </is>
      </c>
      <c r="B190" s="37" t="inlineStr">
        <is>
          <t>EXT01_DK</t>
        </is>
      </c>
      <c r="C190" s="37" t="inlineStr">
        <is>
          <t>DK</t>
        </is>
      </c>
      <c r="D190" s="48" t="n">
        <v>0</v>
      </c>
      <c r="E190" s="37" t="inlineStr">
        <is>
          <t>I need to confirm this.</t>
        </is>
      </c>
      <c r="F190" s="37" t="inlineStr">
        <is>
          <t>Unverified, not an established failure</t>
        </is>
      </c>
      <c r="G190" s="37" t="inlineStr">
        <is>
          <t>Outcome EXT01_DK supplies provisional risk, priority, reasons and actions. Apply contextual escalation separately.</t>
        </is>
      </c>
      <c r="H190" s="37" t="inlineStr">
        <is>
          <t>Confirmed exclusion only; DK retains the eligible denominator.</t>
        </is>
      </c>
      <c r="I190" s="37" t="inlineStr">
        <is>
          <t>Choose this rather than guessing when you cannot confirm the practice or its consistency. You can save the assessment and ask the responsible person.</t>
        </is>
      </c>
      <c r="J190" s="37" t="inlineStr">
        <is>
          <t>A dated decision record with the applicable checks and approvals, prepared before the decision is communicated.</t>
        </is>
      </c>
      <c r="K190" s="37" t="inlineStr">
        <is>
          <t>EXT01_DK</t>
        </is>
      </c>
    </row>
    <row r="191" ht="61" customHeight="1">
      <c r="A191" s="38" t="inlineStr">
        <is>
          <t>EXT02</t>
        </is>
      </c>
      <c r="B191" s="38" t="inlineStr">
        <is>
          <t>EXT02_0</t>
        </is>
      </c>
      <c r="C191" s="49" t="n">
        <v>0</v>
      </c>
      <c r="D191" s="49" t="n">
        <v>0</v>
      </c>
      <c r="E191" s="38" t="inlineStr">
        <is>
          <t>Final payments are processed without a specific exit check.</t>
        </is>
      </c>
      <c r="F191" s="38" t="inlineStr">
        <is>
          <t>Practice absent or not established as described</t>
        </is>
      </c>
      <c r="G191" s="38" t="inlineStr">
        <is>
          <t>Outcome EXT02_0 supplies provisional risk, priority, reasons and actions. Apply contextual escalation separately.</t>
        </is>
      </c>
      <c r="H191" s="38" t="inlineStr">
        <is>
          <t>Confirmed exclusion only; DK retains the eligible denominator.</t>
        </is>
      </c>
      <c r="I191" s="38" t="inlineStr">
        <is>
          <t>Choose this when the statement describes the current position. Reporting a gap helps prioritise support; it is not an admission that a legal breach has occurred.</t>
        </is>
      </c>
      <c r="J191" s="38" t="inlineStr">
        <is>
          <t>A completed final-pay calculation and review, with written employment documentation.</t>
        </is>
      </c>
      <c r="K191" s="38" t="inlineStr">
        <is>
          <t>EXT02_0</t>
        </is>
      </c>
    </row>
    <row r="192" ht="61" customHeight="1">
      <c r="A192" s="37" t="inlineStr">
        <is>
          <t>EXT02</t>
        </is>
      </c>
      <c r="B192" s="37" t="inlineStr">
        <is>
          <t>EXT02_1</t>
        </is>
      </c>
      <c r="C192" s="48" t="n">
        <v>1</v>
      </c>
      <c r="D192" s="48" t="n">
        <v>1</v>
      </c>
      <c r="E192" s="37" t="inlineStr">
        <is>
          <t>We rely on payroll defaults or the manager's instructions.</t>
        </is>
      </c>
      <c r="F192" s="37" t="inlineStr">
        <is>
          <t>Assumption-dependent or inconsistent practice</t>
        </is>
      </c>
      <c r="G192" s="37" t="inlineStr">
        <is>
          <t>Outcome EXT02_1 supplies provisional risk, priority, reasons and actions. Apply contextual escalation separately.</t>
        </is>
      </c>
      <c r="H192" s="37" t="inlineStr">
        <is>
          <t>Confirmed exclusion only; DK retains the eligible denominator.</t>
        </is>
      </c>
      <c r="I192" s="37" t="inlineStr">
        <is>
          <t>Choose this when the process depends on assumptions, personal knowledge or ad hoc handling rather than a dependable check.</t>
        </is>
      </c>
      <c r="J192" s="37" t="inlineStr">
        <is>
          <t>A completed final-pay calculation and review, with written employment documentation.</t>
        </is>
      </c>
      <c r="K192" s="37" t="inlineStr">
        <is>
          <t>EXT02_1</t>
        </is>
      </c>
    </row>
    <row r="193" ht="61" customHeight="1">
      <c r="A193" s="38" t="inlineStr">
        <is>
          <t>EXT02</t>
        </is>
      </c>
      <c r="B193" s="38" t="inlineStr">
        <is>
          <t>EXT02_2</t>
        </is>
      </c>
      <c r="C193" s="49" t="n">
        <v>2</v>
      </c>
      <c r="D193" s="49" t="n">
        <v>2</v>
      </c>
      <c r="E193" s="38" t="inlineStr">
        <is>
          <t>Most items are checked, but timing, unusual entitlements or deductions can be missed.</t>
        </is>
      </c>
      <c r="F193" s="38" t="inlineStr">
        <is>
          <t>Partly established; residual gap remains</t>
        </is>
      </c>
      <c r="G193" s="38" t="inlineStr">
        <is>
          <t>Outcome EXT02_2 supplies provisional risk, priority, reasons and actions. Apply contextual escalation separately.</t>
        </is>
      </c>
      <c r="H193" s="38" t="inlineStr">
        <is>
          <t>Confirmed exclusion only; DK retains the eligible denominator.</t>
        </is>
      </c>
      <c r="I193" s="38" t="inlineStr">
        <is>
          <t>Choose this when important parts exist but at least one part of the statement remains unresolved. The report should target that gap, not require a full rebuild.</t>
        </is>
      </c>
      <c r="J193" s="38" t="inlineStr">
        <is>
          <t>A completed final-pay calculation and review, with written employment documentation.</t>
        </is>
      </c>
      <c r="K193" s="38" t="inlineStr">
        <is>
          <t>EXT02_2</t>
        </is>
      </c>
    </row>
    <row r="194" ht="61" customHeight="1">
      <c r="A194" s="37" t="inlineStr">
        <is>
          <t>EXT02</t>
        </is>
      </c>
      <c r="B194" s="37" t="inlineStr">
        <is>
          <t>EXT02_3</t>
        </is>
      </c>
      <c r="C194" s="48" t="n">
        <v>3</v>
      </c>
      <c r="D194" s="48" t="n">
        <v>3</v>
      </c>
      <c r="E194" s="37" t="inlineStr">
        <is>
          <t>We check the reason for exit, relevant entitlements, payment timing and documentation, and resolve exceptions before payment.</t>
        </is>
      </c>
      <c r="F194" s="37" t="inlineStr">
        <is>
          <t>Established practice reported, not independently verified</t>
        </is>
      </c>
      <c r="G194" s="37" t="inlineStr">
        <is>
          <t>Outcome EXT02_3 supplies provisional risk, priority, reasons and actions. Apply contextual escalation separately.</t>
        </is>
      </c>
      <c r="H194" s="37" t="inlineStr">
        <is>
          <t>Confirmed exclusion only; DK retains the eligible denominator.</t>
        </is>
      </c>
      <c r="I194" s="37" t="inlineStr">
        <is>
          <t>Choose this only when the whole statement describes routine practice and you can point to a recent example or a tested readiness process. One successful exception is not enough.</t>
        </is>
      </c>
      <c r="J194" s="37" t="inlineStr">
        <is>
          <t>A completed final-pay calculation and review, with written employment documentation.</t>
        </is>
      </c>
      <c r="K194" s="37" t="inlineStr">
        <is>
          <t>EXT02_3</t>
        </is>
      </c>
    </row>
    <row r="195" ht="61" customHeight="1">
      <c r="A195" s="38" t="inlineStr">
        <is>
          <t>EXT02</t>
        </is>
      </c>
      <c r="B195" s="38" t="inlineStr">
        <is>
          <t>EXT02_DK</t>
        </is>
      </c>
      <c r="C195" s="38" t="inlineStr">
        <is>
          <t>DK</t>
        </is>
      </c>
      <c r="D195" s="49" t="n">
        <v>0</v>
      </c>
      <c r="E195" s="38" t="inlineStr">
        <is>
          <t>I need to confirm this.</t>
        </is>
      </c>
      <c r="F195" s="38" t="inlineStr">
        <is>
          <t>Unverified, not an established failure</t>
        </is>
      </c>
      <c r="G195" s="38" t="inlineStr">
        <is>
          <t>Outcome EXT02_DK supplies provisional risk, priority, reasons and actions. Apply contextual escalation separately.</t>
        </is>
      </c>
      <c r="H195" s="38" t="inlineStr">
        <is>
          <t>Confirmed exclusion only; DK retains the eligible denominator.</t>
        </is>
      </c>
      <c r="I195" s="38" t="inlineStr">
        <is>
          <t>Choose this rather than guessing when you cannot confirm the practice or its consistency. You can save the assessment and ask the responsible person.</t>
        </is>
      </c>
      <c r="J195" s="38" t="inlineStr">
        <is>
          <t>A completed final-pay calculation and review, with written employment documentation.</t>
        </is>
      </c>
      <c r="K195" s="38" t="inlineStr">
        <is>
          <t>EXT02_DK</t>
        </is>
      </c>
    </row>
    <row r="196" ht="61" customHeight="1">
      <c r="A196" s="37" t="inlineStr">
        <is>
          <t>EXT03</t>
        </is>
      </c>
      <c r="B196" s="37" t="inlineStr">
        <is>
          <t>EXT03_0</t>
        </is>
      </c>
      <c r="C196" s="48" t="n">
        <v>0</v>
      </c>
      <c r="D196" s="48" t="n">
        <v>0</v>
      </c>
      <c r="E196" s="37" t="inlineStr">
        <is>
          <t>There is no consistent offboarding process.</t>
        </is>
      </c>
      <c r="F196" s="37" t="inlineStr">
        <is>
          <t>Practice absent or not established as described</t>
        </is>
      </c>
      <c r="G196" s="37" t="inlineStr">
        <is>
          <t>Outcome EXT03_0 supplies provisional risk, priority, reasons and actions. Apply contextual escalation separately.</t>
        </is>
      </c>
      <c r="H196" s="37" t="inlineStr">
        <is>
          <t>Confirmed exclusion only; DK retains the eligible denominator.</t>
        </is>
      </c>
      <c r="I196" s="37" t="inlineStr">
        <is>
          <t>Choose this when the statement describes the current position. Reporting a gap helps prioritise support; it is not an admission that a legal breach has occurred.</t>
        </is>
      </c>
      <c r="J196" s="37" t="inlineStr">
        <is>
          <t>A completed offboarding record showing access, property, handover and record retention.</t>
        </is>
      </c>
      <c r="K196" s="37" t="inlineStr">
        <is>
          <t>EXT03_0</t>
        </is>
      </c>
    </row>
    <row r="197" ht="61" customHeight="1">
      <c r="A197" s="38" t="inlineStr">
        <is>
          <t>EXT03</t>
        </is>
      </c>
      <c r="B197" s="38" t="inlineStr">
        <is>
          <t>EXT03_1</t>
        </is>
      </c>
      <c r="C197" s="49" t="n">
        <v>1</v>
      </c>
      <c r="D197" s="49" t="n">
        <v>1</v>
      </c>
      <c r="E197" s="38" t="inlineStr">
        <is>
          <t>Managers handle property and access informally, sometimes after the person has left.</t>
        </is>
      </c>
      <c r="F197" s="38" t="inlineStr">
        <is>
          <t>Assumption-dependent or inconsistent practice</t>
        </is>
      </c>
      <c r="G197" s="38" t="inlineStr">
        <is>
          <t>Outcome EXT03_1 supplies provisional risk, priority, reasons and actions. Apply contextual escalation separately.</t>
        </is>
      </c>
      <c r="H197" s="38" t="inlineStr">
        <is>
          <t>Confirmed exclusion only; DK retains the eligible denominator.</t>
        </is>
      </c>
      <c r="I197" s="38" t="inlineStr">
        <is>
          <t>Choose this when the process depends on assumptions, personal knowledge or ad hoc handling rather than a dependable check.</t>
        </is>
      </c>
      <c r="J197" s="38" t="inlineStr">
        <is>
          <t>A completed offboarding record showing access, property, handover and record retention.</t>
        </is>
      </c>
      <c r="K197" s="38" t="inlineStr">
        <is>
          <t>EXT03_1</t>
        </is>
      </c>
    </row>
    <row r="198" ht="61" customHeight="1">
      <c r="A198" s="37" t="inlineStr">
        <is>
          <t>EXT03</t>
        </is>
      </c>
      <c r="B198" s="37" t="inlineStr">
        <is>
          <t>EXT03_2</t>
        </is>
      </c>
      <c r="C198" s="48" t="n">
        <v>2</v>
      </c>
      <c r="D198" s="48" t="n">
        <v>2</v>
      </c>
      <c r="E198" s="37" t="inlineStr">
        <is>
          <t>We have a checklist, but handover, access or records are not always completed.</t>
        </is>
      </c>
      <c r="F198" s="37" t="inlineStr">
        <is>
          <t>Partly established; residual gap remains</t>
        </is>
      </c>
      <c r="G198" s="37" t="inlineStr">
        <is>
          <t>Outcome EXT03_2 supplies provisional risk, priority, reasons and actions. Apply contextual escalation separately.</t>
        </is>
      </c>
      <c r="H198" s="37" t="inlineStr">
        <is>
          <t>Confirmed exclusion only; DK retains the eligible denominator.</t>
        </is>
      </c>
      <c r="I198" s="37" t="inlineStr">
        <is>
          <t>Choose this when important parts exist but at least one part of the statement remains unresolved. The report should target that gap, not require a full rebuild.</t>
        </is>
      </c>
      <c r="J198" s="37" t="inlineStr">
        <is>
          <t>A completed offboarding record showing access, property, handover and record retention.</t>
        </is>
      </c>
      <c r="K198" s="37" t="inlineStr">
        <is>
          <t>EXT03_2</t>
        </is>
      </c>
    </row>
    <row r="199" ht="61" customHeight="1">
      <c r="A199" s="38" t="inlineStr">
        <is>
          <t>EXT03</t>
        </is>
      </c>
      <c r="B199" s="38" t="inlineStr">
        <is>
          <t>EXT03_3</t>
        </is>
      </c>
      <c r="C199" s="49" t="n">
        <v>3</v>
      </c>
      <c r="D199" s="49" t="n">
        <v>3</v>
      </c>
      <c r="E199" s="38" t="inlineStr">
        <is>
          <t>We coordinate handover, property, appropriately timed access changes and record preservation, with a named owner confirming completion.</t>
        </is>
      </c>
      <c r="F199" s="38" t="inlineStr">
        <is>
          <t>Established practice reported, not independently verified</t>
        </is>
      </c>
      <c r="G199" s="38" t="inlineStr">
        <is>
          <t>Outcome EXT03_3 supplies provisional risk, priority, reasons and actions. Apply contextual escalation separately.</t>
        </is>
      </c>
      <c r="H199" s="38" t="inlineStr">
        <is>
          <t>Confirmed exclusion only; DK retains the eligible denominator.</t>
        </is>
      </c>
      <c r="I199" s="38" t="inlineStr">
        <is>
          <t>Choose this only when the whole statement describes routine practice and you can point to a recent example or a tested readiness process. One successful exception is not enough.</t>
        </is>
      </c>
      <c r="J199" s="38" t="inlineStr">
        <is>
          <t>A completed offboarding record showing access, property, handover and record retention.</t>
        </is>
      </c>
      <c r="K199" s="38" t="inlineStr">
        <is>
          <t>EXT03_3</t>
        </is>
      </c>
    </row>
    <row r="200" ht="61" customHeight="1">
      <c r="A200" s="37" t="inlineStr">
        <is>
          <t>EXT03</t>
        </is>
      </c>
      <c r="B200" s="37" t="inlineStr">
        <is>
          <t>EXT03_DK</t>
        </is>
      </c>
      <c r="C200" s="37" t="inlineStr">
        <is>
          <t>DK</t>
        </is>
      </c>
      <c r="D200" s="48" t="n">
        <v>0</v>
      </c>
      <c r="E200" s="37" t="inlineStr">
        <is>
          <t>I need to confirm this.</t>
        </is>
      </c>
      <c r="F200" s="37" t="inlineStr">
        <is>
          <t>Unverified, not an established failure</t>
        </is>
      </c>
      <c r="G200" s="37" t="inlineStr">
        <is>
          <t>Outcome EXT03_DK supplies provisional risk, priority, reasons and actions. Apply contextual escalation separately.</t>
        </is>
      </c>
      <c r="H200" s="37" t="inlineStr">
        <is>
          <t>Confirmed exclusion only; DK retains the eligible denominator.</t>
        </is>
      </c>
      <c r="I200" s="37" t="inlineStr">
        <is>
          <t>Choose this rather than guessing when you cannot confirm the practice or its consistency. You can save the assessment and ask the responsible person.</t>
        </is>
      </c>
      <c r="J200" s="37" t="inlineStr">
        <is>
          <t>A completed offboarding record showing access, property, handover and record retention.</t>
        </is>
      </c>
      <c r="K200" s="37" t="inlineStr">
        <is>
          <t>EXT03_DK</t>
        </is>
      </c>
    </row>
    <row r="201" ht="61" customHeight="1">
      <c r="A201" s="38" t="inlineStr">
        <is>
          <t>PSY01</t>
        </is>
      </c>
      <c r="B201" s="38" t="inlineStr">
        <is>
          <t>PSY01_0</t>
        </is>
      </c>
      <c r="C201" s="49" t="n">
        <v>0</v>
      </c>
      <c r="D201" s="49" t="n">
        <v>0</v>
      </c>
      <c r="E201" s="38" t="inlineStr">
        <is>
          <t>We have not considered work-related psychosocial hazards.</t>
        </is>
      </c>
      <c r="F201" s="38" t="inlineStr">
        <is>
          <t>Practice absent or not established as described</t>
        </is>
      </c>
      <c r="G201" s="38" t="inlineStr">
        <is>
          <t>Outcome PSY01_0 supplies provisional risk, priority, reasons and actions. Apply contextual escalation separately.</t>
        </is>
      </c>
      <c r="H201" s="38" t="inlineStr">
        <is>
          <t>Confirmed exclusion only; DK retains the eligible denominator.</t>
        </is>
      </c>
      <c r="I201" s="38" t="inlineStr">
        <is>
          <t>Choose this when the statement describes the current position. Reporting a gap helps prioritise support; it is not an admission that a legal breach has occurred.</t>
        </is>
      </c>
      <c r="J201" s="38" t="inlineStr">
        <is>
          <t>A proportionate psychosocial hazard assessment informed by workers and relevant evidence.</t>
        </is>
      </c>
      <c r="K201" s="38" t="inlineStr">
        <is>
          <t>PSY01_0</t>
        </is>
      </c>
    </row>
    <row r="202" ht="61" customHeight="1">
      <c r="A202" s="37" t="inlineStr">
        <is>
          <t>PSY01</t>
        </is>
      </c>
      <c r="B202" s="37" t="inlineStr">
        <is>
          <t>PSY01_1</t>
        </is>
      </c>
      <c r="C202" s="48" t="n">
        <v>1</v>
      </c>
      <c r="D202" s="48" t="n">
        <v>1</v>
      </c>
      <c r="E202" s="37" t="inlineStr">
        <is>
          <t>We focus on wellbeing activities or respond only after someone raises a concern.</t>
        </is>
      </c>
      <c r="F202" s="37" t="inlineStr">
        <is>
          <t>Assumption-dependent or inconsistent practice</t>
        </is>
      </c>
      <c r="G202" s="37" t="inlineStr">
        <is>
          <t>Outcome PSY01_1 supplies provisional risk, priority, reasons and actions. Apply contextual escalation separately.</t>
        </is>
      </c>
      <c r="H202" s="37" t="inlineStr">
        <is>
          <t>Confirmed exclusion only; DK retains the eligible denominator.</t>
        </is>
      </c>
      <c r="I202" s="37" t="inlineStr">
        <is>
          <t>Choose this when the process depends on assumptions, personal knowledge or ad hoc handling rather than a dependable check.</t>
        </is>
      </c>
      <c r="J202" s="37" t="inlineStr">
        <is>
          <t>A proportionate psychosocial hazard assessment informed by workers and relevant evidence.</t>
        </is>
      </c>
      <c r="K202" s="37" t="inlineStr">
        <is>
          <t>PSY01_1</t>
        </is>
      </c>
    </row>
    <row r="203" ht="61" customHeight="1">
      <c r="A203" s="38" t="inlineStr">
        <is>
          <t>PSY01</t>
        </is>
      </c>
      <c r="B203" s="38" t="inlineStr">
        <is>
          <t>PSY01_2</t>
        </is>
      </c>
      <c r="C203" s="49" t="n">
        <v>2</v>
      </c>
      <c r="D203" s="49" t="n">
        <v>2</v>
      </c>
      <c r="E203" s="38" t="inlineStr">
        <is>
          <t>We have identified some hazards, but worker input or coverage of different roles is incomplete.</t>
        </is>
      </c>
      <c r="F203" s="38" t="inlineStr">
        <is>
          <t>Partly established; residual gap remains</t>
        </is>
      </c>
      <c r="G203" s="38" t="inlineStr">
        <is>
          <t>Outcome PSY01_2 supplies provisional risk, priority, reasons and actions. Apply contextual escalation separately.</t>
        </is>
      </c>
      <c r="H203" s="38" t="inlineStr">
        <is>
          <t>Confirmed exclusion only; DK retains the eligible denominator.</t>
        </is>
      </c>
      <c r="I203" s="38" t="inlineStr">
        <is>
          <t>Choose this when important parts exist but at least one part of the statement remains unresolved. The report should target that gap, not require a full rebuild.</t>
        </is>
      </c>
      <c r="J203" s="38" t="inlineStr">
        <is>
          <t>A proportionate psychosocial hazard assessment informed by workers and relevant evidence.</t>
        </is>
      </c>
      <c r="K203" s="38" t="inlineStr">
        <is>
          <t>PSY01_2</t>
        </is>
      </c>
    </row>
    <row r="204" ht="61" customHeight="1">
      <c r="A204" s="37" t="inlineStr">
        <is>
          <t>PSY01</t>
        </is>
      </c>
      <c r="B204" s="37" t="inlineStr">
        <is>
          <t>PSY01_3</t>
        </is>
      </c>
      <c r="C204" s="48" t="n">
        <v>3</v>
      </c>
      <c r="D204" s="48" t="n">
        <v>3</v>
      </c>
      <c r="E204" s="37" t="inlineStr">
        <is>
          <t>We consult workers and identify relevant hazards across tasks, roles and work settings, including how hazards can combine.</t>
        </is>
      </c>
      <c r="F204" s="37" t="inlineStr">
        <is>
          <t>Established practice reported, not independently verified</t>
        </is>
      </c>
      <c r="G204" s="37" t="inlineStr">
        <is>
          <t>Outcome PSY01_3 supplies provisional risk, priority, reasons and actions. Apply contextual escalation separately.</t>
        </is>
      </c>
      <c r="H204" s="37" t="inlineStr">
        <is>
          <t>Confirmed exclusion only; DK retains the eligible denominator.</t>
        </is>
      </c>
      <c r="I204" s="37" t="inlineStr">
        <is>
          <t>Choose this only when the whole statement describes routine practice and you can point to a recent example or a tested readiness process. One successful exception is not enough.</t>
        </is>
      </c>
      <c r="J204" s="37" t="inlineStr">
        <is>
          <t>A proportionate psychosocial hazard assessment informed by workers and relevant evidence.</t>
        </is>
      </c>
      <c r="K204" s="37" t="inlineStr">
        <is>
          <t>PSY01_3</t>
        </is>
      </c>
    </row>
    <row r="205" ht="61" customHeight="1">
      <c r="A205" s="38" t="inlineStr">
        <is>
          <t>PSY01</t>
        </is>
      </c>
      <c r="B205" s="38" t="inlineStr">
        <is>
          <t>PSY01_DK</t>
        </is>
      </c>
      <c r="C205" s="38" t="inlineStr">
        <is>
          <t>DK</t>
        </is>
      </c>
      <c r="D205" s="49" t="n">
        <v>0</v>
      </c>
      <c r="E205" s="38" t="inlineStr">
        <is>
          <t>I need to confirm this.</t>
        </is>
      </c>
      <c r="F205" s="38" t="inlineStr">
        <is>
          <t>Unverified, not an established failure</t>
        </is>
      </c>
      <c r="G205" s="38" t="inlineStr">
        <is>
          <t>Outcome PSY01_DK supplies provisional risk, priority, reasons and actions. Apply contextual escalation separately.</t>
        </is>
      </c>
      <c r="H205" s="38" t="inlineStr">
        <is>
          <t>Confirmed exclusion only; DK retains the eligible denominator.</t>
        </is>
      </c>
      <c r="I205" s="38" t="inlineStr">
        <is>
          <t>Choose this rather than guessing when you cannot confirm the practice or its consistency. You can save the assessment and ask the responsible person.</t>
        </is>
      </c>
      <c r="J205" s="38" t="inlineStr">
        <is>
          <t>A proportionate psychosocial hazard assessment informed by workers and relevant evidence.</t>
        </is>
      </c>
      <c r="K205" s="38" t="inlineStr">
        <is>
          <t>PSY01_DK</t>
        </is>
      </c>
    </row>
    <row r="206" ht="61" customHeight="1">
      <c r="A206" s="37" t="inlineStr">
        <is>
          <t>PSY02</t>
        </is>
      </c>
      <c r="B206" s="37" t="inlineStr">
        <is>
          <t>PSY02_0</t>
        </is>
      </c>
      <c r="C206" s="48" t="n">
        <v>0</v>
      </c>
      <c r="D206" s="48" t="n">
        <v>0</v>
      </c>
      <c r="E206" s="37" t="inlineStr">
        <is>
          <t>We have not identified or put in place relevant controls.</t>
        </is>
      </c>
      <c r="F206" s="37" t="inlineStr">
        <is>
          <t>Practice absent or not established as described</t>
        </is>
      </c>
      <c r="G206" s="37" t="inlineStr">
        <is>
          <t>Outcome PSY02_0 supplies provisional risk, priority, reasons and actions. Apply contextual escalation separately.</t>
        </is>
      </c>
      <c r="H206" s="37" t="inlineStr">
        <is>
          <t>Confirmed exclusion only; DK retains the eligible denominator.</t>
        </is>
      </c>
      <c r="I206" s="37" t="inlineStr">
        <is>
          <t>Choose this when the statement describes the current position. Reporting a gap helps prioritise support; it is not an admission that a legal breach has occurred.</t>
        </is>
      </c>
      <c r="J206" s="37" t="inlineStr">
        <is>
          <t>A control record showing the change made and evidence about whether it is working.</t>
        </is>
      </c>
      <c r="K206" s="37" t="inlineStr">
        <is>
          <t>PSY02_0</t>
        </is>
      </c>
    </row>
    <row r="207" ht="61" customHeight="1">
      <c r="A207" s="38" t="inlineStr">
        <is>
          <t>PSY02</t>
        </is>
      </c>
      <c r="B207" s="38" t="inlineStr">
        <is>
          <t>PSY02_1</t>
        </is>
      </c>
      <c r="C207" s="49" t="n">
        <v>1</v>
      </c>
      <c r="D207" s="49" t="n">
        <v>1</v>
      </c>
      <c r="E207" s="38" t="inlineStr">
        <is>
          <t>We mainly offer awareness activities, resilience advice or support after problems arise.</t>
        </is>
      </c>
      <c r="F207" s="38" t="inlineStr">
        <is>
          <t>Assumption-dependent or inconsistent practice</t>
        </is>
      </c>
      <c r="G207" s="38" t="inlineStr">
        <is>
          <t>Outcome PSY02_1 supplies provisional risk, priority, reasons and actions. Apply contextual escalation separately.</t>
        </is>
      </c>
      <c r="H207" s="38" t="inlineStr">
        <is>
          <t>Confirmed exclusion only; DK retains the eligible denominator.</t>
        </is>
      </c>
      <c r="I207" s="38" t="inlineStr">
        <is>
          <t>Choose this when the process depends on assumptions, personal knowledge or ad hoc handling rather than a dependable check.</t>
        </is>
      </c>
      <c r="J207" s="38" t="inlineStr">
        <is>
          <t>A control record showing the change made and evidence about whether it is working.</t>
        </is>
      </c>
      <c r="K207" s="38" t="inlineStr">
        <is>
          <t>PSY02_1</t>
        </is>
      </c>
    </row>
    <row r="208" ht="61" customHeight="1">
      <c r="A208" s="37" t="inlineStr">
        <is>
          <t>PSY02</t>
        </is>
      </c>
      <c r="B208" s="37" t="inlineStr">
        <is>
          <t>PSY02_2</t>
        </is>
      </c>
      <c r="C208" s="48" t="n">
        <v>2</v>
      </c>
      <c r="D208" s="48" t="n">
        <v>2</v>
      </c>
      <c r="E208" s="37" t="inlineStr">
        <is>
          <t>We have made some changes, but responsibility or effectiveness checks are incomplete.</t>
        </is>
      </c>
      <c r="F208" s="37" t="inlineStr">
        <is>
          <t>Partly established; residual gap remains</t>
        </is>
      </c>
      <c r="G208" s="37" t="inlineStr">
        <is>
          <t>Outcome PSY02_2 supplies provisional risk, priority, reasons and actions. Apply contextual escalation separately.</t>
        </is>
      </c>
      <c r="H208" s="37" t="inlineStr">
        <is>
          <t>Confirmed exclusion only; DK retains the eligible denominator.</t>
        </is>
      </c>
      <c r="I208" s="37" t="inlineStr">
        <is>
          <t>Choose this when important parts exist but at least one part of the statement remains unresolved. The report should target that gap, not require a full rebuild.</t>
        </is>
      </c>
      <c r="J208" s="37" t="inlineStr">
        <is>
          <t>A control record showing the change made and evidence about whether it is working.</t>
        </is>
      </c>
      <c r="K208" s="37" t="inlineStr">
        <is>
          <t>PSY02_2</t>
        </is>
      </c>
    </row>
    <row r="209" ht="61" customHeight="1">
      <c r="A209" s="38" t="inlineStr">
        <is>
          <t>PSY02</t>
        </is>
      </c>
      <c r="B209" s="38" t="inlineStr">
        <is>
          <t>PSY02_3</t>
        </is>
      </c>
      <c r="C209" s="49" t="n">
        <v>3</v>
      </c>
      <c r="D209" s="49" t="n">
        <v>3</v>
      </c>
      <c r="E209" s="38" t="inlineStr">
        <is>
          <t>We have proportionate controls in place, assigned owners and checked whether they reduce exposure to the relevant risks.</t>
        </is>
      </c>
      <c r="F209" s="38" t="inlineStr">
        <is>
          <t>Established practice reported, not independently verified</t>
        </is>
      </c>
      <c r="G209" s="38" t="inlineStr">
        <is>
          <t>Outcome PSY02_3 supplies provisional risk, priority, reasons and actions. Apply contextual escalation separately.</t>
        </is>
      </c>
      <c r="H209" s="38" t="inlineStr">
        <is>
          <t>Confirmed exclusion only; DK retains the eligible denominator.</t>
        </is>
      </c>
      <c r="I209" s="38" t="inlineStr">
        <is>
          <t>Choose this only when the whole statement describes routine practice and you can point to a recent example or a tested readiness process. One successful exception is not enough.</t>
        </is>
      </c>
      <c r="J209" s="38" t="inlineStr">
        <is>
          <t>A control record showing the change made and evidence about whether it is working.</t>
        </is>
      </c>
      <c r="K209" s="38" t="inlineStr">
        <is>
          <t>PSY02_3</t>
        </is>
      </c>
    </row>
    <row r="210" ht="61" customHeight="1">
      <c r="A210" s="37" t="inlineStr">
        <is>
          <t>PSY02</t>
        </is>
      </c>
      <c r="B210" s="37" t="inlineStr">
        <is>
          <t>PSY02_DK</t>
        </is>
      </c>
      <c r="C210" s="37" t="inlineStr">
        <is>
          <t>DK</t>
        </is>
      </c>
      <c r="D210" s="48" t="n">
        <v>0</v>
      </c>
      <c r="E210" s="37" t="inlineStr">
        <is>
          <t>I need to confirm this.</t>
        </is>
      </c>
      <c r="F210" s="37" t="inlineStr">
        <is>
          <t>Unverified, not an established failure</t>
        </is>
      </c>
      <c r="G210" s="37" t="inlineStr">
        <is>
          <t>Outcome PSY02_DK supplies provisional risk, priority, reasons and actions. Apply contextual escalation separately.</t>
        </is>
      </c>
      <c r="H210" s="37" t="inlineStr">
        <is>
          <t>Confirmed exclusion only; DK retains the eligible denominator.</t>
        </is>
      </c>
      <c r="I210" s="37" t="inlineStr">
        <is>
          <t>Choose this rather than guessing when you cannot confirm the practice or its consistency. You can save the assessment and ask the responsible person.</t>
        </is>
      </c>
      <c r="J210" s="37" t="inlineStr">
        <is>
          <t>A control record showing the change made and evidence about whether it is working.</t>
        </is>
      </c>
      <c r="K210" s="37" t="inlineStr">
        <is>
          <t>PSY02_DK</t>
        </is>
      </c>
    </row>
    <row r="211" ht="61" customHeight="1">
      <c r="A211" s="38" t="inlineStr">
        <is>
          <t>PSY03</t>
        </is>
      </c>
      <c r="B211" s="38" t="inlineStr">
        <is>
          <t>PSY03_0</t>
        </is>
      </c>
      <c r="C211" s="49" t="n">
        <v>0</v>
      </c>
      <c r="D211" s="49" t="n">
        <v>0</v>
      </c>
      <c r="E211" s="38" t="inlineStr">
        <is>
          <t>We have not taken deliberate preventative steps.</t>
        </is>
      </c>
      <c r="F211" s="38" t="inlineStr">
        <is>
          <t>Practice absent or not established as described</t>
        </is>
      </c>
      <c r="G211" s="38" t="inlineStr">
        <is>
          <t>Outcome PSY03_0 supplies provisional risk, priority, reasons and actions. Apply contextual escalation separately.</t>
        </is>
      </c>
      <c r="H211" s="38" t="inlineStr">
        <is>
          <t>Confirmed exclusion only; DK retains the eligible denominator.</t>
        </is>
      </c>
      <c r="I211" s="38" t="inlineStr">
        <is>
          <t>Choose this when the statement describes the current position. Reporting a gap helps prioritise support; it is not an admission that a legal breach has occurred.</t>
        </is>
      </c>
      <c r="J211" s="38" t="inlineStr">
        <is>
          <t>A prevention plan and implementation evidence covering the relevant AHRC standards, scaled to the business.</t>
        </is>
      </c>
      <c r="K211" s="38" t="inlineStr">
        <is>
          <t>PSY03_0</t>
        </is>
      </c>
    </row>
    <row r="212" ht="61" customHeight="1">
      <c r="A212" s="37" t="inlineStr">
        <is>
          <t>PSY03</t>
        </is>
      </c>
      <c r="B212" s="37" t="inlineStr">
        <is>
          <t>PSY03_1</t>
        </is>
      </c>
      <c r="C212" s="48" t="n">
        <v>1</v>
      </c>
      <c r="D212" s="48" t="n">
        <v>1</v>
      </c>
      <c r="E212" s="37" t="inlineStr">
        <is>
          <t>We have a policy or training, but little assessment of where the risks arise.</t>
        </is>
      </c>
      <c r="F212" s="37" t="inlineStr">
        <is>
          <t>Assumption-dependent or inconsistent practice</t>
        </is>
      </c>
      <c r="G212" s="37" t="inlineStr">
        <is>
          <t>Outcome PSY03_1 supplies provisional risk, priority, reasons and actions. Apply contextual escalation separately.</t>
        </is>
      </c>
      <c r="H212" s="37" t="inlineStr">
        <is>
          <t>Confirmed exclusion only; DK retains the eligible denominator.</t>
        </is>
      </c>
      <c r="I212" s="37" t="inlineStr">
        <is>
          <t>Choose this when the process depends on assumptions, personal knowledge or ad hoc handling rather than a dependable check.</t>
        </is>
      </c>
      <c r="J212" s="37" t="inlineStr">
        <is>
          <t>A prevention plan and implementation evidence covering the relevant AHRC standards, scaled to the business.</t>
        </is>
      </c>
      <c r="K212" s="37" t="inlineStr">
        <is>
          <t>PSY03_1</t>
        </is>
      </c>
    </row>
    <row r="213" ht="61" customHeight="1">
      <c r="A213" s="38" t="inlineStr">
        <is>
          <t>PSY03</t>
        </is>
      </c>
      <c r="B213" s="38" t="inlineStr">
        <is>
          <t>PSY03_2</t>
        </is>
      </c>
      <c r="C213" s="49" t="n">
        <v>2</v>
      </c>
      <c r="D213" s="49" t="n">
        <v>2</v>
      </c>
      <c r="E213" s="38" t="inlineStr">
        <is>
          <t>We have prevention measures, but leadership accountability, risk review or follow-through is incomplete.</t>
        </is>
      </c>
      <c r="F213" s="38" t="inlineStr">
        <is>
          <t>Partly established; residual gap remains</t>
        </is>
      </c>
      <c r="G213" s="38" t="inlineStr">
        <is>
          <t>Outcome PSY03_2 supplies provisional risk, priority, reasons and actions. Apply contextual escalation separately.</t>
        </is>
      </c>
      <c r="H213" s="38" t="inlineStr">
        <is>
          <t>Confirmed exclusion only; DK retains the eligible denominator.</t>
        </is>
      </c>
      <c r="I213" s="38" t="inlineStr">
        <is>
          <t>Choose this when important parts exist but at least one part of the statement remains unresolved. The report should target that gap, not require a full rebuild.</t>
        </is>
      </c>
      <c r="J213" s="38" t="inlineStr">
        <is>
          <t>A prevention plan and implementation evidence covering the relevant AHRC standards, scaled to the business.</t>
        </is>
      </c>
      <c r="K213" s="38" t="inlineStr">
        <is>
          <t>PSY03_2</t>
        </is>
      </c>
    </row>
    <row r="214" ht="61" customHeight="1">
      <c r="A214" s="37" t="inlineStr">
        <is>
          <t>PSY03</t>
        </is>
      </c>
      <c r="B214" s="37" t="inlineStr">
        <is>
          <t>PSY03_3</t>
        </is>
      </c>
      <c r="C214" s="48" t="n">
        <v>3</v>
      </c>
      <c r="D214" s="48" t="n">
        <v>3</v>
      </c>
      <c r="E214" s="37" t="inlineStr">
        <is>
          <t>Leaders take responsibility for proportionate prevention, risk controls, clear expectations, support, reporting and review.</t>
        </is>
      </c>
      <c r="F214" s="37" t="inlineStr">
        <is>
          <t>Established practice reported, not independently verified</t>
        </is>
      </c>
      <c r="G214" s="37" t="inlineStr">
        <is>
          <t>Outcome PSY03_3 supplies provisional risk, priority, reasons and actions. Apply contextual escalation separately.</t>
        </is>
      </c>
      <c r="H214" s="37" t="inlineStr">
        <is>
          <t>Confirmed exclusion only; DK retains the eligible denominator.</t>
        </is>
      </c>
      <c r="I214" s="37" t="inlineStr">
        <is>
          <t>Choose this only when the whole statement describes routine practice and you can point to a recent example or a tested readiness process. One successful exception is not enough.</t>
        </is>
      </c>
      <c r="J214" s="37" t="inlineStr">
        <is>
          <t>A prevention plan and implementation evidence covering the relevant AHRC standards, scaled to the business.</t>
        </is>
      </c>
      <c r="K214" s="37" t="inlineStr">
        <is>
          <t>PSY03_3</t>
        </is>
      </c>
    </row>
    <row r="215" ht="61" customHeight="1">
      <c r="A215" s="38" t="inlineStr">
        <is>
          <t>PSY03</t>
        </is>
      </c>
      <c r="B215" s="38" t="inlineStr">
        <is>
          <t>PSY03_DK</t>
        </is>
      </c>
      <c r="C215" s="38" t="inlineStr">
        <is>
          <t>DK</t>
        </is>
      </c>
      <c r="D215" s="49" t="n">
        <v>0</v>
      </c>
      <c r="E215" s="38" t="inlineStr">
        <is>
          <t>I need to confirm this.</t>
        </is>
      </c>
      <c r="F215" s="38" t="inlineStr">
        <is>
          <t>Unverified, not an established failure</t>
        </is>
      </c>
      <c r="G215" s="38" t="inlineStr">
        <is>
          <t>Outcome PSY03_DK supplies provisional risk, priority, reasons and actions. Apply contextual escalation separately.</t>
        </is>
      </c>
      <c r="H215" s="38" t="inlineStr">
        <is>
          <t>Confirmed exclusion only; DK retains the eligible denominator.</t>
        </is>
      </c>
      <c r="I215" s="38" t="inlineStr">
        <is>
          <t>Choose this rather than guessing when you cannot confirm the practice or its consistency. You can save the assessment and ask the responsible person.</t>
        </is>
      </c>
      <c r="J215" s="38" t="inlineStr">
        <is>
          <t>A prevention plan and implementation evidence covering the relevant AHRC standards, scaled to the business.</t>
        </is>
      </c>
      <c r="K215" s="38" t="inlineStr">
        <is>
          <t>PSY03_DK</t>
        </is>
      </c>
    </row>
    <row r="216" ht="61" customHeight="1">
      <c r="A216" s="37" t="inlineStr">
        <is>
          <t>PSY04</t>
        </is>
      </c>
      <c r="B216" s="37" t="inlineStr">
        <is>
          <t>PSY04_0</t>
        </is>
      </c>
      <c r="C216" s="48" t="n">
        <v>0</v>
      </c>
      <c r="D216" s="48" t="n">
        <v>0</v>
      </c>
      <c r="E216" s="37" t="inlineStr">
        <is>
          <t>There is no credible route for that situation.</t>
        </is>
      </c>
      <c r="F216" s="37" t="inlineStr">
        <is>
          <t>Practice absent or not established as described</t>
        </is>
      </c>
      <c r="G216" s="37" t="inlineStr">
        <is>
          <t>Outcome PSY04_0 supplies provisional risk, priority, reasons and actions. Apply contextual escalation separately.</t>
        </is>
      </c>
      <c r="H216" s="37" t="inlineStr">
        <is>
          <t>Confirmed exclusion only; DK retains the eligible denominator.</t>
        </is>
      </c>
      <c r="I216" s="37" t="inlineStr">
        <is>
          <t>Choose this when the statement describes the current position. Reporting a gap helps prioritise support; it is not an admission that a legal breach has occurred.</t>
        </is>
      </c>
      <c r="J216" s="37" t="inlineStr">
        <is>
          <t>Staff can identify and use a credible alternative route when the normal contact is involved, the recipient can arrange an appropriate response, and confidentiality and protection-from-retaliation safeguards have been tested.</t>
        </is>
      </c>
      <c r="K216" s="37" t="inlineStr">
        <is>
          <t>PSY04_0</t>
        </is>
      </c>
    </row>
    <row r="217" ht="61" customHeight="1">
      <c r="A217" s="38" t="inlineStr">
        <is>
          <t>PSY04</t>
        </is>
      </c>
      <c r="B217" s="38" t="inlineStr">
        <is>
          <t>PSY04_1</t>
        </is>
      </c>
      <c r="C217" s="49" t="n">
        <v>1</v>
      </c>
      <c r="D217" s="49" t="n">
        <v>1</v>
      </c>
      <c r="E217" s="38" t="inlineStr">
        <is>
          <t>People are expected to raise all concerns through their direct manager or the owner.</t>
        </is>
      </c>
      <c r="F217" s="38" t="inlineStr">
        <is>
          <t>Assumption-dependent or inconsistent practice</t>
        </is>
      </c>
      <c r="G217" s="38" t="inlineStr">
        <is>
          <t>Outcome PSY04_1 supplies provisional risk, priority, reasons and actions. Apply contextual escalation separately.</t>
        </is>
      </c>
      <c r="H217" s="38" t="inlineStr">
        <is>
          <t>Confirmed exclusion only; DK retains the eligible denominator.</t>
        </is>
      </c>
      <c r="I217" s="38" t="inlineStr">
        <is>
          <t>Choose this when the process depends on assumptions, personal knowledge or ad hoc handling rather than a dependable check.</t>
        </is>
      </c>
      <c r="J217" s="38" t="inlineStr">
        <is>
          <t>Staff can identify and use a credible alternative route when the normal contact is involved, the recipient can arrange an appropriate response, and confidentiality and protection-from-retaliation safeguards have been tested.</t>
        </is>
      </c>
      <c r="K217" s="38" t="inlineStr">
        <is>
          <t>PSY04_1</t>
        </is>
      </c>
    </row>
    <row r="218" ht="61" customHeight="1">
      <c r="A218" s="37" t="inlineStr">
        <is>
          <t>PSY04</t>
        </is>
      </c>
      <c r="B218" s="37" t="inlineStr">
        <is>
          <t>PSY04_2</t>
        </is>
      </c>
      <c r="C218" s="48" t="n">
        <v>2</v>
      </c>
      <c r="D218" s="48" t="n">
        <v>2</v>
      </c>
      <c r="E218" s="37" t="inlineStr">
        <is>
          <t>An alternative exists, but staff awareness, impartiality or protection from retaliation needs checking.</t>
        </is>
      </c>
      <c r="F218" s="37" t="inlineStr">
        <is>
          <t>Partly established; residual gap remains</t>
        </is>
      </c>
      <c r="G218" s="37" t="inlineStr">
        <is>
          <t>Outcome PSY04_2 supplies provisional risk, priority, reasons and actions. Apply contextual escalation separately.</t>
        </is>
      </c>
      <c r="H218" s="37" t="inlineStr">
        <is>
          <t>Confirmed exclusion only; DK retains the eligible denominator.</t>
        </is>
      </c>
      <c r="I218" s="37" t="inlineStr">
        <is>
          <t>Choose this when important parts exist but at least one part of the statement remains unresolved. The report should target that gap, not require a full rebuild.</t>
        </is>
      </c>
      <c r="J218" s="37" t="inlineStr">
        <is>
          <t>Staff can identify and use a credible alternative route when the normal contact is involved, the recipient can arrange an appropriate response, and confidentiality and protection-from-retaliation safeguards have been tested.</t>
        </is>
      </c>
      <c r="K218" s="37" t="inlineStr">
        <is>
          <t>PSY04_2</t>
        </is>
      </c>
    </row>
    <row r="219" ht="61" customHeight="1">
      <c r="A219" s="38" t="inlineStr">
        <is>
          <t>PSY04</t>
        </is>
      </c>
      <c r="B219" s="38" t="inlineStr">
        <is>
          <t>PSY04_3</t>
        </is>
      </c>
      <c r="C219" s="49" t="n">
        <v>3</v>
      </c>
      <c r="D219" s="49" t="n">
        <v>3</v>
      </c>
      <c r="E219" s="38" t="inlineStr">
        <is>
          <t>People know a credible alternative route, concerns are handled appropriately and the business acts to prevent retaliation.</t>
        </is>
      </c>
      <c r="F219" s="38" t="inlineStr">
        <is>
          <t>Established practice reported, not independently verified</t>
        </is>
      </c>
      <c r="G219" s="38" t="inlineStr">
        <is>
          <t>Outcome PSY04_3 supplies provisional risk, priority, reasons and actions. Apply contextual escalation separately.</t>
        </is>
      </c>
      <c r="H219" s="38" t="inlineStr">
        <is>
          <t>Confirmed exclusion only; DK retains the eligible denominator.</t>
        </is>
      </c>
      <c r="I219" s="38" t="inlineStr">
        <is>
          <t>Choose this only when the whole statement describes routine practice and you can point to a recent example or a tested readiness process. One successful exception is not enough.</t>
        </is>
      </c>
      <c r="J219" s="38" t="inlineStr">
        <is>
          <t>Staff can identify and use a credible alternative route when the normal contact is involved, the recipient can arrange an appropriate response, and confidentiality and protection-from-retaliation safeguards have been tested.</t>
        </is>
      </c>
      <c r="K219" s="38" t="inlineStr">
        <is>
          <t>PSY04_3</t>
        </is>
      </c>
    </row>
    <row r="220" ht="61" customHeight="1">
      <c r="A220" s="37" t="inlineStr">
        <is>
          <t>PSY04</t>
        </is>
      </c>
      <c r="B220" s="37" t="inlineStr">
        <is>
          <t>PSY04_DK</t>
        </is>
      </c>
      <c r="C220" s="37" t="inlineStr">
        <is>
          <t>DK</t>
        </is>
      </c>
      <c r="D220" s="48" t="n">
        <v>0</v>
      </c>
      <c r="E220" s="37" t="inlineStr">
        <is>
          <t>I need to confirm this.</t>
        </is>
      </c>
      <c r="F220" s="37" t="inlineStr">
        <is>
          <t>Unverified, not an established failure</t>
        </is>
      </c>
      <c r="G220" s="37" t="inlineStr">
        <is>
          <t>Outcome PSY04_DK supplies provisional risk, priority, reasons and actions. Apply contextual escalation separately.</t>
        </is>
      </c>
      <c r="H220" s="37" t="inlineStr">
        <is>
          <t>Confirmed exclusion only; DK retains the eligible denominator.</t>
        </is>
      </c>
      <c r="I220" s="37" t="inlineStr">
        <is>
          <t>Choose this rather than guessing when you cannot confirm the practice or its consistency. You can save the assessment and ask the responsible person.</t>
        </is>
      </c>
      <c r="J220" s="37" t="inlineStr">
        <is>
          <t>Staff can identify and use a credible alternative route when the normal contact is involved, the recipient can arrange an appropriate response, and confidentiality and protection-from-retaliation safeguards have been tested.</t>
        </is>
      </c>
      <c r="K220" s="37" t="inlineStr">
        <is>
          <t>PSY04_DK</t>
        </is>
      </c>
    </row>
    <row r="221" ht="61" customHeight="1">
      <c r="A221" s="38" t="inlineStr">
        <is>
          <t>PSY05</t>
        </is>
      </c>
      <c r="B221" s="38" t="inlineStr">
        <is>
          <t>PSY05_0</t>
        </is>
      </c>
      <c r="C221" s="49" t="n">
        <v>0</v>
      </c>
      <c r="D221" s="49" t="n">
        <v>0</v>
      </c>
      <c r="E221" s="38" t="inlineStr">
        <is>
          <t>There is no clear response or support process.</t>
        </is>
      </c>
      <c r="F221" s="38" t="inlineStr">
        <is>
          <t>Practice absent or not established as described</t>
        </is>
      </c>
      <c r="G221" s="38" t="inlineStr">
        <is>
          <t>Outcome PSY05_0 supplies provisional risk, priority, reasons and actions. Apply contextual escalation separately.</t>
        </is>
      </c>
      <c r="H221" s="38" t="inlineStr">
        <is>
          <t>Confirmed exclusion only; DK retains the eligible denominator.</t>
        </is>
      </c>
      <c r="I221" s="38" t="inlineStr">
        <is>
          <t>Choose this when the statement describes the current position. Reporting a gap helps prioritise support; it is not an admission that a legal breach has occurred.</t>
        </is>
      </c>
      <c r="J221" s="38" t="inlineStr">
        <is>
          <t>A tested response and support pathway with clear roles, escalation and follow-up.</t>
        </is>
      </c>
      <c r="K221" s="38" t="inlineStr">
        <is>
          <t>PSY05_0</t>
        </is>
      </c>
    </row>
    <row r="222" ht="61" customHeight="1">
      <c r="A222" s="37" t="inlineStr">
        <is>
          <t>PSY05</t>
        </is>
      </c>
      <c r="B222" s="37" t="inlineStr">
        <is>
          <t>PSY05_1</t>
        </is>
      </c>
      <c r="C222" s="48" t="n">
        <v>1</v>
      </c>
      <c r="D222" s="48" t="n">
        <v>1</v>
      </c>
      <c r="E222" s="37" t="inlineStr">
        <is>
          <t>We would refer the person elsewhere, but our own responsibilities are unclear.</t>
        </is>
      </c>
      <c r="F222" s="37" t="inlineStr">
        <is>
          <t>Assumption-dependent or inconsistent practice</t>
        </is>
      </c>
      <c r="G222" s="37" t="inlineStr">
        <is>
          <t>Outcome PSY05_1 supplies provisional risk, priority, reasons and actions. Apply contextual escalation separately.</t>
        </is>
      </c>
      <c r="H222" s="37" t="inlineStr">
        <is>
          <t>Confirmed exclusion only; DK retains the eligible denominator.</t>
        </is>
      </c>
      <c r="I222" s="37" t="inlineStr">
        <is>
          <t>Choose this when the process depends on assumptions, personal knowledge or ad hoc handling rather than a dependable check.</t>
        </is>
      </c>
      <c r="J222" s="37" t="inlineStr">
        <is>
          <t>A tested response and support pathway with clear roles, escalation and follow-up.</t>
        </is>
      </c>
      <c r="K222" s="37" t="inlineStr">
        <is>
          <t>PSY05_1</t>
        </is>
      </c>
    </row>
    <row r="223" ht="61" customHeight="1">
      <c r="A223" s="38" t="inlineStr">
        <is>
          <t>PSY05</t>
        </is>
      </c>
      <c r="B223" s="38" t="inlineStr">
        <is>
          <t>PSY05_2</t>
        </is>
      </c>
      <c r="C223" s="49" t="n">
        <v>2</v>
      </c>
      <c r="D223" s="49" t="n">
        <v>2</v>
      </c>
      <c r="E223" s="38" t="inlineStr">
        <is>
          <t>We have some support and response arrangements, but boundaries or follow-up need checking.</t>
        </is>
      </c>
      <c r="F223" s="38" t="inlineStr">
        <is>
          <t>Partly established; residual gap remains</t>
        </is>
      </c>
      <c r="G223" s="38" t="inlineStr">
        <is>
          <t>Outcome PSY05_2 supplies provisional risk, priority, reasons and actions. Apply contextual escalation separately.</t>
        </is>
      </c>
      <c r="H223" s="38" t="inlineStr">
        <is>
          <t>Confirmed exclusion only; DK retains the eligible denominator.</t>
        </is>
      </c>
      <c r="I223" s="38" t="inlineStr">
        <is>
          <t>Choose this when important parts exist but at least one part of the statement remains unresolved. The report should target that gap, not require a full rebuild.</t>
        </is>
      </c>
      <c r="J223" s="38" t="inlineStr">
        <is>
          <t>A tested response and support pathway with clear roles, escalation and follow-up.</t>
        </is>
      </c>
      <c r="K223" s="38" t="inlineStr">
        <is>
          <t>PSY05_2</t>
        </is>
      </c>
    </row>
    <row r="224" ht="61" customHeight="1">
      <c r="A224" s="37" t="inlineStr">
        <is>
          <t>PSY05</t>
        </is>
      </c>
      <c r="B224" s="37" t="inlineStr">
        <is>
          <t>PSY05_3</t>
        </is>
      </c>
      <c r="C224" s="48" t="n">
        <v>3</v>
      </c>
      <c r="D224" s="48" t="n">
        <v>3</v>
      </c>
      <c r="E224" s="37" t="inlineStr">
        <is>
          <t>We can arrange appropriate support, manage safety and confidentiality, assess the concern fairly and check that follow-up occurs.</t>
        </is>
      </c>
      <c r="F224" s="37" t="inlineStr">
        <is>
          <t>Established practice reported, not independently verified</t>
        </is>
      </c>
      <c r="G224" s="37" t="inlineStr">
        <is>
          <t>Outcome PSY05_3 supplies provisional risk, priority, reasons and actions. Apply contextual escalation separately.</t>
        </is>
      </c>
      <c r="H224" s="37" t="inlineStr">
        <is>
          <t>Confirmed exclusion only; DK retains the eligible denominator.</t>
        </is>
      </c>
      <c r="I224" s="37" t="inlineStr">
        <is>
          <t>Choose this only when the whole statement describes routine practice and you can point to a recent example or a tested readiness process. One successful exception is not enough.</t>
        </is>
      </c>
      <c r="J224" s="37" t="inlineStr">
        <is>
          <t>A tested response and support pathway with clear roles, escalation and follow-up.</t>
        </is>
      </c>
      <c r="K224" s="37" t="inlineStr">
        <is>
          <t>PSY05_3</t>
        </is>
      </c>
    </row>
    <row r="225" ht="61" customHeight="1">
      <c r="A225" s="38" t="inlineStr">
        <is>
          <t>PSY05</t>
        </is>
      </c>
      <c r="B225" s="38" t="inlineStr">
        <is>
          <t>PSY05_DK</t>
        </is>
      </c>
      <c r="C225" s="38" t="inlineStr">
        <is>
          <t>DK</t>
        </is>
      </c>
      <c r="D225" s="49" t="n">
        <v>0</v>
      </c>
      <c r="E225" s="38" t="inlineStr">
        <is>
          <t>I need to confirm this.</t>
        </is>
      </c>
      <c r="F225" s="38" t="inlineStr">
        <is>
          <t>Unverified, not an established failure</t>
        </is>
      </c>
      <c r="G225" s="38" t="inlineStr">
        <is>
          <t>Outcome PSY05_DK supplies provisional risk, priority, reasons and actions. Apply contextual escalation separately.</t>
        </is>
      </c>
      <c r="H225" s="38" t="inlineStr">
        <is>
          <t>Confirmed exclusion only; DK retains the eligible denominator.</t>
        </is>
      </c>
      <c r="I225" s="38" t="inlineStr">
        <is>
          <t>Choose this rather than guessing when you cannot confirm the practice or its consistency. You can save the assessment and ask the responsible person.</t>
        </is>
      </c>
      <c r="J225" s="38" t="inlineStr">
        <is>
          <t>A tested response and support pathway with clear roles, escalation and follow-up.</t>
        </is>
      </c>
      <c r="K225" s="38" t="inlineStr">
        <is>
          <t>PSY05_DK</t>
        </is>
      </c>
    </row>
    <row r="226" ht="61" customHeight="1">
      <c r="A226" s="37" t="inlineStr">
        <is>
          <t>B01</t>
        </is>
      </c>
      <c r="B226" s="37" t="inlineStr">
        <is>
          <t>B01_0</t>
        </is>
      </c>
      <c r="C226" s="48" t="n">
        <v>0</v>
      </c>
      <c r="D226" s="48" t="n">
        <v>0</v>
      </c>
      <c r="E226" s="37" t="inlineStr">
        <is>
          <t>We assume paying above the base rate is sufficient.</t>
        </is>
      </c>
      <c r="F226" s="37" t="inlineStr">
        <is>
          <t>Practice absent or not established as described</t>
        </is>
      </c>
      <c r="G226" s="37" t="inlineStr">
        <is>
          <t>Outcome B01_0 supplies provisional risk, priority, reasons and actions. Apply contextual escalation separately.</t>
        </is>
      </c>
      <c r="H226" s="37" t="inlineStr">
        <is>
          <t>Confirmed exclusion only; DK retains the eligible denominator.</t>
        </is>
      </c>
      <c r="I226" s="37" t="inlineStr">
        <is>
          <t>Choose this when the statement describes the current position. Reporting a gap helps prioritise support; it is not an admission that a legal breach has occurred.</t>
        </is>
      </c>
      <c r="J226" s="37" t="inlineStr">
        <is>
          <t>The arrangement has been assessed against its applicable legal basis and actual work, required records and payment checks are complete, and discrepancies and related obligations are addressed. Keep unresolved legal-basis or calculation questions open.</t>
        </is>
      </c>
      <c r="K226" s="37" t="inlineStr">
        <is>
          <t>B01_0</t>
        </is>
      </c>
    </row>
    <row r="227" ht="61" customHeight="1">
      <c r="A227" s="38" t="inlineStr">
        <is>
          <t>B01</t>
        </is>
      </c>
      <c r="B227" s="38" t="inlineStr">
        <is>
          <t>B01_1</t>
        </is>
      </c>
      <c r="C227" s="49" t="n">
        <v>1</v>
      </c>
      <c r="D227" s="49" t="n">
        <v>1</v>
      </c>
      <c r="E227" s="38" t="inlineStr">
        <is>
          <t>We have an annual comparison, but have not checked the legal basis or actual work.</t>
        </is>
      </c>
      <c r="F227" s="38" t="inlineStr">
        <is>
          <t>Assumption-dependent or inconsistent practice</t>
        </is>
      </c>
      <c r="G227" s="38" t="inlineStr">
        <is>
          <t>Outcome B01_1 supplies provisional risk, priority, reasons and actions. Apply contextual escalation separately.</t>
        </is>
      </c>
      <c r="H227" s="38" t="inlineStr">
        <is>
          <t>Confirmed exclusion only; DK retains the eligible denominator.</t>
        </is>
      </c>
      <c r="I227" s="38" t="inlineStr">
        <is>
          <t>Choose this when the process depends on assumptions, personal knowledge or ad hoc handling rather than a dependable check.</t>
        </is>
      </c>
      <c r="J227" s="38" t="inlineStr">
        <is>
          <t>The arrangement has been assessed against its applicable legal basis and actual work, required records and payment checks are complete, and discrepancies and related obligations are addressed. Keep unresolved legal-basis or calculation questions open.</t>
        </is>
      </c>
      <c r="K227" s="38" t="inlineStr">
        <is>
          <t>B01_1</t>
        </is>
      </c>
    </row>
    <row r="228" ht="61" customHeight="1">
      <c r="A228" s="37" t="inlineStr">
        <is>
          <t>B01</t>
        </is>
      </c>
      <c r="B228" s="37" t="inlineStr">
        <is>
          <t>B01_2</t>
        </is>
      </c>
      <c r="C228" s="48" t="n">
        <v>2</v>
      </c>
      <c r="D228" s="48" t="n">
        <v>2</v>
      </c>
      <c r="E228" s="37" t="inlineStr">
        <is>
          <t>We have documented the arrangement, but some records, pay-period checks or required reconciliations are incomplete.</t>
        </is>
      </c>
      <c r="F228" s="37" t="inlineStr">
        <is>
          <t>Partly established; residual gap remains</t>
        </is>
      </c>
      <c r="G228" s="37" t="inlineStr">
        <is>
          <t>Outcome B01_2 supplies provisional risk, priority, reasons and actions. Apply contextual escalation separately.</t>
        </is>
      </c>
      <c r="H228" s="37" t="inlineStr">
        <is>
          <t>Confirmed exclusion only; DK retains the eligible denominator.</t>
        </is>
      </c>
      <c r="I228" s="37" t="inlineStr">
        <is>
          <t>Choose this when important parts exist but at least one part of the statement remains unresolved. The report should target that gap, not require a full rebuild.</t>
        </is>
      </c>
      <c r="J228" s="37" t="inlineStr">
        <is>
          <t>The arrangement has been assessed against its applicable legal basis and actual work, required records and payment checks are complete, and discrepancies and related obligations are addressed. Keep unresolved legal-basis or calculation questions open.</t>
        </is>
      </c>
      <c r="K228" s="37" t="inlineStr">
        <is>
          <t>B01_2</t>
        </is>
      </c>
    </row>
    <row r="229" ht="61" customHeight="1">
      <c r="A229" s="38" t="inlineStr">
        <is>
          <t>B01</t>
        </is>
      </c>
      <c r="B229" s="38" t="inlineStr">
        <is>
          <t>B01_3</t>
        </is>
      </c>
      <c r="C229" s="49" t="n">
        <v>3</v>
      </c>
      <c r="D229" s="49" t="n">
        <v>3</v>
      </c>
      <c r="E229" s="38" t="inlineStr">
        <is>
          <t>We have checked the legal basis and perform the records, payment checks and reconciliations required for the particular arrangement.</t>
        </is>
      </c>
      <c r="F229" s="38" t="inlineStr">
        <is>
          <t>Established practice reported, not independently verified</t>
        </is>
      </c>
      <c r="G229" s="38" t="inlineStr">
        <is>
          <t>Outcome B01_3 supplies provisional risk, priority, reasons and actions. Apply contextual escalation separately.</t>
        </is>
      </c>
      <c r="H229" s="38" t="inlineStr">
        <is>
          <t>Confirmed exclusion only; DK retains the eligible denominator.</t>
        </is>
      </c>
      <c r="I229" s="38" t="inlineStr">
        <is>
          <t>Choose this only when the whole statement describes routine practice and you can point to a recent example or a tested readiness process. One successful exception is not enough.</t>
        </is>
      </c>
      <c r="J229" s="38" t="inlineStr">
        <is>
          <t>The arrangement has been assessed against its applicable legal basis and actual work, required records and payment checks are complete, and discrepancies and related obligations are addressed. Keep unresolved legal-basis or calculation questions open.</t>
        </is>
      </c>
      <c r="K229" s="38" t="inlineStr">
        <is>
          <t>B01_3</t>
        </is>
      </c>
    </row>
    <row r="230" ht="61" customHeight="1">
      <c r="A230" s="37" t="inlineStr">
        <is>
          <t>B01</t>
        </is>
      </c>
      <c r="B230" s="37" t="inlineStr">
        <is>
          <t>B01_DK</t>
        </is>
      </c>
      <c r="C230" s="37" t="inlineStr">
        <is>
          <t>DK</t>
        </is>
      </c>
      <c r="D230" s="48" t="n">
        <v>0</v>
      </c>
      <c r="E230" s="37" t="inlineStr">
        <is>
          <t>I need to confirm this.</t>
        </is>
      </c>
      <c r="F230" s="37" t="inlineStr">
        <is>
          <t>Unverified, not an established failure</t>
        </is>
      </c>
      <c r="G230" s="37" t="inlineStr">
        <is>
          <t>Outcome B01_DK supplies provisional risk, priority, reasons and actions. Apply contextual escalation separately.</t>
        </is>
      </c>
      <c r="H230" s="37" t="inlineStr">
        <is>
          <t>Confirmed exclusion only; DK retains the eligible denominator.</t>
        </is>
      </c>
      <c r="I230" s="37" t="inlineStr">
        <is>
          <t>Choose this rather than guessing when you cannot confirm the practice or its consistency. You can save the assessment and ask the responsible person.</t>
        </is>
      </c>
      <c r="J230" s="37" t="inlineStr">
        <is>
          <t>The arrangement has been assessed against its applicable legal basis and actual work, required records and payment checks are complete, and discrepancies and related obligations are addressed. Keep unresolved legal-basis or calculation questions open.</t>
        </is>
      </c>
      <c r="K230" s="37" t="inlineStr">
        <is>
          <t>B01_DK</t>
        </is>
      </c>
    </row>
    <row r="231" ht="61" customHeight="1">
      <c r="A231" s="38" t="inlineStr">
        <is>
          <t>B02</t>
        </is>
      </c>
      <c r="B231" s="38" t="inlineStr">
        <is>
          <t>B02_0</t>
        </is>
      </c>
      <c r="C231" s="49" t="n">
        <v>0</v>
      </c>
      <c r="D231" s="49" t="n">
        <v>0</v>
      </c>
      <c r="E231" s="38" t="inlineStr">
        <is>
          <t>We assume casual employees cannot seek permanent employment or that a small business is exempt.</t>
        </is>
      </c>
      <c r="F231" s="38" t="inlineStr">
        <is>
          <t>Practice absent or not established as described</t>
        </is>
      </c>
      <c r="G231" s="38" t="inlineStr">
        <is>
          <t>Outcome B02_0 supplies provisional risk, priority, reasons and actions. Apply contextual escalation separately.</t>
        </is>
      </c>
      <c r="H231" s="38" t="inlineStr">
        <is>
          <t>Confirmed exclusion only; DK retains the eligible denominator.</t>
        </is>
      </c>
      <c r="I231" s="38" t="inlineStr">
        <is>
          <t>Choose this when the statement describes the current position. Reporting a gap helps prioritise support; it is not an admission that a legal breach has occurred.</t>
        </is>
      </c>
      <c r="J231" s="38" t="inlineStr">
        <is>
          <t>A current employee-choice process has been checked against the applicable eligibility, consultation and response requirements; any live request has been decided and communicated as required, with implementation recorded.</t>
        </is>
      </c>
      <c r="K231" s="38" t="inlineStr">
        <is>
          <t>B02_0</t>
        </is>
      </c>
    </row>
    <row r="232" ht="61" customHeight="1">
      <c r="A232" s="37" t="inlineStr">
        <is>
          <t>B02</t>
        </is>
      </c>
      <c r="B232" s="37" t="inlineStr">
        <is>
          <t>B02_1</t>
        </is>
      </c>
      <c r="C232" s="48" t="n">
        <v>1</v>
      </c>
      <c r="D232" s="48" t="n">
        <v>1</v>
      </c>
      <c r="E232" s="37" t="inlineStr">
        <is>
          <t>We would respond informally without checking eligibility or the required process.</t>
        </is>
      </c>
      <c r="F232" s="37" t="inlineStr">
        <is>
          <t>Assumption-dependent or inconsistent practice</t>
        </is>
      </c>
      <c r="G232" s="37" t="inlineStr">
        <is>
          <t>Outcome B02_1 supplies provisional risk, priority, reasons and actions. Apply contextual escalation separately.</t>
        </is>
      </c>
      <c r="H232" s="37" t="inlineStr">
        <is>
          <t>Confirmed exclusion only; DK retains the eligible denominator.</t>
        </is>
      </c>
      <c r="I232" s="37" t="inlineStr">
        <is>
          <t>Choose this when the process depends on assumptions, personal knowledge or ad hoc handling rather than a dependable check.</t>
        </is>
      </c>
      <c r="J232" s="37" t="inlineStr">
        <is>
          <t>A current employee-choice process has been checked against the applicable eligibility, consultation and response requirements; any live request has been decided and communicated as required, with implementation recorded.</t>
        </is>
      </c>
      <c r="K232" s="37" t="inlineStr">
        <is>
          <t>B02_1</t>
        </is>
      </c>
    </row>
    <row r="233" ht="61" customHeight="1">
      <c r="A233" s="38" t="inlineStr">
        <is>
          <t>B02</t>
        </is>
      </c>
      <c r="B233" s="38" t="inlineStr">
        <is>
          <t>B02_2</t>
        </is>
      </c>
      <c r="C233" s="49" t="n">
        <v>2</v>
      </c>
      <c r="D233" s="49" t="n">
        <v>2</v>
      </c>
      <c r="E233" s="38" t="inlineStr">
        <is>
          <t>We know the pathway, but consultation, written responses or deadlines need review.</t>
        </is>
      </c>
      <c r="F233" s="38" t="inlineStr">
        <is>
          <t>Partly established; residual gap remains</t>
        </is>
      </c>
      <c r="G233" s="38" t="inlineStr">
        <is>
          <t>Outcome B02_2 supplies provisional risk, priority, reasons and actions. Apply contextual escalation separately.</t>
        </is>
      </c>
      <c r="H233" s="38" t="inlineStr">
        <is>
          <t>Confirmed exclusion only; DK retains the eligible denominator.</t>
        </is>
      </c>
      <c r="I233" s="38" t="inlineStr">
        <is>
          <t>Choose this when important parts exist but at least one part of the statement remains unresolved. The report should target that gap, not require a full rebuild.</t>
        </is>
      </c>
      <c r="J233" s="38" t="inlineStr">
        <is>
          <t>A current employee-choice process has been checked against the applicable eligibility, consultation and response requirements; any live request has been decided and communicated as required, with implementation recorded.</t>
        </is>
      </c>
      <c r="K233" s="38" t="inlineStr">
        <is>
          <t>B02_2</t>
        </is>
      </c>
    </row>
    <row r="234" ht="61" customHeight="1">
      <c r="A234" s="37" t="inlineStr">
        <is>
          <t>B02</t>
        </is>
      </c>
      <c r="B234" s="37" t="inlineStr">
        <is>
          <t>B02_3</t>
        </is>
      </c>
      <c r="C234" s="48" t="n">
        <v>3</v>
      </c>
      <c r="D234" s="48" t="n">
        <v>3</v>
      </c>
      <c r="E234" s="37" t="inlineStr">
        <is>
          <t>We check eligibility, consult and provide a written response within the required period, keeping an appropriate record.</t>
        </is>
      </c>
      <c r="F234" s="37" t="inlineStr">
        <is>
          <t>Established practice reported, not independently verified</t>
        </is>
      </c>
      <c r="G234" s="37" t="inlineStr">
        <is>
          <t>Outcome B02_3 supplies provisional risk, priority, reasons and actions. Apply contextual escalation separately.</t>
        </is>
      </c>
      <c r="H234" s="37" t="inlineStr">
        <is>
          <t>Confirmed exclusion only; DK retains the eligible denominator.</t>
        </is>
      </c>
      <c r="I234" s="37" t="inlineStr">
        <is>
          <t>Choose this only when the whole statement describes routine practice and you can point to a recent example or a tested readiness process. One successful exception is not enough.</t>
        </is>
      </c>
      <c r="J234" s="37" t="inlineStr">
        <is>
          <t>A current employee-choice process has been checked against the applicable eligibility, consultation and response requirements; any live request has been decided and communicated as required, with implementation recorded.</t>
        </is>
      </c>
      <c r="K234" s="37" t="inlineStr">
        <is>
          <t>B02_3</t>
        </is>
      </c>
    </row>
    <row r="235" ht="61" customHeight="1">
      <c r="A235" s="38" t="inlineStr">
        <is>
          <t>B02</t>
        </is>
      </c>
      <c r="B235" s="38" t="inlineStr">
        <is>
          <t>B02_DK</t>
        </is>
      </c>
      <c r="C235" s="38" t="inlineStr">
        <is>
          <t>DK</t>
        </is>
      </c>
      <c r="D235" s="49" t="n">
        <v>0</v>
      </c>
      <c r="E235" s="38" t="inlineStr">
        <is>
          <t>I need to confirm this.</t>
        </is>
      </c>
      <c r="F235" s="38" t="inlineStr">
        <is>
          <t>Unverified, not an established failure</t>
        </is>
      </c>
      <c r="G235" s="38" t="inlineStr">
        <is>
          <t>Outcome B02_DK supplies provisional risk, priority, reasons and actions. Apply contextual escalation separately.</t>
        </is>
      </c>
      <c r="H235" s="38" t="inlineStr">
        <is>
          <t>Confirmed exclusion only; DK retains the eligible denominator.</t>
        </is>
      </c>
      <c r="I235" s="38" t="inlineStr">
        <is>
          <t>Choose this rather than guessing when you cannot confirm the practice or its consistency. You can save the assessment and ask the responsible person.</t>
        </is>
      </c>
      <c r="J235" s="38" t="inlineStr">
        <is>
          <t>A current employee-choice process has been checked against the applicable eligibility, consultation and response requirements; any live request has been decided and communicated as required, with implementation recorded.</t>
        </is>
      </c>
      <c r="K235" s="38" t="inlineStr">
        <is>
          <t>B02_DK</t>
        </is>
      </c>
    </row>
    <row r="236" ht="61" customHeight="1">
      <c r="A236" s="37" t="inlineStr">
        <is>
          <t>B03</t>
        </is>
      </c>
      <c r="B236" s="37" t="inlineStr">
        <is>
          <t>B03_0</t>
        </is>
      </c>
      <c r="C236" s="48" t="n">
        <v>0</v>
      </c>
      <c r="D236" s="48" t="n">
        <v>0</v>
      </c>
      <c r="E236" s="37" t="inlineStr">
        <is>
          <t>We do not provide the CEIS.</t>
        </is>
      </c>
      <c r="F236" s="37" t="inlineStr">
        <is>
          <t>Practice absent or not established as described</t>
        </is>
      </c>
      <c r="G236" s="37" t="inlineStr">
        <is>
          <t>Outcome B03_0 supplies provisional risk, priority, reasons and actions. Apply contextual escalation separately.</t>
        </is>
      </c>
      <c r="H236" s="37" t="inlineStr">
        <is>
          <t>Confirmed exclusion only; DK retains the eligible denominator.</t>
        </is>
      </c>
      <c r="I236" s="37" t="inlineStr">
        <is>
          <t>Choose this when the statement describes the current position. Reporting a gap helps prioritise support; it is not an admission that a legal breach has occurred.</t>
        </is>
      </c>
      <c r="J236" s="37" t="inlineStr">
        <is>
          <t>A current casual register with statement due dates and delivery records.</t>
        </is>
      </c>
      <c r="K236" s="37" t="inlineStr">
        <is>
          <t>B03_0</t>
        </is>
      </c>
    </row>
    <row r="237" ht="61" customHeight="1">
      <c r="A237" s="38" t="inlineStr">
        <is>
          <t>B03</t>
        </is>
      </c>
      <c r="B237" s="38" t="inlineStr">
        <is>
          <t>B03_1</t>
        </is>
      </c>
      <c r="C237" s="49" t="n">
        <v>1</v>
      </c>
      <c r="D237" s="49" t="n">
        <v>1</v>
      </c>
      <c r="E237" s="38" t="inlineStr">
        <is>
          <t>We provide it only when the person starts.</t>
        </is>
      </c>
      <c r="F237" s="38" t="inlineStr">
        <is>
          <t>Assumption-dependent or inconsistent practice</t>
        </is>
      </c>
      <c r="G237" s="38" t="inlineStr">
        <is>
          <t>Outcome B03_1 supplies provisional risk, priority, reasons and actions. Apply contextual escalation separately.</t>
        </is>
      </c>
      <c r="H237" s="38" t="inlineStr">
        <is>
          <t>Confirmed exclusion only; DK retains the eligible denominator.</t>
        </is>
      </c>
      <c r="I237" s="38" t="inlineStr">
        <is>
          <t>Choose this when the process depends on assumptions, personal knowledge or ad hoc handling rather than a dependable check.</t>
        </is>
      </c>
      <c r="J237" s="38" t="inlineStr">
        <is>
          <t>A current casual register with statement due dates and delivery records.</t>
        </is>
      </c>
      <c r="K237" s="38" t="inlineStr">
        <is>
          <t>B03_1</t>
        </is>
      </c>
    </row>
    <row r="238" ht="61" customHeight="1">
      <c r="A238" s="37" t="inlineStr">
        <is>
          <t>B03</t>
        </is>
      </c>
      <c r="B238" s="37" t="inlineStr">
        <is>
          <t>B03_2</t>
        </is>
      </c>
      <c r="C238" s="48" t="n">
        <v>2</v>
      </c>
      <c r="D238" s="48" t="n">
        <v>2</v>
      </c>
      <c r="E238" s="37" t="inlineStr">
        <is>
          <t>We issue it again, but reminders or records may not match the required timing.</t>
        </is>
      </c>
      <c r="F238" s="37" t="inlineStr">
        <is>
          <t>Partly established; residual gap remains</t>
        </is>
      </c>
      <c r="G238" s="37" t="inlineStr">
        <is>
          <t>Outcome B03_2 supplies provisional risk, priority, reasons and actions. Apply contextual escalation separately.</t>
        </is>
      </c>
      <c r="H238" s="37" t="inlineStr">
        <is>
          <t>Confirmed exclusion only; DK retains the eligible denominator.</t>
        </is>
      </c>
      <c r="I238" s="37" t="inlineStr">
        <is>
          <t>Choose this when important parts exist but at least one part of the statement remains unresolved. The report should target that gap, not require a full rebuild.</t>
        </is>
      </c>
      <c r="J238" s="37" t="inlineStr">
        <is>
          <t>A current casual register with statement due dates and delivery records.</t>
        </is>
      </c>
      <c r="K238" s="37" t="inlineStr">
        <is>
          <t>B03_2</t>
        </is>
      </c>
    </row>
    <row r="239" ht="61" customHeight="1">
      <c r="A239" s="38" t="inlineStr">
        <is>
          <t>B03</t>
        </is>
      </c>
      <c r="B239" s="38" t="inlineStr">
        <is>
          <t>B03_3</t>
        </is>
      </c>
      <c r="C239" s="49" t="n">
        <v>3</v>
      </c>
      <c r="D239" s="49" t="n">
        <v>3</v>
      </c>
      <c r="E239" s="38" t="inlineStr">
        <is>
          <t>We track the required issue dates for our business type, provide the current version and record delivery.</t>
        </is>
      </c>
      <c r="F239" s="38" t="inlineStr">
        <is>
          <t>Established practice reported, not independently verified</t>
        </is>
      </c>
      <c r="G239" s="38" t="inlineStr">
        <is>
          <t>Outcome B03_3 supplies provisional risk, priority, reasons and actions. Apply contextual escalation separately.</t>
        </is>
      </c>
      <c r="H239" s="38" t="inlineStr">
        <is>
          <t>Confirmed exclusion only; DK retains the eligible denominator.</t>
        </is>
      </c>
      <c r="I239" s="38" t="inlineStr">
        <is>
          <t>Choose this only when the whole statement describes routine practice and you can point to a recent example or a tested readiness process. One successful exception is not enough.</t>
        </is>
      </c>
      <c r="J239" s="38" t="inlineStr">
        <is>
          <t>A current casual register with statement due dates and delivery records.</t>
        </is>
      </c>
      <c r="K239" s="38" t="inlineStr">
        <is>
          <t>B03_3</t>
        </is>
      </c>
    </row>
    <row r="240" ht="61" customHeight="1">
      <c r="A240" s="37" t="inlineStr">
        <is>
          <t>B03</t>
        </is>
      </c>
      <c r="B240" s="37" t="inlineStr">
        <is>
          <t>B03_DK</t>
        </is>
      </c>
      <c r="C240" s="37" t="inlineStr">
        <is>
          <t>DK</t>
        </is>
      </c>
      <c r="D240" s="48" t="n">
        <v>0</v>
      </c>
      <c r="E240" s="37" t="inlineStr">
        <is>
          <t>I need to confirm this.</t>
        </is>
      </c>
      <c r="F240" s="37" t="inlineStr">
        <is>
          <t>Unverified, not an established failure</t>
        </is>
      </c>
      <c r="G240" s="37" t="inlineStr">
        <is>
          <t>Outcome B03_DK supplies provisional risk, priority, reasons and actions. Apply contextual escalation separately.</t>
        </is>
      </c>
      <c r="H240" s="37" t="inlineStr">
        <is>
          <t>Confirmed exclusion only; DK retains the eligible denominator.</t>
        </is>
      </c>
      <c r="I240" s="37" t="inlineStr">
        <is>
          <t>Choose this rather than guessing when you cannot confirm the practice or its consistency. You can save the assessment and ask the responsible person.</t>
        </is>
      </c>
      <c r="J240" s="37" t="inlineStr">
        <is>
          <t>A current casual register with statement due dates and delivery records.</t>
        </is>
      </c>
      <c r="K240" s="37" t="inlineStr">
        <is>
          <t>B03_DK</t>
        </is>
      </c>
    </row>
    <row r="241" ht="61" customHeight="1">
      <c r="A241" s="38" t="inlineStr">
        <is>
          <t>B04</t>
        </is>
      </c>
      <c r="B241" s="38" t="inlineStr">
        <is>
          <t>B04_0</t>
        </is>
      </c>
      <c r="C241" s="49" t="n">
        <v>0</v>
      </c>
      <c r="D241" s="49" t="n">
        <v>0</v>
      </c>
      <c r="E241" s="38" t="inlineStr">
        <is>
          <t>We have not checked the fixed-term contract rules.</t>
        </is>
      </c>
      <c r="F241" s="38" t="inlineStr">
        <is>
          <t>Practice absent or not established as described</t>
        </is>
      </c>
      <c r="G241" s="38" t="inlineStr">
        <is>
          <t>Outcome B04_0 supplies provisional risk, priority, reasons and actions. Apply contextual escalation separately.</t>
        </is>
      </c>
      <c r="H241" s="38" t="inlineStr">
        <is>
          <t>Confirmed exclusion only; DK retains the eligible denominator.</t>
        </is>
      </c>
      <c r="I241" s="38" t="inlineStr">
        <is>
          <t>Choose this when the statement describes the current position. Reporting a gap helps prioritise support; it is not an admission that a legal breach has occurred.</t>
        </is>
      </c>
      <c r="J241" s="38" t="inlineStr">
        <is>
          <t>A documented pre-entry/renewal review and information-statement delivery record.</t>
        </is>
      </c>
      <c r="K241" s="38" t="inlineStr">
        <is>
          <t>B04_0</t>
        </is>
      </c>
    </row>
    <row r="242" ht="61" customHeight="1">
      <c r="A242" s="37" t="inlineStr">
        <is>
          <t>B04</t>
        </is>
      </c>
      <c r="B242" s="37" t="inlineStr">
        <is>
          <t>B04_1</t>
        </is>
      </c>
      <c r="C242" s="48" t="n">
        <v>1</v>
      </c>
      <c r="D242" s="48" t="n">
        <v>1</v>
      </c>
      <c r="E242" s="37" t="inlineStr">
        <is>
          <t>We assume a stated end date or funding arrangement makes the contract permissible.</t>
        </is>
      </c>
      <c r="F242" s="37" t="inlineStr">
        <is>
          <t>Assumption-dependent or inconsistent practice</t>
        </is>
      </c>
      <c r="G242" s="37" t="inlineStr">
        <is>
          <t>Outcome B04_1 supplies provisional risk, priority, reasons and actions. Apply contextual escalation separately.</t>
        </is>
      </c>
      <c r="H242" s="37" t="inlineStr">
        <is>
          <t>Confirmed exclusion only; DK retains the eligible denominator.</t>
        </is>
      </c>
      <c r="I242" s="37" t="inlineStr">
        <is>
          <t>Choose this when the process depends on assumptions, personal knowledge or ad hoc handling rather than a dependable check.</t>
        </is>
      </c>
      <c r="J242" s="37" t="inlineStr">
        <is>
          <t>A documented pre-entry/renewal review and information-statement delivery record.</t>
        </is>
      </c>
      <c r="K242" s="37" t="inlineStr">
        <is>
          <t>B04_1</t>
        </is>
      </c>
    </row>
    <row r="243" ht="61" customHeight="1">
      <c r="A243" s="38" t="inlineStr">
        <is>
          <t>B04</t>
        </is>
      </c>
      <c r="B243" s="38" t="inlineStr">
        <is>
          <t>B04_2</t>
        </is>
      </c>
      <c r="C243" s="49" t="n">
        <v>2</v>
      </c>
      <c r="D243" s="49" t="n">
        <v>2</v>
      </c>
      <c r="E243" s="38" t="inlineStr">
        <is>
          <t>We check some requirements, but consecutive contracts, exceptions or statement delivery need review.</t>
        </is>
      </c>
      <c r="F243" s="38" t="inlineStr">
        <is>
          <t>Partly established; residual gap remains</t>
        </is>
      </c>
      <c r="G243" s="38" t="inlineStr">
        <is>
          <t>Outcome B04_2 supplies provisional risk, priority, reasons and actions. Apply contextual escalation separately.</t>
        </is>
      </c>
      <c r="H243" s="38" t="inlineStr">
        <is>
          <t>Confirmed exclusion only; DK retains the eligible denominator.</t>
        </is>
      </c>
      <c r="I243" s="38" t="inlineStr">
        <is>
          <t>Choose this when important parts exist but at least one part of the statement remains unresolved. The report should target that gap, not require a full rebuild.</t>
        </is>
      </c>
      <c r="J243" s="38" t="inlineStr">
        <is>
          <t>A documented pre-entry/renewal review and information-statement delivery record.</t>
        </is>
      </c>
      <c r="K243" s="38" t="inlineStr">
        <is>
          <t>B04_2</t>
        </is>
      </c>
    </row>
    <row r="244" ht="61" customHeight="1">
      <c r="A244" s="37" t="inlineStr">
        <is>
          <t>B04</t>
        </is>
      </c>
      <c r="B244" s="37" t="inlineStr">
        <is>
          <t>B04_3</t>
        </is>
      </c>
      <c r="C244" s="48" t="n">
        <v>3</v>
      </c>
      <c r="D244" s="48" t="n">
        <v>3</v>
      </c>
      <c r="E244" s="37" t="inlineStr">
        <is>
          <t>We check the current rules and evidence for any exception before entry or renewal, and provide the required statement.</t>
        </is>
      </c>
      <c r="F244" s="37" t="inlineStr">
        <is>
          <t>Established practice reported, not independently verified</t>
        </is>
      </c>
      <c r="G244" s="37" t="inlineStr">
        <is>
          <t>Outcome B04_3 supplies provisional risk, priority, reasons and actions. Apply contextual escalation separately.</t>
        </is>
      </c>
      <c r="H244" s="37" t="inlineStr">
        <is>
          <t>Confirmed exclusion only; DK retains the eligible denominator.</t>
        </is>
      </c>
      <c r="I244" s="37" t="inlineStr">
        <is>
          <t>Choose this only when the whole statement describes routine practice and you can point to a recent example or a tested readiness process. One successful exception is not enough.</t>
        </is>
      </c>
      <c r="J244" s="37" t="inlineStr">
        <is>
          <t>A documented pre-entry/renewal review and information-statement delivery record.</t>
        </is>
      </c>
      <c r="K244" s="37" t="inlineStr">
        <is>
          <t>B04_3</t>
        </is>
      </c>
    </row>
    <row r="245" ht="61" customHeight="1">
      <c r="A245" s="38" t="inlineStr">
        <is>
          <t>B04</t>
        </is>
      </c>
      <c r="B245" s="38" t="inlineStr">
        <is>
          <t>B04_DK</t>
        </is>
      </c>
      <c r="C245" s="38" t="inlineStr">
        <is>
          <t>DK</t>
        </is>
      </c>
      <c r="D245" s="49" t="n">
        <v>0</v>
      </c>
      <c r="E245" s="38" t="inlineStr">
        <is>
          <t>I need to confirm this.</t>
        </is>
      </c>
      <c r="F245" s="38" t="inlineStr">
        <is>
          <t>Unverified, not an established failure</t>
        </is>
      </c>
      <c r="G245" s="38" t="inlineStr">
        <is>
          <t>Outcome B04_DK supplies provisional risk, priority, reasons and actions. Apply contextual escalation separately.</t>
        </is>
      </c>
      <c r="H245" s="38" t="inlineStr">
        <is>
          <t>Confirmed exclusion only; DK retains the eligible denominator.</t>
        </is>
      </c>
      <c r="I245" s="38" t="inlineStr">
        <is>
          <t>Choose this rather than guessing when you cannot confirm the practice or its consistency. You can save the assessment and ask the responsible person.</t>
        </is>
      </c>
      <c r="J245" s="38" t="inlineStr">
        <is>
          <t>A documented pre-entry/renewal review and information-statement delivery record.</t>
        </is>
      </c>
      <c r="K245" s="38" t="inlineStr">
        <is>
          <t>B04_DK</t>
        </is>
      </c>
    </row>
    <row r="246" ht="61" customHeight="1">
      <c r="A246" s="37" t="inlineStr">
        <is>
          <t>B05</t>
        </is>
      </c>
      <c r="B246" s="37" t="inlineStr">
        <is>
          <t>B05_0</t>
        </is>
      </c>
      <c r="C246" s="48" t="n">
        <v>0</v>
      </c>
      <c r="D246" s="48" t="n">
        <v>0</v>
      </c>
      <c r="E246" s="37" t="inlineStr">
        <is>
          <t>We rely on an ABN, invoice or contractor label.</t>
        </is>
      </c>
      <c r="F246" s="37" t="inlineStr">
        <is>
          <t>Practice absent or not established as described</t>
        </is>
      </c>
      <c r="G246" s="37" t="inlineStr">
        <is>
          <t>Outcome B05_0 supplies provisional risk, priority, reasons and actions. Apply contextual escalation separately.</t>
        </is>
      </c>
      <c r="H246" s="37" t="inlineStr">
        <is>
          <t>Confirmed exclusion only; DK retains the eligible denominator.</t>
        </is>
      </c>
      <c r="I246" s="37" t="inlineStr">
        <is>
          <t>Choose this when the statement describes the current position. Reporting a gap helps prioritise support; it is not an admission that a legal breach has occurred.</t>
        </is>
      </c>
      <c r="J246" s="37" t="inlineStr">
        <is>
          <t>Each materially different arrangement has a current employment-status and separate superannuation assessment. Any necessary contractual, payment or working-practice changes have been implemented and checked; unresolved exceptions remain open.</t>
        </is>
      </c>
      <c r="K246" s="37" t="inlineStr">
        <is>
          <t>B05_0</t>
        </is>
      </c>
    </row>
    <row r="247" ht="61" customHeight="1">
      <c r="A247" s="38" t="inlineStr">
        <is>
          <t>B05</t>
        </is>
      </c>
      <c r="B247" s="38" t="inlineStr">
        <is>
          <t>B05_1</t>
        </is>
      </c>
      <c r="C247" s="49" t="n">
        <v>1</v>
      </c>
      <c r="D247" s="49" t="n">
        <v>1</v>
      </c>
      <c r="E247" s="38" t="inlineStr">
        <is>
          <t>We have a contract, but have not checked the real working arrangement or super obligations.</t>
        </is>
      </c>
      <c r="F247" s="38" t="inlineStr">
        <is>
          <t>Assumption-dependent or inconsistent practice</t>
        </is>
      </c>
      <c r="G247" s="38" t="inlineStr">
        <is>
          <t>Outcome B05_1 supplies provisional risk, priority, reasons and actions. Apply contextual escalation separately.</t>
        </is>
      </c>
      <c r="H247" s="38" t="inlineStr">
        <is>
          <t>Confirmed exclusion only; DK retains the eligible denominator.</t>
        </is>
      </c>
      <c r="I247" s="38" t="inlineStr">
        <is>
          <t>Choose this when the process depends on assumptions, personal knowledge or ad hoc handling rather than a dependable check.</t>
        </is>
      </c>
      <c r="J247" s="38" t="inlineStr">
        <is>
          <t>Each materially different arrangement has a current employment-status and separate superannuation assessment. Any necessary contractual, payment or working-practice changes have been implemented and checked; unresolved exceptions remain open.</t>
        </is>
      </c>
      <c r="K247" s="38" t="inlineStr">
        <is>
          <t>B05_1</t>
        </is>
      </c>
    </row>
    <row r="248" ht="61" customHeight="1">
      <c r="A248" s="37" t="inlineStr">
        <is>
          <t>B05</t>
        </is>
      </c>
      <c r="B248" s="37" t="inlineStr">
        <is>
          <t>B05_2</t>
        </is>
      </c>
      <c r="C248" s="48" t="n">
        <v>2</v>
      </c>
      <c r="D248" s="48" t="n">
        <v>2</v>
      </c>
      <c r="E248" s="37" t="inlineStr">
        <is>
          <t>We have reviewed some arrangements, but practical changes or super treatment remain unresolved.</t>
        </is>
      </c>
      <c r="F248" s="37" t="inlineStr">
        <is>
          <t>Partly established; residual gap remains</t>
        </is>
      </c>
      <c r="G248" s="37" t="inlineStr">
        <is>
          <t>Outcome B05_2 supplies provisional risk, priority, reasons and actions. Apply contextual escalation separately.</t>
        </is>
      </c>
      <c r="H248" s="37" t="inlineStr">
        <is>
          <t>Confirmed exclusion only; DK retains the eligible denominator.</t>
        </is>
      </c>
      <c r="I248" s="37" t="inlineStr">
        <is>
          <t>Choose this when important parts exist but at least one part of the statement remains unresolved. The report should target that gap, not require a full rebuild.</t>
        </is>
      </c>
      <c r="J248" s="37" t="inlineStr">
        <is>
          <t>Each materially different arrangement has a current employment-status and separate superannuation assessment. Any necessary contractual, payment or working-practice changes have been implemented and checked; unresolved exceptions remain open.</t>
        </is>
      </c>
      <c r="K248" s="37" t="inlineStr">
        <is>
          <t>B05_2</t>
        </is>
      </c>
    </row>
    <row r="249" ht="61" customHeight="1">
      <c r="A249" s="38" t="inlineStr">
        <is>
          <t>B05</t>
        </is>
      </c>
      <c r="B249" s="38" t="inlineStr">
        <is>
          <t>B05_3</t>
        </is>
      </c>
      <c r="C249" s="49" t="n">
        <v>3</v>
      </c>
      <c r="D249" s="49" t="n">
        <v>3</v>
      </c>
      <c r="E249" s="38" t="inlineStr">
        <is>
          <t>We have documented the relevant employment-status and super assessments, and review them when the relationship changes.</t>
        </is>
      </c>
      <c r="F249" s="38" t="inlineStr">
        <is>
          <t>Established practice reported, not independently verified</t>
        </is>
      </c>
      <c r="G249" s="38" t="inlineStr">
        <is>
          <t>Outcome B05_3 supplies provisional risk, priority, reasons and actions. Apply contextual escalation separately.</t>
        </is>
      </c>
      <c r="H249" s="38" t="inlineStr">
        <is>
          <t>Confirmed exclusion only; DK retains the eligible denominator.</t>
        </is>
      </c>
      <c r="I249" s="38" t="inlineStr">
        <is>
          <t>Choose this only when the whole statement describes routine practice and you can point to a recent example or a tested readiness process. One successful exception is not enough.</t>
        </is>
      </c>
      <c r="J249" s="38" t="inlineStr">
        <is>
          <t>Each materially different arrangement has a current employment-status and separate superannuation assessment. Any necessary contractual, payment or working-practice changes have been implemented and checked; unresolved exceptions remain open.</t>
        </is>
      </c>
      <c r="K249" s="38" t="inlineStr">
        <is>
          <t>B05_3</t>
        </is>
      </c>
    </row>
    <row r="250" ht="61" customHeight="1">
      <c r="A250" s="37" t="inlineStr">
        <is>
          <t>B05</t>
        </is>
      </c>
      <c r="B250" s="37" t="inlineStr">
        <is>
          <t>B05_DK</t>
        </is>
      </c>
      <c r="C250" s="37" t="inlineStr">
        <is>
          <t>DK</t>
        </is>
      </c>
      <c r="D250" s="48" t="n">
        <v>0</v>
      </c>
      <c r="E250" s="37" t="inlineStr">
        <is>
          <t>I need to confirm this.</t>
        </is>
      </c>
      <c r="F250" s="37" t="inlineStr">
        <is>
          <t>Unverified, not an established failure</t>
        </is>
      </c>
      <c r="G250" s="37" t="inlineStr">
        <is>
          <t>Outcome B05_DK supplies provisional risk, priority, reasons and actions. Apply contextual escalation separately.</t>
        </is>
      </c>
      <c r="H250" s="37" t="inlineStr">
        <is>
          <t>Confirmed exclusion only; DK retains the eligible denominator.</t>
        </is>
      </c>
      <c r="I250" s="37" t="inlineStr">
        <is>
          <t>Choose this rather than guessing when you cannot confirm the practice or its consistency. You can save the assessment and ask the responsible person.</t>
        </is>
      </c>
      <c r="J250" s="37" t="inlineStr">
        <is>
          <t>Each materially different arrangement has a current employment-status and separate superannuation assessment. Any necessary contractual, payment or working-practice changes have been implemented and checked; unresolved exceptions remain open.</t>
        </is>
      </c>
      <c r="K250" s="37" t="inlineStr">
        <is>
          <t>B05_DK</t>
        </is>
      </c>
    </row>
    <row r="251" ht="61" customHeight="1">
      <c r="A251" s="38" t="inlineStr">
        <is>
          <t>B06</t>
        </is>
      </c>
      <c r="B251" s="38" t="inlineStr">
        <is>
          <t>B06_0</t>
        </is>
      </c>
      <c r="C251" s="49" t="n">
        <v>0</v>
      </c>
      <c r="D251" s="49" t="n">
        <v>0</v>
      </c>
      <c r="E251" s="38" t="inlineStr">
        <is>
          <t>Part-time hours change without checking applicable requirements.</t>
        </is>
      </c>
      <c r="F251" s="38" t="inlineStr">
        <is>
          <t>Practice absent or not established as described</t>
        </is>
      </c>
      <c r="G251" s="38" t="inlineStr">
        <is>
          <t>Outcome B06_0 supplies provisional risk, priority, reasons and actions. Apply contextual escalation separately.</t>
        </is>
      </c>
      <c r="H251" s="38" t="inlineStr">
        <is>
          <t>Confirmed exclusion only; DK retains the eligible denominator.</t>
        </is>
      </c>
      <c r="I251" s="38" t="inlineStr">
        <is>
          <t>Choose this when the statement describes the current position. Reporting a gap helps prioritise support; it is not an admission that a legal breach has occurred.</t>
        </is>
      </c>
      <c r="J251" s="38" t="inlineStr">
        <is>
          <t>A change-of-hours check showing required agreement, records and the resulting pay.</t>
        </is>
      </c>
      <c r="K251" s="38" t="inlineStr">
        <is>
          <t>B06_0</t>
        </is>
      </c>
    </row>
    <row r="252" ht="61" customHeight="1">
      <c r="A252" s="37" t="inlineStr">
        <is>
          <t>B06</t>
        </is>
      </c>
      <c r="B252" s="37" t="inlineStr">
        <is>
          <t>B06_1</t>
        </is>
      </c>
      <c r="C252" s="48" t="n">
        <v>1</v>
      </c>
      <c r="D252" s="48" t="n">
        <v>1</v>
      </c>
      <c r="E252" s="37" t="inlineStr">
        <is>
          <t>Managers agree changes informally and assume extra hours are ordinary hours.</t>
        </is>
      </c>
      <c r="F252" s="37" t="inlineStr">
        <is>
          <t>Assumption-dependent or inconsistent practice</t>
        </is>
      </c>
      <c r="G252" s="37" t="inlineStr">
        <is>
          <t>Outcome B06_1 supplies provisional risk, priority, reasons and actions. Apply contextual escalation separately.</t>
        </is>
      </c>
      <c r="H252" s="37" t="inlineStr">
        <is>
          <t>Confirmed exclusion only; DK retains the eligible denominator.</t>
        </is>
      </c>
      <c r="I252" s="37" t="inlineStr">
        <is>
          <t>Choose this when the process depends on assumptions, personal knowledge or ad hoc handling rather than a dependable check.</t>
        </is>
      </c>
      <c r="J252" s="37" t="inlineStr">
        <is>
          <t>A change-of-hours check showing required agreement, records and the resulting pay.</t>
        </is>
      </c>
      <c r="K252" s="37" t="inlineStr">
        <is>
          <t>B06_1</t>
        </is>
      </c>
    </row>
    <row r="253" ht="61" customHeight="1">
      <c r="A253" s="38" t="inlineStr">
        <is>
          <t>B06</t>
        </is>
      </c>
      <c r="B253" s="38" t="inlineStr">
        <is>
          <t>B06_2</t>
        </is>
      </c>
      <c r="C253" s="49" t="n">
        <v>2</v>
      </c>
      <c r="D253" s="49" t="n">
        <v>2</v>
      </c>
      <c r="E253" s="38" t="inlineStr">
        <is>
          <t>Changes are recorded, but overtime triggers or agreement requirements need review.</t>
        </is>
      </c>
      <c r="F253" s="38" t="inlineStr">
        <is>
          <t>Partly established; residual gap remains</t>
        </is>
      </c>
      <c r="G253" s="38" t="inlineStr">
        <is>
          <t>Outcome B06_2 supplies provisional risk, priority, reasons and actions. Apply contextual escalation separately.</t>
        </is>
      </c>
      <c r="H253" s="38" t="inlineStr">
        <is>
          <t>Confirmed exclusion only; DK retains the eligible denominator.</t>
        </is>
      </c>
      <c r="I253" s="38" t="inlineStr">
        <is>
          <t>Choose this when important parts exist but at least one part of the statement remains unresolved. The report should target that gap, not require a full rebuild.</t>
        </is>
      </c>
      <c r="J253" s="38" t="inlineStr">
        <is>
          <t>A change-of-hours check showing required agreement, records and the resulting pay.</t>
        </is>
      </c>
      <c r="K253" s="38" t="inlineStr">
        <is>
          <t>B06_2</t>
        </is>
      </c>
    </row>
    <row r="254" ht="61" customHeight="1">
      <c r="A254" s="37" t="inlineStr">
        <is>
          <t>B06</t>
        </is>
      </c>
      <c r="B254" s="37" t="inlineStr">
        <is>
          <t>B06_3</t>
        </is>
      </c>
      <c r="C254" s="48" t="n">
        <v>3</v>
      </c>
      <c r="D254" s="48" t="n">
        <v>3</v>
      </c>
      <c r="E254" s="37" t="inlineStr">
        <is>
          <t>We apply the relevant agreement, record and pay requirements each time the arrangement changes.</t>
        </is>
      </c>
      <c r="F254" s="37" t="inlineStr">
        <is>
          <t>Established practice reported, not independently verified</t>
        </is>
      </c>
      <c r="G254" s="37" t="inlineStr">
        <is>
          <t>Outcome B06_3 supplies provisional risk, priority, reasons and actions. Apply contextual escalation separately.</t>
        </is>
      </c>
      <c r="H254" s="37" t="inlineStr">
        <is>
          <t>Confirmed exclusion only; DK retains the eligible denominator.</t>
        </is>
      </c>
      <c r="I254" s="37" t="inlineStr">
        <is>
          <t>Choose this only when the whole statement describes routine practice and you can point to a recent example or a tested readiness process. One successful exception is not enough.</t>
        </is>
      </c>
      <c r="J254" s="37" t="inlineStr">
        <is>
          <t>A change-of-hours check showing required agreement, records and the resulting pay.</t>
        </is>
      </c>
      <c r="K254" s="37" t="inlineStr">
        <is>
          <t>B06_3</t>
        </is>
      </c>
    </row>
    <row r="255" ht="61" customHeight="1">
      <c r="A255" s="38" t="inlineStr">
        <is>
          <t>B06</t>
        </is>
      </c>
      <c r="B255" s="38" t="inlineStr">
        <is>
          <t>B06_DK</t>
        </is>
      </c>
      <c r="C255" s="38" t="inlineStr">
        <is>
          <t>DK</t>
        </is>
      </c>
      <c r="D255" s="49" t="n">
        <v>0</v>
      </c>
      <c r="E255" s="38" t="inlineStr">
        <is>
          <t>I need to confirm this.</t>
        </is>
      </c>
      <c r="F255" s="38" t="inlineStr">
        <is>
          <t>Unverified, not an established failure</t>
        </is>
      </c>
      <c r="G255" s="38" t="inlineStr">
        <is>
          <t>Outcome B06_DK supplies provisional risk, priority, reasons and actions. Apply contextual escalation separately.</t>
        </is>
      </c>
      <c r="H255" s="38" t="inlineStr">
        <is>
          <t>Confirmed exclusion only; DK retains the eligible denominator.</t>
        </is>
      </c>
      <c r="I255" s="38" t="inlineStr">
        <is>
          <t>Choose this rather than guessing when you cannot confirm the practice or its consistency. You can save the assessment and ask the responsible person.</t>
        </is>
      </c>
      <c r="J255" s="38" t="inlineStr">
        <is>
          <t>A change-of-hours check showing required agreement, records and the resulting pay.</t>
        </is>
      </c>
      <c r="K255" s="38" t="inlineStr">
        <is>
          <t>B06_DK</t>
        </is>
      </c>
    </row>
    <row r="256" ht="61" customHeight="1">
      <c r="A256" s="37" t="inlineStr">
        <is>
          <t>B07</t>
        </is>
      </c>
      <c r="B256" s="37" t="inlineStr">
        <is>
          <t>B07_0</t>
        </is>
      </c>
      <c r="C256" s="48" t="n">
        <v>0</v>
      </c>
      <c r="D256" s="48" t="n">
        <v>0</v>
      </c>
      <c r="E256" s="37" t="inlineStr">
        <is>
          <t>We do not check the relevant triggers.</t>
        </is>
      </c>
      <c r="F256" s="37" t="inlineStr">
        <is>
          <t>Practice absent or not established as described</t>
        </is>
      </c>
      <c r="G256" s="37" t="inlineStr">
        <is>
          <t>Outcome B07_0 supplies provisional risk, priority, reasons and actions. Apply contextual escalation separately.</t>
        </is>
      </c>
      <c r="H256" s="37" t="inlineStr">
        <is>
          <t>Confirmed exclusion only; DK retains the eligible denominator.</t>
        </is>
      </c>
      <c r="I256" s="37" t="inlineStr">
        <is>
          <t>Choose this when the statement describes the current position. Reporting a gap helps prioritise support; it is not an admission that a legal breach has occurred.</t>
        </is>
      </c>
      <c r="J256" s="37" t="inlineStr">
        <is>
          <t>A checked trigger register and a sample of eligible payments or supported non-applicability.</t>
        </is>
      </c>
      <c r="K256" s="37" t="inlineStr">
        <is>
          <t>B07_0</t>
        </is>
      </c>
    </row>
    <row r="257" ht="61" customHeight="1">
      <c r="A257" s="38" t="inlineStr">
        <is>
          <t>B07</t>
        </is>
      </c>
      <c r="B257" s="38" t="inlineStr">
        <is>
          <t>B07_1</t>
        </is>
      </c>
      <c r="C257" s="49" t="n">
        <v>1</v>
      </c>
      <c r="D257" s="49" t="n">
        <v>1</v>
      </c>
      <c r="E257" s="38" t="inlineStr">
        <is>
          <t>We pay some common items or assume the base rate covers everything.</t>
        </is>
      </c>
      <c r="F257" s="38" t="inlineStr">
        <is>
          <t>Assumption-dependent or inconsistent practice</t>
        </is>
      </c>
      <c r="G257" s="38" t="inlineStr">
        <is>
          <t>Outcome B07_1 supplies provisional risk, priority, reasons and actions. Apply contextual escalation separately.</t>
        </is>
      </c>
      <c r="H257" s="38" t="inlineStr">
        <is>
          <t>Confirmed exclusion only; DK retains the eligible denominator.</t>
        </is>
      </c>
      <c r="I257" s="38" t="inlineStr">
        <is>
          <t>Choose this when the process depends on assumptions, personal knowledge or ad hoc handling rather than a dependable check.</t>
        </is>
      </c>
      <c r="J257" s="38" t="inlineStr">
        <is>
          <t>A checked trigger register and a sample of eligible payments or supported non-applicability.</t>
        </is>
      </c>
      <c r="K257" s="38" t="inlineStr">
        <is>
          <t>B07_1</t>
        </is>
      </c>
    </row>
    <row r="258" ht="61" customHeight="1">
      <c r="A258" s="37" t="inlineStr">
        <is>
          <t>B07</t>
        </is>
      </c>
      <c r="B258" s="37" t="inlineStr">
        <is>
          <t>B07_2</t>
        </is>
      </c>
      <c r="C258" s="48" t="n">
        <v>2</v>
      </c>
      <c r="D258" s="48" t="n">
        <v>2</v>
      </c>
      <c r="E258" s="37" t="inlineStr">
        <is>
          <t>We have a list, but changes in duties or eligibility are not consistently picked up.</t>
        </is>
      </c>
      <c r="F258" s="37" t="inlineStr">
        <is>
          <t>Partly established; residual gap remains</t>
        </is>
      </c>
      <c r="G258" s="37" t="inlineStr">
        <is>
          <t>Outcome B07_2 supplies provisional risk, priority, reasons and actions. Apply contextual escalation separately.</t>
        </is>
      </c>
      <c r="H258" s="37" t="inlineStr">
        <is>
          <t>Confirmed exclusion only; DK retains the eligible denominator.</t>
        </is>
      </c>
      <c r="I258" s="37" t="inlineStr">
        <is>
          <t>Choose this when important parts exist but at least one part of the statement remains unresolved. The report should target that gap, not require a full rebuild.</t>
        </is>
      </c>
      <c r="J258" s="37" t="inlineStr">
        <is>
          <t>A checked trigger register and a sample of eligible payments or supported non-applicability.</t>
        </is>
      </c>
      <c r="K258" s="37" t="inlineStr">
        <is>
          <t>B07_2</t>
        </is>
      </c>
    </row>
    <row r="259" ht="61" customHeight="1">
      <c r="A259" s="38" t="inlineStr">
        <is>
          <t>B07</t>
        </is>
      </c>
      <c r="B259" s="38" t="inlineStr">
        <is>
          <t>B07_3</t>
        </is>
      </c>
      <c r="C259" s="49" t="n">
        <v>3</v>
      </c>
      <c r="D259" s="49" t="n">
        <v>3</v>
      </c>
      <c r="E259" s="38" t="inlineStr">
        <is>
          <t>We maintain relevant triggers, confirm eligibility and check payment or a lawful alternative arrangement when circumstances change.</t>
        </is>
      </c>
      <c r="F259" s="38" t="inlineStr">
        <is>
          <t>Established practice reported, not independently verified</t>
        </is>
      </c>
      <c r="G259" s="38" t="inlineStr">
        <is>
          <t>Outcome B07_3 supplies provisional risk, priority, reasons and actions. Apply contextual escalation separately.</t>
        </is>
      </c>
      <c r="H259" s="38" t="inlineStr">
        <is>
          <t>Confirmed exclusion only; DK retains the eligible denominator.</t>
        </is>
      </c>
      <c r="I259" s="38" t="inlineStr">
        <is>
          <t>Choose this only when the whole statement describes routine practice and you can point to a recent example or a tested readiness process. One successful exception is not enough.</t>
        </is>
      </c>
      <c r="J259" s="38" t="inlineStr">
        <is>
          <t>A checked trigger register and a sample of eligible payments or supported non-applicability.</t>
        </is>
      </c>
      <c r="K259" s="38" t="inlineStr">
        <is>
          <t>B07_3</t>
        </is>
      </c>
    </row>
    <row r="260" ht="61" customHeight="1">
      <c r="A260" s="37" t="inlineStr">
        <is>
          <t>B07</t>
        </is>
      </c>
      <c r="B260" s="37" t="inlineStr">
        <is>
          <t>B07_DK</t>
        </is>
      </c>
      <c r="C260" s="37" t="inlineStr">
        <is>
          <t>DK</t>
        </is>
      </c>
      <c r="D260" s="48" t="n">
        <v>0</v>
      </c>
      <c r="E260" s="37" t="inlineStr">
        <is>
          <t>I need to confirm this.</t>
        </is>
      </c>
      <c r="F260" s="37" t="inlineStr">
        <is>
          <t>Unverified, not an established failure</t>
        </is>
      </c>
      <c r="G260" s="37" t="inlineStr">
        <is>
          <t>Outcome B07_DK supplies provisional risk, priority, reasons and actions. Apply contextual escalation separately.</t>
        </is>
      </c>
      <c r="H260" s="37" t="inlineStr">
        <is>
          <t>Confirmed exclusion only; DK retains the eligible denominator.</t>
        </is>
      </c>
      <c r="I260" s="37" t="inlineStr">
        <is>
          <t>Choose this rather than guessing when you cannot confirm the practice or its consistency. You can save the assessment and ask the responsible person.</t>
        </is>
      </c>
      <c r="J260" s="37" t="inlineStr">
        <is>
          <t>A checked trigger register and a sample of eligible payments or supported non-applicability.</t>
        </is>
      </c>
      <c r="K260" s="37" t="inlineStr">
        <is>
          <t>B07_DK</t>
        </is>
      </c>
    </row>
    <row r="261" ht="61" customHeight="1">
      <c r="A261" s="38" t="inlineStr">
        <is>
          <t>B08</t>
        </is>
      </c>
      <c r="B261" s="38" t="inlineStr">
        <is>
          <t>B08_0</t>
        </is>
      </c>
      <c r="C261" s="49" t="n">
        <v>0</v>
      </c>
      <c r="D261" s="49" t="n">
        <v>0</v>
      </c>
      <c r="E261" s="38" t="inlineStr">
        <is>
          <t>We deduct amounts we consider owing without checking authority.</t>
        </is>
      </c>
      <c r="F261" s="38" t="inlineStr">
        <is>
          <t>Practice absent or not established as described</t>
        </is>
      </c>
      <c r="G261" s="38" t="inlineStr">
        <is>
          <t>Outcome B08_0 supplies provisional risk, priority, reasons and actions. Apply contextual escalation separately.</t>
        </is>
      </c>
      <c r="H261" s="38" t="inlineStr">
        <is>
          <t>Confirmed exclusion only; DK retains the eligible denominator.</t>
        </is>
      </c>
      <c r="I261" s="38" t="inlineStr">
        <is>
          <t>Choose this when the statement describes the current position. Reporting a gap helps prioritise support; it is not an admission that a legal breach has occurred.</t>
        </is>
      </c>
      <c r="J261" s="38" t="inlineStr">
        <is>
          <t>A deduction-specific authority and agreement record, with the calculation checked.</t>
        </is>
      </c>
      <c r="K261" s="38" t="inlineStr">
        <is>
          <t>B08_0</t>
        </is>
      </c>
    </row>
    <row r="262" ht="61" customHeight="1">
      <c r="A262" s="37" t="inlineStr">
        <is>
          <t>B08</t>
        </is>
      </c>
      <c r="B262" s="37" t="inlineStr">
        <is>
          <t>B08_1</t>
        </is>
      </c>
      <c r="C262" s="48" t="n">
        <v>1</v>
      </c>
      <c r="D262" s="48" t="n">
        <v>1</v>
      </c>
      <c r="E262" s="37" t="inlineStr">
        <is>
          <t>We notify the employee or rely on a general contract clause.</t>
        </is>
      </c>
      <c r="F262" s="37" t="inlineStr">
        <is>
          <t>Assumption-dependent or inconsistent practice</t>
        </is>
      </c>
      <c r="G262" s="37" t="inlineStr">
        <is>
          <t>Outcome B08_1 supplies provisional risk, priority, reasons and actions. Apply contextual escalation separately.</t>
        </is>
      </c>
      <c r="H262" s="37" t="inlineStr">
        <is>
          <t>Confirmed exclusion only; DK retains the eligible denominator.</t>
        </is>
      </c>
      <c r="I262" s="37" t="inlineStr">
        <is>
          <t>Choose this when the process depends on assumptions, personal knowledge or ad hoc handling rather than a dependable check.</t>
        </is>
      </c>
      <c r="J262" s="37" t="inlineStr">
        <is>
          <t>A deduction-specific authority and agreement record, with the calculation checked.</t>
        </is>
      </c>
      <c r="K262" s="37" t="inlineStr">
        <is>
          <t>B08_1</t>
        </is>
      </c>
    </row>
    <row r="263" ht="61" customHeight="1">
      <c r="A263" s="38" t="inlineStr">
        <is>
          <t>B08</t>
        </is>
      </c>
      <c r="B263" s="38" t="inlineStr">
        <is>
          <t>B08_2</t>
        </is>
      </c>
      <c r="C263" s="49" t="n">
        <v>2</v>
      </c>
      <c r="D263" s="49" t="n">
        <v>2</v>
      </c>
      <c r="E263" s="38" t="inlineStr">
        <is>
          <t>We obtain agreement, but have not checked whether the particular deduction is permitted.</t>
        </is>
      </c>
      <c r="F263" s="38" t="inlineStr">
        <is>
          <t>Partly established; residual gap remains</t>
        </is>
      </c>
      <c r="G263" s="38" t="inlineStr">
        <is>
          <t>Outcome B08_2 supplies provisional risk, priority, reasons and actions. Apply contextual escalation separately.</t>
        </is>
      </c>
      <c r="H263" s="38" t="inlineStr">
        <is>
          <t>Confirmed exclusion only; DK retains the eligible denominator.</t>
        </is>
      </c>
      <c r="I263" s="38" t="inlineStr">
        <is>
          <t>Choose this when important parts exist but at least one part of the statement remains unresolved. The report should target that gap, not require a full rebuild.</t>
        </is>
      </c>
      <c r="J263" s="38" t="inlineStr">
        <is>
          <t>A deduction-specific authority and agreement record, with the calculation checked.</t>
        </is>
      </c>
      <c r="K263" s="38" t="inlineStr">
        <is>
          <t>B08_2</t>
        </is>
      </c>
    </row>
    <row r="264" ht="61" customHeight="1">
      <c r="A264" s="37" t="inlineStr">
        <is>
          <t>B08</t>
        </is>
      </c>
      <c r="B264" s="37" t="inlineStr">
        <is>
          <t>B08_3</t>
        </is>
      </c>
      <c r="C264" s="48" t="n">
        <v>3</v>
      </c>
      <c r="D264" s="48" t="n">
        <v>3</v>
      </c>
      <c r="E264" s="37" t="inlineStr">
        <is>
          <t>We verify the lawful basis and any required agreement before deducting, and retain an appropriate record.</t>
        </is>
      </c>
      <c r="F264" s="37" t="inlineStr">
        <is>
          <t>Established practice reported, not independently verified</t>
        </is>
      </c>
      <c r="G264" s="37" t="inlineStr">
        <is>
          <t>Outcome B08_3 supplies provisional risk, priority, reasons and actions. Apply contextual escalation separately.</t>
        </is>
      </c>
      <c r="H264" s="37" t="inlineStr">
        <is>
          <t>Confirmed exclusion only; DK retains the eligible denominator.</t>
        </is>
      </c>
      <c r="I264" s="37" t="inlineStr">
        <is>
          <t>Choose this only when the whole statement describes routine practice and you can point to a recent example or a tested readiness process. One successful exception is not enough.</t>
        </is>
      </c>
      <c r="J264" s="37" t="inlineStr">
        <is>
          <t>A deduction-specific authority and agreement record, with the calculation checked.</t>
        </is>
      </c>
      <c r="K264" s="37" t="inlineStr">
        <is>
          <t>B08_3</t>
        </is>
      </c>
    </row>
    <row r="265" ht="61" customHeight="1">
      <c r="A265" s="38" t="inlineStr">
        <is>
          <t>B08</t>
        </is>
      </c>
      <c r="B265" s="38" t="inlineStr">
        <is>
          <t>B08_DK</t>
        </is>
      </c>
      <c r="C265" s="38" t="inlineStr">
        <is>
          <t>DK</t>
        </is>
      </c>
      <c r="D265" s="49" t="n">
        <v>0</v>
      </c>
      <c r="E265" s="38" t="inlineStr">
        <is>
          <t>I need to confirm this.</t>
        </is>
      </c>
      <c r="F265" s="38" t="inlineStr">
        <is>
          <t>Unverified, not an established failure</t>
        </is>
      </c>
      <c r="G265" s="38" t="inlineStr">
        <is>
          <t>Outcome B08_DK supplies provisional risk, priority, reasons and actions. Apply contextual escalation separately.</t>
        </is>
      </c>
      <c r="H265" s="38" t="inlineStr">
        <is>
          <t>Confirmed exclusion only; DK retains the eligible denominator.</t>
        </is>
      </c>
      <c r="I265" s="38" t="inlineStr">
        <is>
          <t>Choose this rather than guessing when you cannot confirm the practice or its consistency. You can save the assessment and ask the responsible person.</t>
        </is>
      </c>
      <c r="J265" s="38" t="inlineStr">
        <is>
          <t>A deduction-specific authority and agreement record, with the calculation checked.</t>
        </is>
      </c>
      <c r="K265" s="38" t="inlineStr">
        <is>
          <t>B08_DK</t>
        </is>
      </c>
    </row>
    <row r="266" ht="61" customHeight="1">
      <c r="A266" s="37" t="inlineStr">
        <is>
          <t>B09</t>
        </is>
      </c>
      <c r="B266" s="37" t="inlineStr">
        <is>
          <t>B09_0</t>
        </is>
      </c>
      <c r="C266" s="48" t="n">
        <v>0</v>
      </c>
      <c r="D266" s="48" t="n">
        <v>0</v>
      </c>
      <c r="E266" s="37" t="inlineStr">
        <is>
          <t>We tell employees to take leave without checking the applicable rules.</t>
        </is>
      </c>
      <c r="F266" s="37" t="inlineStr">
        <is>
          <t>Practice absent or not established as described</t>
        </is>
      </c>
      <c r="G266" s="37" t="inlineStr">
        <is>
          <t>Outcome B09_0 supplies provisional risk, priority, reasons and actions. Apply contextual escalation separately.</t>
        </is>
      </c>
      <c r="H266" s="37" t="inlineStr">
        <is>
          <t>Confirmed exclusion only; DK retains the eligible denominator.</t>
        </is>
      </c>
      <c r="I266" s="37" t="inlineStr">
        <is>
          <t>Choose this when the statement describes the current position. Reporting a gap helps prioritise support; it is not an admission that a legal breach has occurred.</t>
        </is>
      </c>
      <c r="J266" s="37" t="inlineStr">
        <is>
          <t>A shutdown plan with the applicable authority, notice and individual arrangements.</t>
        </is>
      </c>
      <c r="K266" s="37" t="inlineStr">
        <is>
          <t>B09_0</t>
        </is>
      </c>
    </row>
    <row r="267" ht="61" customHeight="1">
      <c r="A267" s="38" t="inlineStr">
        <is>
          <t>B09</t>
        </is>
      </c>
      <c r="B267" s="38" t="inlineStr">
        <is>
          <t>B09_1</t>
        </is>
      </c>
      <c r="C267" s="49" t="n">
        <v>1</v>
      </c>
      <c r="D267" s="49" t="n">
        <v>1</v>
      </c>
      <c r="E267" s="38" t="inlineStr">
        <is>
          <t>We follow past practice and assume unpaid leave can cover any shortfall.</t>
        </is>
      </c>
      <c r="F267" s="38" t="inlineStr">
        <is>
          <t>Assumption-dependent or inconsistent practice</t>
        </is>
      </c>
      <c r="G267" s="38" t="inlineStr">
        <is>
          <t>Outcome B09_1 supplies provisional risk, priority, reasons and actions. Apply contextual escalation separately.</t>
        </is>
      </c>
      <c r="H267" s="38" t="inlineStr">
        <is>
          <t>Confirmed exclusion only; DK retains the eligible denominator.</t>
        </is>
      </c>
      <c r="I267" s="38" t="inlineStr">
        <is>
          <t>Choose this when the process depends on assumptions, personal knowledge or ad hoc handling rather than a dependable check.</t>
        </is>
      </c>
      <c r="J267" s="38" t="inlineStr">
        <is>
          <t>A shutdown plan with the applicable authority, notice and individual arrangements.</t>
        </is>
      </c>
      <c r="K267" s="38" t="inlineStr">
        <is>
          <t>B09_1</t>
        </is>
      </c>
    </row>
    <row r="268" ht="61" customHeight="1">
      <c r="A268" s="37" t="inlineStr">
        <is>
          <t>B09</t>
        </is>
      </c>
      <c r="B268" s="37" t="inlineStr">
        <is>
          <t>B09_2</t>
        </is>
      </c>
      <c r="C268" s="48" t="n">
        <v>2</v>
      </c>
      <c r="D268" s="48" t="n">
        <v>2</v>
      </c>
      <c r="E268" s="37" t="inlineStr">
        <is>
          <t>We check some requirements, but notice or insufficient balances need review.</t>
        </is>
      </c>
      <c r="F268" s="37" t="inlineStr">
        <is>
          <t>Partly established; residual gap remains</t>
        </is>
      </c>
      <c r="G268" s="37" t="inlineStr">
        <is>
          <t>Outcome B09_2 supplies provisional risk, priority, reasons and actions. Apply contextual escalation separately.</t>
        </is>
      </c>
      <c r="H268" s="37" t="inlineStr">
        <is>
          <t>Confirmed exclusion only; DK retains the eligible denominator.</t>
        </is>
      </c>
      <c r="I268" s="37" t="inlineStr">
        <is>
          <t>Choose this when important parts exist but at least one part of the statement remains unresolved. The report should target that gap, not require a full rebuild.</t>
        </is>
      </c>
      <c r="J268" s="37" t="inlineStr">
        <is>
          <t>A shutdown plan with the applicable authority, notice and individual arrangements.</t>
        </is>
      </c>
      <c r="K268" s="37" t="inlineStr">
        <is>
          <t>B09_2</t>
        </is>
      </c>
    </row>
    <row r="269" ht="61" customHeight="1">
      <c r="A269" s="38" t="inlineStr">
        <is>
          <t>B09</t>
        </is>
      </c>
      <c r="B269" s="38" t="inlineStr">
        <is>
          <t>B09_3</t>
        </is>
      </c>
      <c r="C269" s="49" t="n">
        <v>3</v>
      </c>
      <c r="D269" s="49" t="n">
        <v>3</v>
      </c>
      <c r="E269" s="38" t="inlineStr">
        <is>
          <t>We check the applicable rules, provide required notice and agree or implement lawful arrangements for each affected employee.</t>
        </is>
      </c>
      <c r="F269" s="38" t="inlineStr">
        <is>
          <t>Established practice reported, not independently verified</t>
        </is>
      </c>
      <c r="G269" s="38" t="inlineStr">
        <is>
          <t>Outcome B09_3 supplies provisional risk, priority, reasons and actions. Apply contextual escalation separately.</t>
        </is>
      </c>
      <c r="H269" s="38" t="inlineStr">
        <is>
          <t>Confirmed exclusion only; DK retains the eligible denominator.</t>
        </is>
      </c>
      <c r="I269" s="38" t="inlineStr">
        <is>
          <t>Choose this only when the whole statement describes routine practice and you can point to a recent example or a tested readiness process. One successful exception is not enough.</t>
        </is>
      </c>
      <c r="J269" s="38" t="inlineStr">
        <is>
          <t>A shutdown plan with the applicable authority, notice and individual arrangements.</t>
        </is>
      </c>
      <c r="K269" s="38" t="inlineStr">
        <is>
          <t>B09_3</t>
        </is>
      </c>
    </row>
    <row r="270" ht="61" customHeight="1">
      <c r="A270" s="37" t="inlineStr">
        <is>
          <t>B09</t>
        </is>
      </c>
      <c r="B270" s="37" t="inlineStr">
        <is>
          <t>B09_DK</t>
        </is>
      </c>
      <c r="C270" s="37" t="inlineStr">
        <is>
          <t>DK</t>
        </is>
      </c>
      <c r="D270" s="48" t="n">
        <v>0</v>
      </c>
      <c r="E270" s="37" t="inlineStr">
        <is>
          <t>I need to confirm this.</t>
        </is>
      </c>
      <c r="F270" s="37" t="inlineStr">
        <is>
          <t>Unverified, not an established failure</t>
        </is>
      </c>
      <c r="G270" s="37" t="inlineStr">
        <is>
          <t>Outcome B09_DK supplies provisional risk, priority, reasons and actions. Apply contextual escalation separately.</t>
        </is>
      </c>
      <c r="H270" s="37" t="inlineStr">
        <is>
          <t>Confirmed exclusion only; DK retains the eligible denominator.</t>
        </is>
      </c>
      <c r="I270" s="37" t="inlineStr">
        <is>
          <t>Choose this rather than guessing when you cannot confirm the practice or its consistency. You can save the assessment and ask the responsible person.</t>
        </is>
      </c>
      <c r="J270" s="37" t="inlineStr">
        <is>
          <t>A shutdown plan with the applicable authority, notice and individual arrangements.</t>
        </is>
      </c>
      <c r="K270" s="37" t="inlineStr">
        <is>
          <t>B09_DK</t>
        </is>
      </c>
    </row>
    <row r="271" ht="61" customHeight="1">
      <c r="A271" s="38" t="inlineStr">
        <is>
          <t>B10</t>
        </is>
      </c>
      <c r="B271" s="38" t="inlineStr">
        <is>
          <t>B10_0</t>
        </is>
      </c>
      <c r="C271" s="49" t="n">
        <v>0</v>
      </c>
      <c r="D271" s="49" t="n">
        <v>0</v>
      </c>
      <c r="E271" s="38" t="inlineStr">
        <is>
          <t>We cash out leave without checking whether it is permitted.</t>
        </is>
      </c>
      <c r="F271" s="38" t="inlineStr">
        <is>
          <t>Practice absent or not established as described</t>
        </is>
      </c>
      <c r="G271" s="38" t="inlineStr">
        <is>
          <t>Outcome B10_0 supplies provisional risk, priority, reasons and actions. Apply contextual escalation separately.</t>
        </is>
      </c>
      <c r="H271" s="38" t="inlineStr">
        <is>
          <t>Confirmed exclusion only; DK retains the eligible denominator.</t>
        </is>
      </c>
      <c r="I271" s="38" t="inlineStr">
        <is>
          <t>Choose this when the statement describes the current position. Reporting a gap helps prioritise support; it is not an admission that a legal breach has occurred.</t>
        </is>
      </c>
      <c r="J271" s="38" t="inlineStr">
        <is>
          <t>An individually checked agreement, remaining balance and correct payment calculation.</t>
        </is>
      </c>
      <c r="K271" s="38" t="inlineStr">
        <is>
          <t>B10_0</t>
        </is>
      </c>
    </row>
    <row r="272" ht="61" customHeight="1">
      <c r="A272" s="37" t="inlineStr">
        <is>
          <t>B10</t>
        </is>
      </c>
      <c r="B272" s="37" t="inlineStr">
        <is>
          <t>B10_1</t>
        </is>
      </c>
      <c r="C272" s="48" t="n">
        <v>1</v>
      </c>
      <c r="D272" s="48" t="n">
        <v>1</v>
      </c>
      <c r="E272" s="37" t="inlineStr">
        <is>
          <t>We agree an amount informally or apply the same rule to everyone.</t>
        </is>
      </c>
      <c r="F272" s="37" t="inlineStr">
        <is>
          <t>Assumption-dependent or inconsistent practice</t>
        </is>
      </c>
      <c r="G272" s="37" t="inlineStr">
        <is>
          <t>Outcome B10_1 supplies provisional risk, priority, reasons and actions. Apply contextual escalation separately.</t>
        </is>
      </c>
      <c r="H272" s="37" t="inlineStr">
        <is>
          <t>Confirmed exclusion only; DK retains the eligible denominator.</t>
        </is>
      </c>
      <c r="I272" s="37" t="inlineStr">
        <is>
          <t>Choose this when the process depends on assumptions, personal knowledge or ad hoc handling rather than a dependable check.</t>
        </is>
      </c>
      <c r="J272" s="37" t="inlineStr">
        <is>
          <t>An individually checked agreement, remaining balance and correct payment calculation.</t>
        </is>
      </c>
      <c r="K272" s="37" t="inlineStr">
        <is>
          <t>B10_1</t>
        </is>
      </c>
    </row>
    <row r="273" ht="61" customHeight="1">
      <c r="A273" s="38" t="inlineStr">
        <is>
          <t>B10</t>
        </is>
      </c>
      <c r="B273" s="38" t="inlineStr">
        <is>
          <t>B10_2</t>
        </is>
      </c>
      <c r="C273" s="49" t="n">
        <v>2</v>
      </c>
      <c r="D273" s="49" t="n">
        <v>2</v>
      </c>
      <c r="E273" s="38" t="inlineStr">
        <is>
          <t>We use written agreements, but limits, balances or payment may not be checked each time.</t>
        </is>
      </c>
      <c r="F273" s="38" t="inlineStr">
        <is>
          <t>Partly established; residual gap remains</t>
        </is>
      </c>
      <c r="G273" s="38" t="inlineStr">
        <is>
          <t>Outcome B10_2 supplies provisional risk, priority, reasons and actions. Apply contextual escalation separately.</t>
        </is>
      </c>
      <c r="H273" s="38" t="inlineStr">
        <is>
          <t>Confirmed exclusion only; DK retains the eligible denominator.</t>
        </is>
      </c>
      <c r="I273" s="38" t="inlineStr">
        <is>
          <t>Choose this when important parts exist but at least one part of the statement remains unresolved. The report should target that gap, not require a full rebuild.</t>
        </is>
      </c>
      <c r="J273" s="38" t="inlineStr">
        <is>
          <t>An individually checked agreement, remaining balance and correct payment calculation.</t>
        </is>
      </c>
      <c r="K273" s="38" t="inlineStr">
        <is>
          <t>B10_2</t>
        </is>
      </c>
    </row>
    <row r="274" ht="61" customHeight="1">
      <c r="A274" s="37" t="inlineStr">
        <is>
          <t>B10</t>
        </is>
      </c>
      <c r="B274" s="37" t="inlineStr">
        <is>
          <t>B10_3</t>
        </is>
      </c>
      <c r="C274" s="48" t="n">
        <v>3</v>
      </c>
      <c r="D274" s="48" t="n">
        <v>3</v>
      </c>
      <c r="E274" s="37" t="inlineStr">
        <is>
          <t>We check the applicable conditions for each request and retain a separate compliant agreement and payment record.</t>
        </is>
      </c>
      <c r="F274" s="37" t="inlineStr">
        <is>
          <t>Established practice reported, not independently verified</t>
        </is>
      </c>
      <c r="G274" s="37" t="inlineStr">
        <is>
          <t>Outcome B10_3 supplies provisional risk, priority, reasons and actions. Apply contextual escalation separately.</t>
        </is>
      </c>
      <c r="H274" s="37" t="inlineStr">
        <is>
          <t>Confirmed exclusion only; DK retains the eligible denominator.</t>
        </is>
      </c>
      <c r="I274" s="37" t="inlineStr">
        <is>
          <t>Choose this only when the whole statement describes routine practice and you can point to a recent example or a tested readiness process. One successful exception is not enough.</t>
        </is>
      </c>
      <c r="J274" s="37" t="inlineStr">
        <is>
          <t>An individually checked agreement, remaining balance and correct payment calculation.</t>
        </is>
      </c>
      <c r="K274" s="37" t="inlineStr">
        <is>
          <t>B10_3</t>
        </is>
      </c>
    </row>
    <row r="275" ht="61" customHeight="1">
      <c r="A275" s="38" t="inlineStr">
        <is>
          <t>B10</t>
        </is>
      </c>
      <c r="B275" s="38" t="inlineStr">
        <is>
          <t>B10_DK</t>
        </is>
      </c>
      <c r="C275" s="38" t="inlineStr">
        <is>
          <t>DK</t>
        </is>
      </c>
      <c r="D275" s="49" t="n">
        <v>0</v>
      </c>
      <c r="E275" s="38" t="inlineStr">
        <is>
          <t>I need to confirm this.</t>
        </is>
      </c>
      <c r="F275" s="38" t="inlineStr">
        <is>
          <t>Unverified, not an established failure</t>
        </is>
      </c>
      <c r="G275" s="38" t="inlineStr">
        <is>
          <t>Outcome B10_DK supplies provisional risk, priority, reasons and actions. Apply contextual escalation separately.</t>
        </is>
      </c>
      <c r="H275" s="38" t="inlineStr">
        <is>
          <t>Confirmed exclusion only; DK retains the eligible denominator.</t>
        </is>
      </c>
      <c r="I275" s="38" t="inlineStr">
        <is>
          <t>Choose this rather than guessing when you cannot confirm the practice or its consistency. You can save the assessment and ask the responsible person.</t>
        </is>
      </c>
      <c r="J275" s="38" t="inlineStr">
        <is>
          <t>An individually checked agreement, remaining balance and correct payment calculation.</t>
        </is>
      </c>
      <c r="K275" s="38" t="inlineStr">
        <is>
          <t>B10_DK</t>
        </is>
      </c>
    </row>
    <row r="276" ht="61" customHeight="1">
      <c r="A276" s="37" t="inlineStr">
        <is>
          <t>B11</t>
        </is>
      </c>
      <c r="B276" s="37" t="inlineStr">
        <is>
          <t>B11_0</t>
        </is>
      </c>
      <c r="C276" s="48" t="n">
        <v>0</v>
      </c>
      <c r="D276" s="48" t="n">
        <v>0</v>
      </c>
      <c r="E276" s="37" t="inlineStr">
        <is>
          <t>We have not checked whether a scheme applies.</t>
        </is>
      </c>
      <c r="F276" s="37" t="inlineStr">
        <is>
          <t>Practice absent or not established as described</t>
        </is>
      </c>
      <c r="G276" s="37" t="inlineStr">
        <is>
          <t>Outcome B11_0 supplies provisional risk, priority, reasons and actions. Apply contextual escalation separately.</t>
        </is>
      </c>
      <c r="H276" s="37" t="inlineStr">
        <is>
          <t>Confirmed exclusion only; DK retains the eligible denominator.</t>
        </is>
      </c>
      <c r="I276" s="37" t="inlineStr">
        <is>
          <t>Choose this when the statement describes the current position. Reporting a gap helps prioritise support; it is not an admission that a legal breach has occurred.</t>
        </is>
      </c>
      <c r="J276" s="37" t="inlineStr">
        <is>
          <t>A jurisdiction-specific coverage record and evidence of required registration, returns and contributions.</t>
        </is>
      </c>
      <c r="K276" s="37" t="inlineStr">
        <is>
          <t>B11_0</t>
        </is>
      </c>
    </row>
    <row r="277" ht="61" customHeight="1">
      <c r="A277" s="38" t="inlineStr">
        <is>
          <t>B11</t>
        </is>
      </c>
      <c r="B277" s="38" t="inlineStr">
        <is>
          <t>B11_1</t>
        </is>
      </c>
      <c r="C277" s="49" t="n">
        <v>1</v>
      </c>
      <c r="D277" s="49" t="n">
        <v>1</v>
      </c>
      <c r="E277" s="38" t="inlineStr">
        <is>
          <t>We rely on assumptions about our industry or business size.</t>
        </is>
      </c>
      <c r="F277" s="38" t="inlineStr">
        <is>
          <t>Assumption-dependent or inconsistent practice</t>
        </is>
      </c>
      <c r="G277" s="38" t="inlineStr">
        <is>
          <t>Outcome B11_1 supplies provisional risk, priority, reasons and actions. Apply contextual escalation separately.</t>
        </is>
      </c>
      <c r="H277" s="38" t="inlineStr">
        <is>
          <t>Confirmed exclusion only; DK retains the eligible denominator.</t>
        </is>
      </c>
      <c r="I277" s="38" t="inlineStr">
        <is>
          <t>Choose this when the process depends on assumptions, personal knowledge or ad hoc handling rather than a dependable check.</t>
        </is>
      </c>
      <c r="J277" s="38" t="inlineStr">
        <is>
          <t>A jurisdiction-specific coverage record and evidence of required registration, returns and contributions.</t>
        </is>
      </c>
      <c r="K277" s="38" t="inlineStr">
        <is>
          <t>B11_1</t>
        </is>
      </c>
    </row>
    <row r="278" ht="61" customHeight="1">
      <c r="A278" s="37" t="inlineStr">
        <is>
          <t>B11</t>
        </is>
      </c>
      <c r="B278" s="37" t="inlineStr">
        <is>
          <t>B11_2</t>
        </is>
      </c>
      <c r="C278" s="48" t="n">
        <v>2</v>
      </c>
      <c r="D278" s="48" t="n">
        <v>2</v>
      </c>
      <c r="E278" s="37" t="inlineStr">
        <is>
          <t>We have checked coverage, but registration, returns or the interaction with ordinary leave needs review.</t>
        </is>
      </c>
      <c r="F278" s="37" t="inlineStr">
        <is>
          <t>Partly established; residual gap remains</t>
        </is>
      </c>
      <c r="G278" s="37" t="inlineStr">
        <is>
          <t>Outcome B11_2 supplies provisional risk, priority, reasons and actions. Apply contextual escalation separately.</t>
        </is>
      </c>
      <c r="H278" s="37" t="inlineStr">
        <is>
          <t>Confirmed exclusion only; DK retains the eligible denominator.</t>
        </is>
      </c>
      <c r="I278" s="37" t="inlineStr">
        <is>
          <t>Choose this when important parts exist but at least one part of the statement remains unresolved. The report should target that gap, not require a full rebuild.</t>
        </is>
      </c>
      <c r="J278" s="37" t="inlineStr">
        <is>
          <t>A jurisdiction-specific coverage record and evidence of required registration, returns and contributions.</t>
        </is>
      </c>
      <c r="K278" s="37" t="inlineStr">
        <is>
          <t>B11_2</t>
        </is>
      </c>
    </row>
    <row r="279" ht="61" customHeight="1">
      <c r="A279" s="38" t="inlineStr">
        <is>
          <t>B11</t>
        </is>
      </c>
      <c r="B279" s="38" t="inlineStr">
        <is>
          <t>B11_3</t>
        </is>
      </c>
      <c r="C279" s="49" t="n">
        <v>3</v>
      </c>
      <c r="D279" s="49" t="n">
        <v>3</v>
      </c>
      <c r="E279" s="38" t="inlineStr">
        <is>
          <t>We have a supported coverage decision and keep applicable registrations, returns, contributions and ordinary leave records current.</t>
        </is>
      </c>
      <c r="F279" s="38" t="inlineStr">
        <is>
          <t>Established practice reported, not independently verified</t>
        </is>
      </c>
      <c r="G279" s="38" t="inlineStr">
        <is>
          <t>Outcome B11_3 supplies provisional risk, priority, reasons and actions. Apply contextual escalation separately.</t>
        </is>
      </c>
      <c r="H279" s="38" t="inlineStr">
        <is>
          <t>Confirmed exclusion only; DK retains the eligible denominator.</t>
        </is>
      </c>
      <c r="I279" s="38" t="inlineStr">
        <is>
          <t>Choose this only when the whole statement describes routine practice and you can point to a recent example or a tested readiness process. One successful exception is not enough.</t>
        </is>
      </c>
      <c r="J279" s="38" t="inlineStr">
        <is>
          <t>A jurisdiction-specific coverage record and evidence of required registration, returns and contributions.</t>
        </is>
      </c>
      <c r="K279" s="38" t="inlineStr">
        <is>
          <t>B11_3</t>
        </is>
      </c>
    </row>
    <row r="280" ht="61" customHeight="1">
      <c r="A280" s="37" t="inlineStr">
        <is>
          <t>B11</t>
        </is>
      </c>
      <c r="B280" s="37" t="inlineStr">
        <is>
          <t>B11_DK</t>
        </is>
      </c>
      <c r="C280" s="37" t="inlineStr">
        <is>
          <t>DK</t>
        </is>
      </c>
      <c r="D280" s="48" t="n">
        <v>0</v>
      </c>
      <c r="E280" s="37" t="inlineStr">
        <is>
          <t>I need to confirm this.</t>
        </is>
      </c>
      <c r="F280" s="37" t="inlineStr">
        <is>
          <t>Unverified, not an established failure</t>
        </is>
      </c>
      <c r="G280" s="37" t="inlineStr">
        <is>
          <t>Outcome B11_DK supplies provisional risk, priority, reasons and actions. Apply contextual escalation separately.</t>
        </is>
      </c>
      <c r="H280" s="37" t="inlineStr">
        <is>
          <t>Confirmed exclusion only; DK retains the eligible denominator.</t>
        </is>
      </c>
      <c r="I280" s="37" t="inlineStr">
        <is>
          <t>Choose this rather than guessing when you cannot confirm the practice or its consistency. You can save the assessment and ask the responsible person.</t>
        </is>
      </c>
      <c r="J280" s="37" t="inlineStr">
        <is>
          <t>A jurisdiction-specific coverage record and evidence of required registration, returns and contributions.</t>
        </is>
      </c>
      <c r="K280" s="37" t="inlineStr">
        <is>
          <t>B11_DK</t>
        </is>
      </c>
    </row>
    <row r="281" ht="61" customHeight="1">
      <c r="A281" s="38" t="inlineStr">
        <is>
          <t>B12</t>
        </is>
      </c>
      <c r="B281" s="38" t="inlineStr">
        <is>
          <t>B12_0</t>
        </is>
      </c>
      <c r="C281" s="49" t="n">
        <v>0</v>
      </c>
      <c r="D281" s="49" t="n">
        <v>0</v>
      </c>
      <c r="E281" s="38" t="inlineStr">
        <is>
          <t>We use flexibility arrangements without checking the IFA rules.</t>
        </is>
      </c>
      <c r="F281" s="38" t="inlineStr">
        <is>
          <t>Practice absent or not established as described</t>
        </is>
      </c>
      <c r="G281" s="38" t="inlineStr">
        <is>
          <t>Outcome B12_0 supplies provisional risk, priority, reasons and actions. Apply contextual escalation separately.</t>
        </is>
      </c>
      <c r="H281" s="38" t="inlineStr">
        <is>
          <t>Confirmed exclusion only; DK retains the eligible denominator.</t>
        </is>
      </c>
      <c r="I281" s="38" t="inlineStr">
        <is>
          <t>Choose this when the statement describes the current position. Reporting a gap helps prioritise support; it is not an admission that a legal breach has occurred.</t>
        </is>
      </c>
      <c r="J281" s="38" t="inlineStr">
        <is>
          <t>A reviewed IFA, comparison and record of agreement, with a review trigger.</t>
        </is>
      </c>
      <c r="K281" s="38" t="inlineStr">
        <is>
          <t>B12_0</t>
        </is>
      </c>
    </row>
    <row r="282" ht="61" customHeight="1">
      <c r="A282" s="37" t="inlineStr">
        <is>
          <t>B12</t>
        </is>
      </c>
      <c r="B282" s="37" t="inlineStr">
        <is>
          <t>B12_1</t>
        </is>
      </c>
      <c r="C282" s="48" t="n">
        <v>1</v>
      </c>
      <c r="D282" s="48" t="n">
        <v>1</v>
      </c>
      <c r="E282" s="37" t="inlineStr">
        <is>
          <t>We rely on employee consent or a template without checking permitted terms.</t>
        </is>
      </c>
      <c r="F282" s="37" t="inlineStr">
        <is>
          <t>Assumption-dependent or inconsistent practice</t>
        </is>
      </c>
      <c r="G282" s="37" t="inlineStr">
        <is>
          <t>Outcome B12_1 supplies provisional risk, priority, reasons and actions. Apply contextual escalation separately.</t>
        </is>
      </c>
      <c r="H282" s="37" t="inlineStr">
        <is>
          <t>Confirmed exclusion only; DK retains the eligible denominator.</t>
        </is>
      </c>
      <c r="I282" s="37" t="inlineStr">
        <is>
          <t>Choose this when the process depends on assumptions, personal knowledge or ad hoc handling rather than a dependable check.</t>
        </is>
      </c>
      <c r="J282" s="37" t="inlineStr">
        <is>
          <t>A reviewed IFA, comparison and record of agreement, with a review trigger.</t>
        </is>
      </c>
      <c r="K282" s="37" t="inlineStr">
        <is>
          <t>B12_1</t>
        </is>
      </c>
    </row>
    <row r="283" ht="61" customHeight="1">
      <c r="A283" s="38" t="inlineStr">
        <is>
          <t>B12</t>
        </is>
      </c>
      <c r="B283" s="38" t="inlineStr">
        <is>
          <t>B12_2</t>
        </is>
      </c>
      <c r="C283" s="49" t="n">
        <v>2</v>
      </c>
      <c r="D283" s="49" t="n">
        <v>2</v>
      </c>
      <c r="E283" s="38" t="inlineStr">
        <is>
          <t>We have written IFAs, but the better off overall assessment or ongoing review is incomplete.</t>
        </is>
      </c>
      <c r="F283" s="38" t="inlineStr">
        <is>
          <t>Partly established; residual gap remains</t>
        </is>
      </c>
      <c r="G283" s="38" t="inlineStr">
        <is>
          <t>Outcome B12_2 supplies provisional risk, priority, reasons and actions. Apply contextual escalation separately.</t>
        </is>
      </c>
      <c r="H283" s="38" t="inlineStr">
        <is>
          <t>Confirmed exclusion only; DK retains the eligible denominator.</t>
        </is>
      </c>
      <c r="I283" s="38" t="inlineStr">
        <is>
          <t>Choose this when important parts exist but at least one part of the statement remains unresolved. The report should target that gap, not require a full rebuild.</t>
        </is>
      </c>
      <c r="J283" s="38" t="inlineStr">
        <is>
          <t>A reviewed IFA, comparison and record of agreement, with a review trigger.</t>
        </is>
      </c>
      <c r="K283" s="38" t="inlineStr">
        <is>
          <t>B12_2</t>
        </is>
      </c>
    </row>
    <row r="284" ht="61" customHeight="1">
      <c r="A284" s="37" t="inlineStr">
        <is>
          <t>B12</t>
        </is>
      </c>
      <c r="B284" s="37" t="inlineStr">
        <is>
          <t>B12_3</t>
        </is>
      </c>
      <c r="C284" s="48" t="n">
        <v>3</v>
      </c>
      <c r="D284" s="48" t="n">
        <v>3</v>
      </c>
      <c r="E284" s="37" t="inlineStr">
        <is>
          <t>We have checked the permitted terms, genuine agreement and better off overall position, and review the arrangement when circumstances change.</t>
        </is>
      </c>
      <c r="F284" s="37" t="inlineStr">
        <is>
          <t>Established practice reported, not independently verified</t>
        </is>
      </c>
      <c r="G284" s="37" t="inlineStr">
        <is>
          <t>Outcome B12_3 supplies provisional risk, priority, reasons and actions. Apply contextual escalation separately.</t>
        </is>
      </c>
      <c r="H284" s="37" t="inlineStr">
        <is>
          <t>Confirmed exclusion only; DK retains the eligible denominator.</t>
        </is>
      </c>
      <c r="I284" s="37" t="inlineStr">
        <is>
          <t>Choose this only when the whole statement describes routine practice and you can point to a recent example or a tested readiness process. One successful exception is not enough.</t>
        </is>
      </c>
      <c r="J284" s="37" t="inlineStr">
        <is>
          <t>A reviewed IFA, comparison and record of agreement, with a review trigger.</t>
        </is>
      </c>
      <c r="K284" s="37" t="inlineStr">
        <is>
          <t>B12_3</t>
        </is>
      </c>
    </row>
    <row r="285" ht="61" customHeight="1">
      <c r="A285" s="38" t="inlineStr">
        <is>
          <t>B12</t>
        </is>
      </c>
      <c r="B285" s="38" t="inlineStr">
        <is>
          <t>B12_DK</t>
        </is>
      </c>
      <c r="C285" s="38" t="inlineStr">
        <is>
          <t>DK</t>
        </is>
      </c>
      <c r="D285" s="49" t="n">
        <v>0</v>
      </c>
      <c r="E285" s="38" t="inlineStr">
        <is>
          <t>I need to confirm this.</t>
        </is>
      </c>
      <c r="F285" s="38" t="inlineStr">
        <is>
          <t>Unverified, not an established failure</t>
        </is>
      </c>
      <c r="G285" s="38" t="inlineStr">
        <is>
          <t>Outcome B12_DK supplies provisional risk, priority, reasons and actions. Apply contextual escalation separately.</t>
        </is>
      </c>
      <c r="H285" s="38" t="inlineStr">
        <is>
          <t>Confirmed exclusion only; DK retains the eligible denominator.</t>
        </is>
      </c>
      <c r="I285" s="38" t="inlineStr">
        <is>
          <t>Choose this rather than guessing when you cannot confirm the practice or its consistency. You can save the assessment and ask the responsible person.</t>
        </is>
      </c>
      <c r="J285" s="38" t="inlineStr">
        <is>
          <t>A reviewed IFA, comparison and record of agreement, with a review trigger.</t>
        </is>
      </c>
      <c r="K285" s="38" t="inlineStr">
        <is>
          <t>B12_DK</t>
        </is>
      </c>
    </row>
    <row r="286" ht="61" customHeight="1">
      <c r="A286" s="37" t="inlineStr">
        <is>
          <t>B13</t>
        </is>
      </c>
      <c r="B286" s="37" t="inlineStr">
        <is>
          <t>B13_0</t>
        </is>
      </c>
      <c r="C286" s="48" t="n">
        <v>0</v>
      </c>
      <c r="D286" s="48" t="n">
        <v>0</v>
      </c>
      <c r="E286" s="37" t="inlineStr">
        <is>
          <t>Required credentials are not verified.</t>
        </is>
      </c>
      <c r="F286" s="37" t="inlineStr">
        <is>
          <t>Practice absent or not established as described</t>
        </is>
      </c>
      <c r="G286" s="37" t="inlineStr">
        <is>
          <t>Outcome B13_0 supplies provisional risk, priority, reasons and actions. Apply contextual escalation separately.</t>
        </is>
      </c>
      <c r="H286" s="37" t="inlineStr">
        <is>
          <t>Confirmed exclusion only; DK retains the eligible denominator.</t>
        </is>
      </c>
      <c r="I286" s="37" t="inlineStr">
        <is>
          <t>Choose this when the statement describes the current position. Reporting a gap helps prioritise support; it is not an admission that a legal breach has occurred.</t>
        </is>
      </c>
      <c r="J286" s="37" t="inlineStr">
        <is>
          <t>A current credential register and clear controls preventing unauthorised work.</t>
        </is>
      </c>
      <c r="K286" s="37" t="inlineStr">
        <is>
          <t>B13_0</t>
        </is>
      </c>
    </row>
    <row r="287" ht="61" customHeight="1">
      <c r="A287" s="38" t="inlineStr">
        <is>
          <t>B13</t>
        </is>
      </c>
      <c r="B287" s="38" t="inlineStr">
        <is>
          <t>B13_1</t>
        </is>
      </c>
      <c r="C287" s="49" t="n">
        <v>1</v>
      </c>
      <c r="D287" s="49" t="n">
        <v>1</v>
      </c>
      <c r="E287" s="38" t="inlineStr">
        <is>
          <t>We check at commencement but do not monitor expiry or changes.</t>
        </is>
      </c>
      <c r="F287" s="38" t="inlineStr">
        <is>
          <t>Assumption-dependent or inconsistent practice</t>
        </is>
      </c>
      <c r="G287" s="38" t="inlineStr">
        <is>
          <t>Outcome B13_1 supplies provisional risk, priority, reasons and actions. Apply contextual escalation separately.</t>
        </is>
      </c>
      <c r="H287" s="38" t="inlineStr">
        <is>
          <t>Confirmed exclusion only; DK retains the eligible denominator.</t>
        </is>
      </c>
      <c r="I287" s="38" t="inlineStr">
        <is>
          <t>Choose this when the process depends on assumptions, personal knowledge or ad hoc handling rather than a dependable check.</t>
        </is>
      </c>
      <c r="J287" s="38" t="inlineStr">
        <is>
          <t>A current credential register and clear controls preventing unauthorised work.</t>
        </is>
      </c>
      <c r="K287" s="38" t="inlineStr">
        <is>
          <t>B13_1</t>
        </is>
      </c>
    </row>
    <row r="288" ht="61" customHeight="1">
      <c r="A288" s="37" t="inlineStr">
        <is>
          <t>B13</t>
        </is>
      </c>
      <c r="B288" s="37" t="inlineStr">
        <is>
          <t>B13_2</t>
        </is>
      </c>
      <c r="C288" s="48" t="n">
        <v>2</v>
      </c>
      <c r="D288" s="48" t="n">
        <v>2</v>
      </c>
      <c r="E288" s="37" t="inlineStr">
        <is>
          <t>We have reminders, but evidence or the response to expiry is inconsistent.</t>
        </is>
      </c>
      <c r="F288" s="37" t="inlineStr">
        <is>
          <t>Partly established; residual gap remains</t>
        </is>
      </c>
      <c r="G288" s="37" t="inlineStr">
        <is>
          <t>Outcome B13_2 supplies provisional risk, priority, reasons and actions. Apply contextual escalation separately.</t>
        </is>
      </c>
      <c r="H288" s="37" t="inlineStr">
        <is>
          <t>Confirmed exclusion only; DK retains the eligible denominator.</t>
        </is>
      </c>
      <c r="I288" s="37" t="inlineStr">
        <is>
          <t>Choose this when important parts exist but at least one part of the statement remains unresolved. The report should target that gap, not require a full rebuild.</t>
        </is>
      </c>
      <c r="J288" s="37" t="inlineStr">
        <is>
          <t>A current credential register and clear controls preventing unauthorised work.</t>
        </is>
      </c>
      <c r="K288" s="37" t="inlineStr">
        <is>
          <t>B13_2</t>
        </is>
      </c>
    </row>
    <row r="289" ht="61" customHeight="1">
      <c r="A289" s="38" t="inlineStr">
        <is>
          <t>B13</t>
        </is>
      </c>
      <c r="B289" s="38" t="inlineStr">
        <is>
          <t>B13_3</t>
        </is>
      </c>
      <c r="C289" s="49" t="n">
        <v>3</v>
      </c>
      <c r="D289" s="49" t="n">
        <v>3</v>
      </c>
      <c r="E289" s="38" t="inlineStr">
        <is>
          <t>We verify current credentials before relevant work, track changes and prevent work outside the person's authorisation.</t>
        </is>
      </c>
      <c r="F289" s="38" t="inlineStr">
        <is>
          <t>Established practice reported, not independently verified</t>
        </is>
      </c>
      <c r="G289" s="38" t="inlineStr">
        <is>
          <t>Outcome B13_3 supplies provisional risk, priority, reasons and actions. Apply contextual escalation separately.</t>
        </is>
      </c>
      <c r="H289" s="38" t="inlineStr">
        <is>
          <t>Confirmed exclusion only; DK retains the eligible denominator.</t>
        </is>
      </c>
      <c r="I289" s="38" t="inlineStr">
        <is>
          <t>Choose this only when the whole statement describes routine practice and you can point to a recent example or a tested readiness process. One successful exception is not enough.</t>
        </is>
      </c>
      <c r="J289" s="38" t="inlineStr">
        <is>
          <t>A current credential register and clear controls preventing unauthorised work.</t>
        </is>
      </c>
      <c r="K289" s="38" t="inlineStr">
        <is>
          <t>B13_3</t>
        </is>
      </c>
    </row>
    <row r="290" ht="61" customHeight="1">
      <c r="A290" s="37" t="inlineStr">
        <is>
          <t>B13</t>
        </is>
      </c>
      <c r="B290" s="37" t="inlineStr">
        <is>
          <t>B13_DK</t>
        </is>
      </c>
      <c r="C290" s="37" t="inlineStr">
        <is>
          <t>DK</t>
        </is>
      </c>
      <c r="D290" s="48" t="n">
        <v>0</v>
      </c>
      <c r="E290" s="37" t="inlineStr">
        <is>
          <t>I need to confirm this.</t>
        </is>
      </c>
      <c r="F290" s="37" t="inlineStr">
        <is>
          <t>Unverified, not an established failure</t>
        </is>
      </c>
      <c r="G290" s="37" t="inlineStr">
        <is>
          <t>Outcome B13_DK supplies provisional risk, priority, reasons and actions. Apply contextual escalation separately.</t>
        </is>
      </c>
      <c r="H290" s="37" t="inlineStr">
        <is>
          <t>Confirmed exclusion only; DK retains the eligible denominator.</t>
        </is>
      </c>
      <c r="I290" s="37" t="inlineStr">
        <is>
          <t>Choose this rather than guessing when you cannot confirm the practice or its consistency. You can save the assessment and ask the responsible person.</t>
        </is>
      </c>
      <c r="J290" s="37" t="inlineStr">
        <is>
          <t>A current credential register and clear controls preventing unauthorised work.</t>
        </is>
      </c>
      <c r="K290" s="37" t="inlineStr">
        <is>
          <t>B13_DK</t>
        </is>
      </c>
    </row>
    <row r="291" ht="76" customHeight="1">
      <c r="A291" s="38" t="inlineStr">
        <is>
          <t>B14</t>
        </is>
      </c>
      <c r="B291" s="38" t="inlineStr">
        <is>
          <t>B14_0</t>
        </is>
      </c>
      <c r="C291" s="49" t="n">
        <v>0</v>
      </c>
      <c r="D291" s="49" t="n">
        <v>0</v>
      </c>
      <c r="E291" s="38" t="inlineStr">
        <is>
          <t>We use these tools without a clear review or approval process.</t>
        </is>
      </c>
      <c r="F291" s="38" t="inlineStr">
        <is>
          <t>Practice absent or not established as described</t>
        </is>
      </c>
      <c r="G291" s="38" t="inlineStr">
        <is>
          <t>Outcome B14_0 supplies provisional risk, priority, reasons and actions. Apply contextual escalation separately.</t>
        </is>
      </c>
      <c r="H291" s="38" t="inlineStr">
        <is>
          <t>Confirmed exclusion only; DK retains the eligible denominator.</t>
        </is>
      </c>
      <c r="I291" s="38" t="inlineStr">
        <is>
          <t>Choose this when the statement describes the current position. Reporting a gap helps prioritise support; it is not an admission that a legal breach has occurred.</t>
        </is>
      </c>
      <c r="J291"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K291" s="38" t="inlineStr">
        <is>
          <t>B14_0</t>
        </is>
      </c>
    </row>
    <row r="292" ht="76" customHeight="1">
      <c r="A292" s="37" t="inlineStr">
        <is>
          <t>B14</t>
        </is>
      </c>
      <c r="B292" s="37" t="inlineStr">
        <is>
          <t>B14_1</t>
        </is>
      </c>
      <c r="C292" s="48" t="n">
        <v>1</v>
      </c>
      <c r="D292" s="48" t="n">
        <v>1</v>
      </c>
      <c r="E292" s="37" t="inlineStr">
        <is>
          <t>We rely on the supplier's assurances and do not check how outputs affect decisions.</t>
        </is>
      </c>
      <c r="F292" s="37" t="inlineStr">
        <is>
          <t>Assumption-dependent or inconsistent practice</t>
        </is>
      </c>
      <c r="G292" s="37" t="inlineStr">
        <is>
          <t>Outcome B14_1 supplies provisional risk, priority, reasons and actions. Apply contextual escalation separately.</t>
        </is>
      </c>
      <c r="H292" s="37" t="inlineStr">
        <is>
          <t>Confirmed exclusion only; DK retains the eligible denominator.</t>
        </is>
      </c>
      <c r="I292" s="37" t="inlineStr">
        <is>
          <t>Choose this when the process depends on assumptions, personal knowledge or ad hoc handling rather than a dependable check.</t>
        </is>
      </c>
      <c r="J292" s="37"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K292" s="37" t="inlineStr">
        <is>
          <t>B14_1</t>
        </is>
      </c>
    </row>
    <row r="293" ht="76" customHeight="1">
      <c r="A293" s="38" t="inlineStr">
        <is>
          <t>B14</t>
        </is>
      </c>
      <c r="B293" s="38" t="inlineStr">
        <is>
          <t>B14_2</t>
        </is>
      </c>
      <c r="C293" s="49" t="n">
        <v>2</v>
      </c>
      <c r="D293" s="49" t="n">
        <v>2</v>
      </c>
      <c r="E293" s="38" t="inlineStr">
        <is>
          <t>We have some human review or data rules, but coverage, bias or transparency needs checking.</t>
        </is>
      </c>
      <c r="F293" s="38" t="inlineStr">
        <is>
          <t>Partly established; residual gap remains</t>
        </is>
      </c>
      <c r="G293" s="38" t="inlineStr">
        <is>
          <t>Outcome B14_2 supplies provisional risk, priority, reasons and actions. Apply contextual escalation separately.</t>
        </is>
      </c>
      <c r="H293" s="38" t="inlineStr">
        <is>
          <t>Confirmed exclusion only; DK retains the eligible denominator.</t>
        </is>
      </c>
      <c r="I293" s="38" t="inlineStr">
        <is>
          <t>Choose this when important parts exist but at least one part of the statement remains unresolved. The report should target that gap, not require a full rebuild.</t>
        </is>
      </c>
      <c r="J293"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K293" s="38" t="inlineStr">
        <is>
          <t>B14_2</t>
        </is>
      </c>
    </row>
    <row r="294" ht="76" customHeight="1">
      <c r="A294" s="37" t="inlineStr">
        <is>
          <t>B14</t>
        </is>
      </c>
      <c r="B294" s="37" t="inlineStr">
        <is>
          <t>B14_3</t>
        </is>
      </c>
      <c r="C294" s="48" t="n">
        <v>3</v>
      </c>
      <c r="D294" s="48" t="n">
        <v>3</v>
      </c>
      <c r="E294" s="37" t="inlineStr">
        <is>
          <t>We assess the tool's purpose and data use, retain meaningful human oversight, test relevant risks and maintain the required transparency.</t>
        </is>
      </c>
      <c r="F294" s="37" t="inlineStr">
        <is>
          <t>Established practice reported, not independently verified</t>
        </is>
      </c>
      <c r="G294" s="37" t="inlineStr">
        <is>
          <t>Outcome B14_3 supplies provisional risk, priority, reasons and actions. Apply contextual escalation separately.</t>
        </is>
      </c>
      <c r="H294" s="37" t="inlineStr">
        <is>
          <t>Confirmed exclusion only; DK retains the eligible denominator.</t>
        </is>
      </c>
      <c r="I294" s="37" t="inlineStr">
        <is>
          <t>Choose this only when the whole statement describes routine practice and you can point to a recent example or a tested readiness process. One successful exception is not enough.</t>
        </is>
      </c>
      <c r="J294" s="37"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K294" s="37" t="inlineStr">
        <is>
          <t>B14_3</t>
        </is>
      </c>
    </row>
    <row r="295" ht="76" customHeight="1">
      <c r="A295" s="38" t="inlineStr">
        <is>
          <t>B14</t>
        </is>
      </c>
      <c r="B295" s="38" t="inlineStr">
        <is>
          <t>B14_DK</t>
        </is>
      </c>
      <c r="C295" s="38" t="inlineStr">
        <is>
          <t>DK</t>
        </is>
      </c>
      <c r="D295" s="49" t="n">
        <v>0</v>
      </c>
      <c r="E295" s="38" t="inlineStr">
        <is>
          <t>I need to confirm this.</t>
        </is>
      </c>
      <c r="F295" s="38" t="inlineStr">
        <is>
          <t>Unverified, not an established failure</t>
        </is>
      </c>
      <c r="G295" s="38" t="inlineStr">
        <is>
          <t>Outcome B14_DK supplies provisional risk, priority, reasons and actions. Apply contextual escalation separately.</t>
        </is>
      </c>
      <c r="H295" s="38" t="inlineStr">
        <is>
          <t>Confirmed exclusion only; DK retains the eligible denominator.</t>
        </is>
      </c>
      <c r="I295" s="38" t="inlineStr">
        <is>
          <t>Choose this rather than guessing when you cannot confirm the practice or its consistency. You can save the assessment and ask the responsible person.</t>
        </is>
      </c>
      <c r="J295"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K295" s="38" t="inlineStr">
        <is>
          <t>B14_DK</t>
        </is>
      </c>
    </row>
    <row r="296" ht="61" customHeight="1">
      <c r="A296" s="37" t="inlineStr">
        <is>
          <t>B15</t>
        </is>
      </c>
      <c r="B296" s="37" t="inlineStr">
        <is>
          <t>B15_0</t>
        </is>
      </c>
      <c r="C296" s="48" t="n">
        <v>0</v>
      </c>
      <c r="D296" s="48" t="n">
        <v>0</v>
      </c>
      <c r="E296" s="37" t="inlineStr">
        <is>
          <t>These work settings are not covered by our safety process.</t>
        </is>
      </c>
      <c r="F296" s="37" t="inlineStr">
        <is>
          <t>Practice absent or not established as described</t>
        </is>
      </c>
      <c r="G296" s="37" t="inlineStr">
        <is>
          <t>Outcome B15_0 supplies provisional risk, priority, reasons and actions. Apply contextual escalation separately.</t>
        </is>
      </c>
      <c r="H296" s="37" t="inlineStr">
        <is>
          <t>Confirmed exclusion only; DK retains the eligible denominator.</t>
        </is>
      </c>
      <c r="I296" s="37" t="inlineStr">
        <is>
          <t>Choose this when the statement describes the current position. Reporting a gap helps prioritise support; it is not an admission that a legal breach has occurred.</t>
        </is>
      </c>
      <c r="J296" s="37" t="inlineStr">
        <is>
          <t>A documented work-setting review and tested communication/escalation arrangement.</t>
        </is>
      </c>
      <c r="K296" s="37" t="inlineStr">
        <is>
          <t>B15_0</t>
        </is>
      </c>
    </row>
    <row r="297" ht="61" customHeight="1">
      <c r="A297" s="38" t="inlineStr">
        <is>
          <t>B15</t>
        </is>
      </c>
      <c r="B297" s="38" t="inlineStr">
        <is>
          <t>B15_1</t>
        </is>
      </c>
      <c r="C297" s="49" t="n">
        <v>1</v>
      </c>
      <c r="D297" s="49" t="n">
        <v>1</v>
      </c>
      <c r="E297" s="38" t="inlineStr">
        <is>
          <t>We rely mainly on the employee or the host location to manage risks.</t>
        </is>
      </c>
      <c r="F297" s="38" t="inlineStr">
        <is>
          <t>Assumption-dependent or inconsistent practice</t>
        </is>
      </c>
      <c r="G297" s="38" t="inlineStr">
        <is>
          <t>Outcome B15_1 supplies provisional risk, priority, reasons and actions. Apply contextual escalation separately.</t>
        </is>
      </c>
      <c r="H297" s="38" t="inlineStr">
        <is>
          <t>Confirmed exclusion only; DK retains the eligible denominator.</t>
        </is>
      </c>
      <c r="I297" s="38" t="inlineStr">
        <is>
          <t>Choose this when the process depends on assumptions, personal knowledge or ad hoc handling rather than a dependable check.</t>
        </is>
      </c>
      <c r="J297" s="38" t="inlineStr">
        <is>
          <t>A documented work-setting review and tested communication/escalation arrangement.</t>
        </is>
      </c>
      <c r="K297" s="38" t="inlineStr">
        <is>
          <t>B15_1</t>
        </is>
      </c>
    </row>
    <row r="298" ht="61" customHeight="1">
      <c r="A298" s="37" t="inlineStr">
        <is>
          <t>B15</t>
        </is>
      </c>
      <c r="B298" s="37" t="inlineStr">
        <is>
          <t>B15_2</t>
        </is>
      </c>
      <c r="C298" s="48" t="n">
        <v>2</v>
      </c>
      <c r="D298" s="48" t="n">
        <v>2</v>
      </c>
      <c r="E298" s="37" t="inlineStr">
        <is>
          <t>Some settings have been reviewed, but communication, controls or shared responsibilities are unclear.</t>
        </is>
      </c>
      <c r="F298" s="37" t="inlineStr">
        <is>
          <t>Partly established; residual gap remains</t>
        </is>
      </c>
      <c r="G298" s="37" t="inlineStr">
        <is>
          <t>Outcome B15_2 supplies provisional risk, priority, reasons and actions. Apply contextual escalation separately.</t>
        </is>
      </c>
      <c r="H298" s="37" t="inlineStr">
        <is>
          <t>Confirmed exclusion only; DK retains the eligible denominator.</t>
        </is>
      </c>
      <c r="I298" s="37" t="inlineStr">
        <is>
          <t>Choose this when important parts exist but at least one part of the statement remains unresolved. The report should target that gap, not require a full rebuild.</t>
        </is>
      </c>
      <c r="J298" s="37" t="inlineStr">
        <is>
          <t>A documented work-setting review and tested communication/escalation arrangement.</t>
        </is>
      </c>
      <c r="K298" s="37" t="inlineStr">
        <is>
          <t>B15_2</t>
        </is>
      </c>
    </row>
    <row r="299" ht="61" customHeight="1">
      <c r="A299" s="38" t="inlineStr">
        <is>
          <t>B15</t>
        </is>
      </c>
      <c r="B299" s="38" t="inlineStr">
        <is>
          <t>B15_3</t>
        </is>
      </c>
      <c r="C299" s="49" t="n">
        <v>3</v>
      </c>
      <c r="D299" s="49" t="n">
        <v>3</v>
      </c>
      <c r="E299" s="38" t="inlineStr">
        <is>
          <t>We assess the actual work setting, agree responsibilities and test appropriate controls and communication.</t>
        </is>
      </c>
      <c r="F299" s="38" t="inlineStr">
        <is>
          <t>Established practice reported, not independently verified</t>
        </is>
      </c>
      <c r="G299" s="38" t="inlineStr">
        <is>
          <t>Outcome B15_3 supplies provisional risk, priority, reasons and actions. Apply contextual escalation separately.</t>
        </is>
      </c>
      <c r="H299" s="38" t="inlineStr">
        <is>
          <t>Confirmed exclusion only; DK retains the eligible denominator.</t>
        </is>
      </c>
      <c r="I299" s="38" t="inlineStr">
        <is>
          <t>Choose this only when the whole statement describes routine practice and you can point to a recent example or a tested readiness process. One successful exception is not enough.</t>
        </is>
      </c>
      <c r="J299" s="38" t="inlineStr">
        <is>
          <t>A documented work-setting review and tested communication/escalation arrangement.</t>
        </is>
      </c>
      <c r="K299" s="38" t="inlineStr">
        <is>
          <t>B15_3</t>
        </is>
      </c>
    </row>
    <row r="300" ht="61" customHeight="1">
      <c r="A300" s="37" t="inlineStr">
        <is>
          <t>B15</t>
        </is>
      </c>
      <c r="B300" s="37" t="inlineStr">
        <is>
          <t>B15_DK</t>
        </is>
      </c>
      <c r="C300" s="37" t="inlineStr">
        <is>
          <t>DK</t>
        </is>
      </c>
      <c r="D300" s="48" t="n">
        <v>0</v>
      </c>
      <c r="E300" s="37" t="inlineStr">
        <is>
          <t>I need to confirm this.</t>
        </is>
      </c>
      <c r="F300" s="37" t="inlineStr">
        <is>
          <t>Unverified, not an established failure</t>
        </is>
      </c>
      <c r="G300" s="37" t="inlineStr">
        <is>
          <t>Outcome B15_DK supplies provisional risk, priority, reasons and actions. Apply contextual escalation separately.</t>
        </is>
      </c>
      <c r="H300" s="37" t="inlineStr">
        <is>
          <t>Confirmed exclusion only; DK retains the eligible denominator.</t>
        </is>
      </c>
      <c r="I300" s="37" t="inlineStr">
        <is>
          <t>Choose this rather than guessing when you cannot confirm the practice or its consistency. You can save the assessment and ask the responsible person.</t>
        </is>
      </c>
      <c r="J300" s="37" t="inlineStr">
        <is>
          <t>A documented work-setting review and tested communication/escalation arrangement.</t>
        </is>
      </c>
      <c r="K300" s="37" t="inlineStr">
        <is>
          <t>B15_DK</t>
        </is>
      </c>
    </row>
    <row r="301" ht="61" customHeight="1">
      <c r="A301" s="38" t="inlineStr">
        <is>
          <t>B16</t>
        </is>
      </c>
      <c r="B301" s="38" t="inlineStr">
        <is>
          <t>B16_0</t>
        </is>
      </c>
      <c r="C301" s="49" t="n">
        <v>0</v>
      </c>
      <c r="D301" s="49" t="n">
        <v>0</v>
      </c>
      <c r="E301" s="38" t="inlineStr">
        <is>
          <t>We have not checked whether reporting is required.</t>
        </is>
      </c>
      <c r="F301" s="38" t="inlineStr">
        <is>
          <t>Practice absent or not established as described</t>
        </is>
      </c>
      <c r="G301" s="38" t="inlineStr">
        <is>
          <t>Outcome B16_0 supplies provisional risk, priority, reasons and actions. Apply contextual escalation separately.</t>
        </is>
      </c>
      <c r="H301" s="38" t="inlineStr">
        <is>
          <t>Confirmed exclusion only; DK retains the eligible denominator.</t>
        </is>
      </c>
      <c r="I301" s="38" t="inlineStr">
        <is>
          <t>Choose this when the statement describes the current position. Reporting a gap helps prioritise support; it is not an admission that a legal breach has occurred.</t>
        </is>
      </c>
      <c r="J301" s="38" t="inlineStr">
        <is>
          <t>An eligibility and reporting-scope record, with evidence of any required lodgement and follow-up.</t>
        </is>
      </c>
      <c r="K301" s="38" t="inlineStr">
        <is>
          <t>B16_0</t>
        </is>
      </c>
    </row>
    <row r="302" ht="61" customHeight="1">
      <c r="A302" s="37" t="inlineStr">
        <is>
          <t>B16</t>
        </is>
      </c>
      <c r="B302" s="37" t="inlineStr">
        <is>
          <t>B16_1</t>
        </is>
      </c>
      <c r="C302" s="48" t="n">
        <v>1</v>
      </c>
      <c r="D302" s="48" t="n">
        <v>1</v>
      </c>
      <c r="E302" s="37" t="inlineStr">
        <is>
          <t>We assume the individual business is too small or that another entity manages it.</t>
        </is>
      </c>
      <c r="F302" s="37" t="inlineStr">
        <is>
          <t>Assumption-dependent or inconsistent practice</t>
        </is>
      </c>
      <c r="G302" s="37" t="inlineStr">
        <is>
          <t>Outcome B16_1 supplies provisional risk, priority, reasons and actions. Apply contextual escalation separately.</t>
        </is>
      </c>
      <c r="H302" s="37" t="inlineStr">
        <is>
          <t>Confirmed exclusion only; DK retains the eligible denominator.</t>
        </is>
      </c>
      <c r="I302" s="37" t="inlineStr">
        <is>
          <t>Choose this when the process depends on assumptions, personal knowledge or ad hoc handling rather than a dependable check.</t>
        </is>
      </c>
      <c r="J302" s="37" t="inlineStr">
        <is>
          <t>An eligibility and reporting-scope record, with evidence of any required lodgement and follow-up.</t>
        </is>
      </c>
      <c r="K302" s="37" t="inlineStr">
        <is>
          <t>B16_1</t>
        </is>
      </c>
    </row>
    <row r="303" ht="61" customHeight="1">
      <c r="A303" s="38" t="inlineStr">
        <is>
          <t>B16</t>
        </is>
      </c>
      <c r="B303" s="38" t="inlineStr">
        <is>
          <t>B16_2</t>
        </is>
      </c>
      <c r="C303" s="49" t="n">
        <v>2</v>
      </c>
      <c r="D303" s="49" t="n">
        <v>2</v>
      </c>
      <c r="E303" s="38" t="inlineStr">
        <is>
          <t>We have checked eligibility, but registration, reporting or follow-up responsibilities are unclear.</t>
        </is>
      </c>
      <c r="F303" s="38" t="inlineStr">
        <is>
          <t>Partly established; residual gap remains</t>
        </is>
      </c>
      <c r="G303" s="38" t="inlineStr">
        <is>
          <t>Outcome B16_2 supplies provisional risk, priority, reasons and actions. Apply contextual escalation separately.</t>
        </is>
      </c>
      <c r="H303" s="38" t="inlineStr">
        <is>
          <t>Confirmed exclusion only; DK retains the eligible denominator.</t>
        </is>
      </c>
      <c r="I303" s="38" t="inlineStr">
        <is>
          <t>Choose this when important parts exist but at least one part of the statement remains unresolved. The report should target that gap, not require a full rebuild.</t>
        </is>
      </c>
      <c r="J303" s="38" t="inlineStr">
        <is>
          <t>An eligibility and reporting-scope record, with evidence of any required lodgement and follow-up.</t>
        </is>
      </c>
      <c r="K303" s="38" t="inlineStr">
        <is>
          <t>B16_2</t>
        </is>
      </c>
    </row>
    <row r="304" ht="61" customHeight="1">
      <c r="A304" s="37" t="inlineStr">
        <is>
          <t>B16</t>
        </is>
      </c>
      <c r="B304" s="37" t="inlineStr">
        <is>
          <t>B16_3</t>
        </is>
      </c>
      <c r="C304" s="48" t="n">
        <v>3</v>
      </c>
      <c r="D304" s="48" t="n">
        <v>3</v>
      </c>
      <c r="E304" s="37" t="inlineStr">
        <is>
          <t>We have documented eligibility and group scope, with clear responsibility for any required reporting and related actions.</t>
        </is>
      </c>
      <c r="F304" s="37" t="inlineStr">
        <is>
          <t>Established practice reported, not independently verified</t>
        </is>
      </c>
      <c r="G304" s="37" t="inlineStr">
        <is>
          <t>Outcome B16_3 supplies provisional risk, priority, reasons and actions. Apply contextual escalation separately.</t>
        </is>
      </c>
      <c r="H304" s="37" t="inlineStr">
        <is>
          <t>Confirmed exclusion only; DK retains the eligible denominator.</t>
        </is>
      </c>
      <c r="I304" s="37" t="inlineStr">
        <is>
          <t>Choose this only when the whole statement describes routine practice and you can point to a recent example or a tested readiness process. One successful exception is not enough.</t>
        </is>
      </c>
      <c r="J304" s="37" t="inlineStr">
        <is>
          <t>An eligibility and reporting-scope record, with evidence of any required lodgement and follow-up.</t>
        </is>
      </c>
      <c r="K304" s="37" t="inlineStr">
        <is>
          <t>B16_3</t>
        </is>
      </c>
    </row>
    <row r="305" ht="61" customHeight="1">
      <c r="A305" s="38" t="inlineStr">
        <is>
          <t>B16</t>
        </is>
      </c>
      <c r="B305" s="38" t="inlineStr">
        <is>
          <t>B16_DK</t>
        </is>
      </c>
      <c r="C305" s="38" t="inlineStr">
        <is>
          <t>DK</t>
        </is>
      </c>
      <c r="D305" s="49" t="n">
        <v>0</v>
      </c>
      <c r="E305" s="38" t="inlineStr">
        <is>
          <t>I need to confirm this.</t>
        </is>
      </c>
      <c r="F305" s="38" t="inlineStr">
        <is>
          <t>Unverified, not an established failure</t>
        </is>
      </c>
      <c r="G305" s="38" t="inlineStr">
        <is>
          <t>Outcome B16_DK supplies provisional risk, priority, reasons and actions. Apply contextual escalation separately.</t>
        </is>
      </c>
      <c r="H305" s="38" t="inlineStr">
        <is>
          <t>Confirmed exclusion only; DK retains the eligible denominator.</t>
        </is>
      </c>
      <c r="I305" s="38" t="inlineStr">
        <is>
          <t>Choose this rather than guessing when you cannot confirm the practice or its consistency. You can save the assessment and ask the responsible person.</t>
        </is>
      </c>
      <c r="J305" s="38" t="inlineStr">
        <is>
          <t>An eligibility and reporting-scope record, with evidence of any required lodgement and follow-up.</t>
        </is>
      </c>
      <c r="K305" s="38" t="inlineStr">
        <is>
          <t>B16_DK</t>
        </is>
      </c>
    </row>
    <row r="306" ht="61" customHeight="1">
      <c r="A306" s="37" t="inlineStr">
        <is>
          <t>B17</t>
        </is>
      </c>
      <c r="B306" s="37" t="inlineStr">
        <is>
          <t>B17_0</t>
        </is>
      </c>
      <c r="C306" s="48" t="n">
        <v>0</v>
      </c>
      <c r="D306" s="48" t="n">
        <v>0</v>
      </c>
      <c r="E306" s="37" t="inlineStr">
        <is>
          <t>We treat redundancy as a straightforward way to remove a role or person.</t>
        </is>
      </c>
      <c r="F306" s="37" t="inlineStr">
        <is>
          <t>Practice absent or not established as described</t>
        </is>
      </c>
      <c r="G306" s="37" t="inlineStr">
        <is>
          <t>Outcome B17_0 supplies provisional risk, priority, reasons and actions. Apply contextual escalation separately.</t>
        </is>
      </c>
      <c r="H306" s="37" t="inlineStr">
        <is>
          <t>Confirmed exclusion only; DK retains the eligible denominator.</t>
        </is>
      </c>
      <c r="I306" s="37" t="inlineStr">
        <is>
          <t>Choose this when the statement describes the current position. Reporting a gap helps prioritise support; it is not an admission that a legal breach has occurred.</t>
        </is>
      </c>
      <c r="J306" s="37" t="inlineStr">
        <is>
          <t>A supported redundancy plan and decision record prepared at the appropriate stage of the process.</t>
        </is>
      </c>
      <c r="K306" s="37" t="inlineStr">
        <is>
          <t>B17_0</t>
        </is>
      </c>
    </row>
    <row r="307" ht="61" customHeight="1">
      <c r="A307" s="38" t="inlineStr">
        <is>
          <t>B17</t>
        </is>
      </c>
      <c r="B307" s="38" t="inlineStr">
        <is>
          <t>B17_1</t>
        </is>
      </c>
      <c r="C307" s="49" t="n">
        <v>1</v>
      </c>
      <c r="D307" s="49" t="n">
        <v>1</v>
      </c>
      <c r="E307" s="38" t="inlineStr">
        <is>
          <t>We check the payment, but not all the operational and procedural requirements.</t>
        </is>
      </c>
      <c r="F307" s="38" t="inlineStr">
        <is>
          <t>Assumption-dependent or inconsistent practice</t>
        </is>
      </c>
      <c r="G307" s="38" t="inlineStr">
        <is>
          <t>Outcome B17_1 supplies provisional risk, priority, reasons and actions. Apply contextual escalation separately.</t>
        </is>
      </c>
      <c r="H307" s="38" t="inlineStr">
        <is>
          <t>Confirmed exclusion only; DK retains the eligible denominator.</t>
        </is>
      </c>
      <c r="I307" s="38" t="inlineStr">
        <is>
          <t>Choose this when the process depends on assumptions, personal knowledge or ad hoc handling rather than a dependable check.</t>
        </is>
      </c>
      <c r="J307" s="38" t="inlineStr">
        <is>
          <t>A supported redundancy plan and decision record prepared at the appropriate stage of the process.</t>
        </is>
      </c>
      <c r="K307" s="38" t="inlineStr">
        <is>
          <t>B17_1</t>
        </is>
      </c>
    </row>
    <row r="308" ht="61" customHeight="1">
      <c r="A308" s="37" t="inlineStr">
        <is>
          <t>B17</t>
        </is>
      </c>
      <c r="B308" s="37" t="inlineStr">
        <is>
          <t>B17_2</t>
        </is>
      </c>
      <c r="C308" s="48" t="n">
        <v>2</v>
      </c>
      <c r="D308" s="48" t="n">
        <v>2</v>
      </c>
      <c r="E308" s="37" t="inlineStr">
        <is>
          <t>We review some requirements, but consultation, redeployment or decision evidence needs work.</t>
        </is>
      </c>
      <c r="F308" s="37" t="inlineStr">
        <is>
          <t>Partly established; residual gap remains</t>
        </is>
      </c>
      <c r="G308" s="37" t="inlineStr">
        <is>
          <t>Outcome B17_2 supplies provisional risk, priority, reasons and actions. Apply contextual escalation separately.</t>
        </is>
      </c>
      <c r="H308" s="37" t="inlineStr">
        <is>
          <t>Confirmed exclusion only; DK retains the eligible denominator.</t>
        </is>
      </c>
      <c r="I308" s="37" t="inlineStr">
        <is>
          <t>Choose this when important parts exist but at least one part of the statement remains unresolved. The report should target that gap, not require a full rebuild.</t>
        </is>
      </c>
      <c r="J308" s="37" t="inlineStr">
        <is>
          <t>A supported redundancy plan and decision record prepared at the appropriate stage of the process.</t>
        </is>
      </c>
      <c r="K308" s="37" t="inlineStr">
        <is>
          <t>B17_2</t>
        </is>
      </c>
    </row>
    <row r="309" ht="61" customHeight="1">
      <c r="A309" s="38" t="inlineStr">
        <is>
          <t>B17</t>
        </is>
      </c>
      <c r="B309" s="38" t="inlineStr">
        <is>
          <t>B17_3</t>
        </is>
      </c>
      <c r="C309" s="49" t="n">
        <v>3</v>
      </c>
      <c r="D309" s="49" t="n">
        <v>3</v>
      </c>
      <c r="E309" s="38" t="inlineStr">
        <is>
          <t>We document the genuine change and check consultation, redeployment, selection and entitlements before proceeding.</t>
        </is>
      </c>
      <c r="F309" s="38" t="inlineStr">
        <is>
          <t>Established practice reported, not independently verified</t>
        </is>
      </c>
      <c r="G309" s="38" t="inlineStr">
        <is>
          <t>Outcome B17_3 supplies provisional risk, priority, reasons and actions. Apply contextual escalation separately.</t>
        </is>
      </c>
      <c r="H309" s="38" t="inlineStr">
        <is>
          <t>Confirmed exclusion only; DK retains the eligible denominator.</t>
        </is>
      </c>
      <c r="I309" s="38" t="inlineStr">
        <is>
          <t>Choose this only when the whole statement describes routine practice and you can point to a recent example or a tested readiness process. One successful exception is not enough.</t>
        </is>
      </c>
      <c r="J309" s="38" t="inlineStr">
        <is>
          <t>A supported redundancy plan and decision record prepared at the appropriate stage of the process.</t>
        </is>
      </c>
      <c r="K309" s="38" t="inlineStr">
        <is>
          <t>B17_3</t>
        </is>
      </c>
    </row>
    <row r="310" ht="61" customHeight="1">
      <c r="A310" s="37" t="inlineStr">
        <is>
          <t>B17</t>
        </is>
      </c>
      <c r="B310" s="37" t="inlineStr">
        <is>
          <t>B17_DK</t>
        </is>
      </c>
      <c r="C310" s="37" t="inlineStr">
        <is>
          <t>DK</t>
        </is>
      </c>
      <c r="D310" s="48" t="n">
        <v>0</v>
      </c>
      <c r="E310" s="37" t="inlineStr">
        <is>
          <t>I need to confirm this.</t>
        </is>
      </c>
      <c r="F310" s="37" t="inlineStr">
        <is>
          <t>Unverified, not an established failure</t>
        </is>
      </c>
      <c r="G310" s="37" t="inlineStr">
        <is>
          <t>Outcome B17_DK supplies provisional risk, priority, reasons and actions. Apply contextual escalation separately.</t>
        </is>
      </c>
      <c r="H310" s="37" t="inlineStr">
        <is>
          <t>Confirmed exclusion only; DK retains the eligible denominator.</t>
        </is>
      </c>
      <c r="I310" s="37" t="inlineStr">
        <is>
          <t>Choose this rather than guessing when you cannot confirm the practice or its consistency. You can save the assessment and ask the responsible person.</t>
        </is>
      </c>
      <c r="J310" s="37" t="inlineStr">
        <is>
          <t>A supported redundancy plan and decision record prepared at the appropriate stage of the process.</t>
        </is>
      </c>
      <c r="K310" s="37" t="inlineStr">
        <is>
          <t>B17_DK</t>
        </is>
      </c>
    </row>
    <row r="311" ht="61" customHeight="1">
      <c r="A311" s="38" t="inlineStr">
        <is>
          <t>B18</t>
        </is>
      </c>
      <c r="B311" s="38" t="inlineStr">
        <is>
          <t>B18_0</t>
        </is>
      </c>
      <c r="C311" s="49" t="n">
        <v>0</v>
      </c>
      <c r="D311" s="49" t="n">
        <v>0</v>
      </c>
      <c r="E311" s="38" t="inlineStr">
        <is>
          <t>Each manager or site largely uses its own approach.</t>
        </is>
      </c>
      <c r="F311" s="38" t="inlineStr">
        <is>
          <t>Practice absent or not established as described</t>
        </is>
      </c>
      <c r="G311" s="38" t="inlineStr">
        <is>
          <t>Outcome B18_0 supplies provisional risk, priority, reasons and actions. Apply contextual escalation separately.</t>
        </is>
      </c>
      <c r="H311" s="38" t="inlineStr">
        <is>
          <t>Confirmed exclusion only; DK retains the eligible denominator.</t>
        </is>
      </c>
      <c r="I311" s="38" t="inlineStr">
        <is>
          <t>Choose this when the statement describes the current position. Reporting a gap helps prioritise support; it is not an admission that a legal breach has occurred.</t>
        </is>
      </c>
      <c r="J311" s="38" t="inlineStr">
        <is>
          <t>A sample of comparable people decisions shows that the agreed criteria are used consistently, relevant differences are explained and identified errors or unfair inconsistencies have been addressed and checked.</t>
        </is>
      </c>
      <c r="K311" s="38" t="inlineStr">
        <is>
          <t>B18_0</t>
        </is>
      </c>
    </row>
    <row r="312" ht="61" customHeight="1">
      <c r="A312" s="37" t="inlineStr">
        <is>
          <t>B18</t>
        </is>
      </c>
      <c r="B312" s="37" t="inlineStr">
        <is>
          <t>B18_1</t>
        </is>
      </c>
      <c r="C312" s="48" t="n">
        <v>1</v>
      </c>
      <c r="D312" s="48" t="n">
        <v>1</v>
      </c>
      <c r="E312" s="37" t="inlineStr">
        <is>
          <t>We circulate policies, but rarely review how decisions are made.</t>
        </is>
      </c>
      <c r="F312" s="37" t="inlineStr">
        <is>
          <t>Assumption-dependent or inconsistent practice</t>
        </is>
      </c>
      <c r="G312" s="37" t="inlineStr">
        <is>
          <t>Outcome B18_1 supplies provisional risk, priority, reasons and actions. Apply contextual escalation separately.</t>
        </is>
      </c>
      <c r="H312" s="37" t="inlineStr">
        <is>
          <t>Confirmed exclusion only; DK retains the eligible denominator.</t>
        </is>
      </c>
      <c r="I312" s="37" t="inlineStr">
        <is>
          <t>Choose this when the process depends on assumptions, personal knowledge or ad hoc handling rather than a dependable check.</t>
        </is>
      </c>
      <c r="J312" s="37" t="inlineStr">
        <is>
          <t>A sample of comparable people decisions shows that the agreed criteria are used consistently, relevant differences are explained and identified errors or unfair inconsistencies have been addressed and checked.</t>
        </is>
      </c>
      <c r="K312" s="37" t="inlineStr">
        <is>
          <t>B18_1</t>
        </is>
      </c>
    </row>
    <row r="313" ht="61" customHeight="1">
      <c r="A313" s="38" t="inlineStr">
        <is>
          <t>B18</t>
        </is>
      </c>
      <c r="B313" s="38" t="inlineStr">
        <is>
          <t>B18_2</t>
        </is>
      </c>
      <c r="C313" s="49" t="n">
        <v>2</v>
      </c>
      <c r="D313" s="49" t="n">
        <v>2</v>
      </c>
      <c r="E313" s="38" t="inlineStr">
        <is>
          <t>Managers have guidance, but exceptions or variations are not consistently reviewed.</t>
        </is>
      </c>
      <c r="F313" s="38" t="inlineStr">
        <is>
          <t>Partly established; residual gap remains</t>
        </is>
      </c>
      <c r="G313" s="38" t="inlineStr">
        <is>
          <t>Outcome B18_2 supplies provisional risk, priority, reasons and actions. Apply contextual escalation separately.</t>
        </is>
      </c>
      <c r="H313" s="38" t="inlineStr">
        <is>
          <t>Confirmed exclusion only; DK retains the eligible denominator.</t>
        </is>
      </c>
      <c r="I313" s="38" t="inlineStr">
        <is>
          <t>Choose this when important parts exist but at least one part of the statement remains unresolved. The report should target that gap, not require a full rebuild.</t>
        </is>
      </c>
      <c r="J313" s="38" t="inlineStr">
        <is>
          <t>A sample of comparable people decisions shows that the agreed criteria are used consistently, relevant differences are explained and identified errors or unfair inconsistencies have been addressed and checked.</t>
        </is>
      </c>
      <c r="K313" s="38" t="inlineStr">
        <is>
          <t>B18_2</t>
        </is>
      </c>
    </row>
    <row r="314" ht="61" customHeight="1">
      <c r="A314" s="37" t="inlineStr">
        <is>
          <t>B18</t>
        </is>
      </c>
      <c r="B314" s="37" t="inlineStr">
        <is>
          <t>B18_3</t>
        </is>
      </c>
      <c r="C314" s="48" t="n">
        <v>3</v>
      </c>
      <c r="D314" s="48" t="n">
        <v>3</v>
      </c>
      <c r="E314" s="37" t="inlineStr">
        <is>
          <t>We review comparable decisions, discuss justified differences and address inconsistent practice or capability gaps.</t>
        </is>
      </c>
      <c r="F314" s="37" t="inlineStr">
        <is>
          <t>Established practice reported, not independently verified</t>
        </is>
      </c>
      <c r="G314" s="37" t="inlineStr">
        <is>
          <t>Outcome B18_3 supplies provisional risk, priority, reasons and actions. Apply contextual escalation separately.</t>
        </is>
      </c>
      <c r="H314" s="37" t="inlineStr">
        <is>
          <t>Confirmed exclusion only; DK retains the eligible denominator.</t>
        </is>
      </c>
      <c r="I314" s="37" t="inlineStr">
        <is>
          <t>Choose this only when the whole statement describes routine practice and you can point to a recent example or a tested readiness process. One successful exception is not enough.</t>
        </is>
      </c>
      <c r="J314" s="37" t="inlineStr">
        <is>
          <t>A sample of comparable people decisions shows that the agreed criteria are used consistently, relevant differences are explained and identified errors or unfair inconsistencies have been addressed and checked.</t>
        </is>
      </c>
      <c r="K314" s="37" t="inlineStr">
        <is>
          <t>B18_3</t>
        </is>
      </c>
    </row>
    <row r="315" ht="61" customHeight="1">
      <c r="A315" s="38" t="inlineStr">
        <is>
          <t>B18</t>
        </is>
      </c>
      <c r="B315" s="38" t="inlineStr">
        <is>
          <t>B18_DK</t>
        </is>
      </c>
      <c r="C315" s="38" t="inlineStr">
        <is>
          <t>DK</t>
        </is>
      </c>
      <c r="D315" s="49" t="n">
        <v>0</v>
      </c>
      <c r="E315" s="38" t="inlineStr">
        <is>
          <t>I need to confirm this.</t>
        </is>
      </c>
      <c r="F315" s="38" t="inlineStr">
        <is>
          <t>Unverified, not an established failure</t>
        </is>
      </c>
      <c r="G315" s="38" t="inlineStr">
        <is>
          <t>Outcome B18_DK supplies provisional risk, priority, reasons and actions. Apply contextual escalation separately.</t>
        </is>
      </c>
      <c r="H315" s="38" t="inlineStr">
        <is>
          <t>Confirmed exclusion only; DK retains the eligible denominator.</t>
        </is>
      </c>
      <c r="I315" s="38" t="inlineStr">
        <is>
          <t>Choose this rather than guessing when you cannot confirm the practice or its consistency. You can save the assessment and ask the responsible person.</t>
        </is>
      </c>
      <c r="J315" s="38" t="inlineStr">
        <is>
          <t>A sample of comparable people decisions shows that the agreed criteria are used consistently, relevant differences are explained and identified errors or unfair inconsistencies have been addressed and checked.</t>
        </is>
      </c>
      <c r="K315" s="38" t="inlineStr">
        <is>
          <t>B18_DK</t>
        </is>
      </c>
    </row>
    <row r="316" ht="76" customHeight="1">
      <c r="A316" s="37" t="inlineStr">
        <is>
          <t>B19</t>
        </is>
      </c>
      <c r="B316" s="37" t="inlineStr">
        <is>
          <t>B19_0</t>
        </is>
      </c>
      <c r="C316" s="48" t="n">
        <v>0</v>
      </c>
      <c r="D316" s="48" t="n">
        <v>0</v>
      </c>
      <c r="E316" s="37" t="inlineStr">
        <is>
          <t>Staff are expected to remain available without clear limits.</t>
        </is>
      </c>
      <c r="F316" s="37" t="inlineStr">
        <is>
          <t>Practice absent or not established as described</t>
        </is>
      </c>
      <c r="G316" s="37" t="inlineStr">
        <is>
          <t>Outcome B19_0 supplies provisional risk, priority, reasons and actions. Apply contextual escalation separately.</t>
        </is>
      </c>
      <c r="H316" s="37" t="inlineStr">
        <is>
          <t>Confirmed exclusion only; DK retains the eligible denominator.</t>
        </is>
      </c>
      <c r="I316" s="37" t="inlineStr">
        <is>
          <t>Choose this when the statement describes the current position. Reporting a gap helps prioritise support; it is not an admission that a legal breach has occurred.</t>
        </is>
      </c>
      <c r="J316"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K316" s="37" t="inlineStr">
        <is>
          <t>B19_0</t>
        </is>
      </c>
    </row>
    <row r="317" ht="76" customHeight="1">
      <c r="A317" s="38" t="inlineStr">
        <is>
          <t>B19</t>
        </is>
      </c>
      <c r="B317" s="38" t="inlineStr">
        <is>
          <t>B19_1</t>
        </is>
      </c>
      <c r="C317" s="49" t="n">
        <v>1</v>
      </c>
      <c r="D317" s="49" t="n">
        <v>1</v>
      </c>
      <c r="E317" s="38" t="inlineStr">
        <is>
          <t>Managers decide expectations informally and employees may feel unable to decline contact.</t>
        </is>
      </c>
      <c r="F317" s="38" t="inlineStr">
        <is>
          <t>Assumption-dependent or inconsistent practice</t>
        </is>
      </c>
      <c r="G317" s="38" t="inlineStr">
        <is>
          <t>Outcome B19_1 supplies provisional risk, priority, reasons and actions. Apply contextual escalation separately.</t>
        </is>
      </c>
      <c r="H317" s="38" t="inlineStr">
        <is>
          <t>Confirmed exclusion only; DK retains the eligible denominator.</t>
        </is>
      </c>
      <c r="I317" s="38" t="inlineStr">
        <is>
          <t>Choose this when the process depends on assumptions, personal knowledge or ad hoc handling rather than a dependable check.</t>
        </is>
      </c>
      <c r="J317" s="38" t="inlineStr">
        <is>
          <t>Out-of-hours expectations and any work/payment arrangements are clear. The business has tested how it will assess a refusal to monitor, read or respond unless that refusal is unreasonable, and has addressed any current concern using the relevant circumstances.</t>
        </is>
      </c>
      <c r="K317" s="38" t="inlineStr">
        <is>
          <t>B19_1</t>
        </is>
      </c>
    </row>
    <row r="318" ht="76" customHeight="1">
      <c r="A318" s="37" t="inlineStr">
        <is>
          <t>B19</t>
        </is>
      </c>
      <c r="B318" s="37" t="inlineStr">
        <is>
          <t>B19_2</t>
        </is>
      </c>
      <c r="C318" s="48" t="n">
        <v>2</v>
      </c>
      <c r="D318" s="48" t="n">
        <v>2</v>
      </c>
      <c r="E318" s="37" t="inlineStr">
        <is>
          <t>Expectations are partly documented, but reasonableness or payment arrangements need review.</t>
        </is>
      </c>
      <c r="F318" s="37" t="inlineStr">
        <is>
          <t>Partly established; residual gap remains</t>
        </is>
      </c>
      <c r="G318" s="37" t="inlineStr">
        <is>
          <t>Outcome B19_2 supplies provisional risk, priority, reasons and actions. Apply contextual escalation separately.</t>
        </is>
      </c>
      <c r="H318" s="37" t="inlineStr">
        <is>
          <t>Confirmed exclusion only; DK retains the eligible denominator.</t>
        </is>
      </c>
      <c r="I318" s="37" t="inlineStr">
        <is>
          <t>Choose this when important parts exist but at least one part of the statement remains unresolved. The report should target that gap, not require a full rebuild.</t>
        </is>
      </c>
      <c r="J318"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K318" s="37" t="inlineStr">
        <is>
          <t>B19_2</t>
        </is>
      </c>
    </row>
    <row r="319" ht="76" customHeight="1">
      <c r="A319" s="38" t="inlineStr">
        <is>
          <t>B19</t>
        </is>
      </c>
      <c r="B319" s="38" t="inlineStr">
        <is>
          <t>B19_3</t>
        </is>
      </c>
      <c r="C319" s="49" t="n">
        <v>3</v>
      </c>
      <c r="D319" s="49" t="n">
        <v>3</v>
      </c>
      <c r="E319" s="38" t="inlineStr">
        <is>
          <t>We clarify necessary contact and availability, check applicable payment rules and respect the right to disconnect in practice.</t>
        </is>
      </c>
      <c r="F319" s="38" t="inlineStr">
        <is>
          <t>Established practice reported, not independently verified</t>
        </is>
      </c>
      <c r="G319" s="38" t="inlineStr">
        <is>
          <t>Outcome B19_3 supplies provisional risk, priority, reasons and actions. Apply contextual escalation separately.</t>
        </is>
      </c>
      <c r="H319" s="38" t="inlineStr">
        <is>
          <t>Confirmed exclusion only; DK retains the eligible denominator.</t>
        </is>
      </c>
      <c r="I319" s="38" t="inlineStr">
        <is>
          <t>Choose this only when the whole statement describes routine practice and you can point to a recent example or a tested readiness process. One successful exception is not enough.</t>
        </is>
      </c>
      <c r="J319" s="38" t="inlineStr">
        <is>
          <t>Out-of-hours expectations and any work/payment arrangements are clear. The business has tested how it will assess a refusal to monitor, read or respond unless that refusal is unreasonable, and has addressed any current concern using the relevant circumstances.</t>
        </is>
      </c>
      <c r="K319" s="38" t="inlineStr">
        <is>
          <t>B19_3</t>
        </is>
      </c>
    </row>
    <row r="320" ht="76" customHeight="1">
      <c r="A320" s="37" t="inlineStr">
        <is>
          <t>B19</t>
        </is>
      </c>
      <c r="B320" s="37" t="inlineStr">
        <is>
          <t>B19_DK</t>
        </is>
      </c>
      <c r="C320" s="37" t="inlineStr">
        <is>
          <t>DK</t>
        </is>
      </c>
      <c r="D320" s="48" t="n">
        <v>0</v>
      </c>
      <c r="E320" s="37" t="inlineStr">
        <is>
          <t>I need to confirm this.</t>
        </is>
      </c>
      <c r="F320" s="37" t="inlineStr">
        <is>
          <t>Unverified, not an established failure</t>
        </is>
      </c>
      <c r="G320" s="37" t="inlineStr">
        <is>
          <t>Outcome B19_DK supplies provisional risk, priority, reasons and actions. Apply contextual escalation separately.</t>
        </is>
      </c>
      <c r="H320" s="37" t="inlineStr">
        <is>
          <t>Confirmed exclusion only; DK retains the eligible denominator.</t>
        </is>
      </c>
      <c r="I320" s="37" t="inlineStr">
        <is>
          <t>Choose this rather than guessing when you cannot confirm the practice or its consistency. You can save the assessment and ask the responsible person.</t>
        </is>
      </c>
      <c r="J320"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K320" s="37" t="inlineStr">
        <is>
          <t>B19_DK</t>
        </is>
      </c>
    </row>
    <row r="321" ht="61" customHeight="1">
      <c r="A321" s="38" t="inlineStr">
        <is>
          <t>B20</t>
        </is>
      </c>
      <c r="B321" s="38" t="inlineStr">
        <is>
          <t>B20_0</t>
        </is>
      </c>
      <c r="C321" s="49" t="n">
        <v>0</v>
      </c>
      <c r="D321" s="49" t="n">
        <v>0</v>
      </c>
      <c r="E321" s="38" t="inlineStr">
        <is>
          <t>We are unsure which agreement or version applies.</t>
        </is>
      </c>
      <c r="F321" s="38" t="inlineStr">
        <is>
          <t>Practice absent or not established as described</t>
        </is>
      </c>
      <c r="G321" s="38" t="inlineStr">
        <is>
          <t>Outcome B20_0 supplies provisional risk, priority, reasons and actions. Apply contextual escalation separately.</t>
        </is>
      </c>
      <c r="H321" s="38" t="inlineStr">
        <is>
          <t>Confirmed exclusion only; DK retains the eligible denominator.</t>
        </is>
      </c>
      <c r="I321" s="38" t="inlineStr">
        <is>
          <t>Choose this when the statement describes the current position. Reporting a gap helps prioritise support; it is not an admission that a legal breach has occurred.</t>
        </is>
      </c>
      <c r="J321" s="38" t="inlineStr">
        <is>
          <t>Applicable agreement obligations are mapped to actual processes, identified differences have been corrected and the affected pay, hours or decision process has been checked again.</t>
        </is>
      </c>
      <c r="K321" s="38" t="inlineStr">
        <is>
          <t>B20_0</t>
        </is>
      </c>
    </row>
    <row r="322" ht="61" customHeight="1">
      <c r="A322" s="37" t="inlineStr">
        <is>
          <t>B20</t>
        </is>
      </c>
      <c r="B322" s="37" t="inlineStr">
        <is>
          <t>B20_1</t>
        </is>
      </c>
      <c r="C322" s="48" t="n">
        <v>1</v>
      </c>
      <c r="D322" s="48" t="n">
        <v>1</v>
      </c>
      <c r="E322" s="37" t="inlineStr">
        <is>
          <t>We have the agreement, but rely on historical payroll settings.</t>
        </is>
      </c>
      <c r="F322" s="37" t="inlineStr">
        <is>
          <t>Assumption-dependent or inconsistent practice</t>
        </is>
      </c>
      <c r="G322" s="37" t="inlineStr">
        <is>
          <t>Outcome B20_1 supplies provisional risk, priority, reasons and actions. Apply contextual escalation separately.</t>
        </is>
      </c>
      <c r="H322" s="37" t="inlineStr">
        <is>
          <t>Confirmed exclusion only; DK retains the eligible denominator.</t>
        </is>
      </c>
      <c r="I322" s="37" t="inlineStr">
        <is>
          <t>Choose this when the process depends on assumptions, personal knowledge or ad hoc handling rather than a dependable check.</t>
        </is>
      </c>
      <c r="J322" s="37" t="inlineStr">
        <is>
          <t>Applicable agreement obligations are mapped to actual processes, identified differences have been corrected and the affected pay, hours or decision process has been checked again.</t>
        </is>
      </c>
      <c r="K322" s="37" t="inlineStr">
        <is>
          <t>B20_1</t>
        </is>
      </c>
    </row>
    <row r="323" ht="61" customHeight="1">
      <c r="A323" s="38" t="inlineStr">
        <is>
          <t>B20</t>
        </is>
      </c>
      <c r="B323" s="38" t="inlineStr">
        <is>
          <t>B20_2</t>
        </is>
      </c>
      <c r="C323" s="49" t="n">
        <v>2</v>
      </c>
      <c r="D323" s="49" t="n">
        <v>2</v>
      </c>
      <c r="E323" s="38" t="inlineStr">
        <is>
          <t>Key rates are maintained, but classifications, allowances, consultation or other terms need review.</t>
        </is>
      </c>
      <c r="F323" s="38" t="inlineStr">
        <is>
          <t>Partly established; residual gap remains</t>
        </is>
      </c>
      <c r="G323" s="38" t="inlineStr">
        <is>
          <t>Outcome B20_2 supplies provisional risk, priority, reasons and actions. Apply contextual escalation separately.</t>
        </is>
      </c>
      <c r="H323" s="38" t="inlineStr">
        <is>
          <t>Confirmed exclusion only; DK retains the eligible denominator.</t>
        </is>
      </c>
      <c r="I323" s="38" t="inlineStr">
        <is>
          <t>Choose this when important parts exist but at least one part of the statement remains unresolved. The report should target that gap, not require a full rebuild.</t>
        </is>
      </c>
      <c r="J323" s="38" t="inlineStr">
        <is>
          <t>Applicable agreement obligations are mapped to actual processes, identified differences have been corrected and the affected pay, hours or decision process has been checked again.</t>
        </is>
      </c>
      <c r="K323" s="38" t="inlineStr">
        <is>
          <t>B20_2</t>
        </is>
      </c>
    </row>
    <row r="324" ht="61" customHeight="1">
      <c r="A324" s="37" t="inlineStr">
        <is>
          <t>B20</t>
        </is>
      </c>
      <c r="B324" s="37" t="inlineStr">
        <is>
          <t>B20_3</t>
        </is>
      </c>
      <c r="C324" s="48" t="n">
        <v>3</v>
      </c>
      <c r="D324" s="48" t="n">
        <v>3</v>
      </c>
      <c r="E324" s="37" t="inlineStr">
        <is>
          <t>We maintain the applicable agreement rules, check changes and apply them consistently to payroll and relevant employment decisions.</t>
        </is>
      </c>
      <c r="F324" s="37" t="inlineStr">
        <is>
          <t>Established practice reported, not independently verified</t>
        </is>
      </c>
      <c r="G324" s="37" t="inlineStr">
        <is>
          <t>Outcome B20_3 supplies provisional risk, priority, reasons and actions. Apply contextual escalation separately.</t>
        </is>
      </c>
      <c r="H324" s="37" t="inlineStr">
        <is>
          <t>Confirmed exclusion only; DK retains the eligible denominator.</t>
        </is>
      </c>
      <c r="I324" s="37" t="inlineStr">
        <is>
          <t>Choose this only when the whole statement describes routine practice and you can point to a recent example or a tested readiness process. One successful exception is not enough.</t>
        </is>
      </c>
      <c r="J324" s="37" t="inlineStr">
        <is>
          <t>Applicable agreement obligations are mapped to actual processes, identified differences have been corrected and the affected pay, hours or decision process has been checked again.</t>
        </is>
      </c>
      <c r="K324" s="37" t="inlineStr">
        <is>
          <t>B20_3</t>
        </is>
      </c>
    </row>
    <row r="325" ht="61" customHeight="1">
      <c r="A325" s="38" t="inlineStr">
        <is>
          <t>B20</t>
        </is>
      </c>
      <c r="B325" s="38" t="inlineStr">
        <is>
          <t>B20_DK</t>
        </is>
      </c>
      <c r="C325" s="38" t="inlineStr">
        <is>
          <t>DK</t>
        </is>
      </c>
      <c r="D325" s="49" t="n">
        <v>0</v>
      </c>
      <c r="E325" s="38" t="inlineStr">
        <is>
          <t>I need to confirm this.</t>
        </is>
      </c>
      <c r="F325" s="38" t="inlineStr">
        <is>
          <t>Unverified, not an established failure</t>
        </is>
      </c>
      <c r="G325" s="38" t="inlineStr">
        <is>
          <t>Outcome B20_DK supplies provisional risk, priority, reasons and actions. Apply contextual escalation separately.</t>
        </is>
      </c>
      <c r="H325" s="38" t="inlineStr">
        <is>
          <t>Confirmed exclusion only; DK retains the eligible denominator.</t>
        </is>
      </c>
      <c r="I325" s="38" t="inlineStr">
        <is>
          <t>Choose this rather than guessing when you cannot confirm the practice or its consistency. You can save the assessment and ask the responsible person.</t>
        </is>
      </c>
      <c r="J325" s="38" t="inlineStr">
        <is>
          <t>Applicable agreement obligations are mapped to actual processes, identified differences have been corrected and the affected pay, hours or decision process has been checked again.</t>
        </is>
      </c>
      <c r="K325" s="38" t="inlineStr">
        <is>
          <t>B20_DK</t>
        </is>
      </c>
    </row>
    <row r="326" ht="61" customHeight="1">
      <c r="A326" s="37" t="inlineStr">
        <is>
          <t>B21</t>
        </is>
      </c>
      <c r="B326" s="37" t="inlineStr">
        <is>
          <t>B21_0</t>
        </is>
      </c>
      <c r="C326" s="48" t="n">
        <v>0</v>
      </c>
      <c r="D326" s="48" t="n">
        <v>0</v>
      </c>
      <c r="E326" s="37" t="inlineStr">
        <is>
          <t>We generally announce changes after the arrangements are final.</t>
        </is>
      </c>
      <c r="F326" s="37" t="inlineStr">
        <is>
          <t>Practice absent or not established as described</t>
        </is>
      </c>
      <c r="G326" s="37" t="inlineStr">
        <is>
          <t>Outcome B21_0 supplies provisional risk, priority, reasons and actions. Apply contextual escalation separately.</t>
        </is>
      </c>
      <c r="H326" s="37" t="inlineStr">
        <is>
          <t>Confirmed exclusion only; DK retains the eligible denominator.</t>
        </is>
      </c>
      <c r="I326" s="37" t="inlineStr">
        <is>
          <t>Choose this when the statement describes the current position. Reporting a gap helps prioritise support; it is not an admission that a legal breach has occurred.</t>
        </is>
      </c>
      <c r="J326" s="37" t="inlineStr">
        <is>
          <t>Required information and consultation occurred at the appropriate stage, employee views were genuinely considered, the outcome was communicated and resulting commitments were implemented and checked. Obtain any separately required agreement.</t>
        </is>
      </c>
      <c r="K326" s="37" t="inlineStr">
        <is>
          <t>B21_0</t>
        </is>
      </c>
    </row>
    <row r="327" ht="61" customHeight="1">
      <c r="A327" s="38" t="inlineStr">
        <is>
          <t>B21</t>
        </is>
      </c>
      <c r="B327" s="38" t="inlineStr">
        <is>
          <t>B21_1</t>
        </is>
      </c>
      <c r="C327" s="49" t="n">
        <v>1</v>
      </c>
      <c r="D327" s="49" t="n">
        <v>1</v>
      </c>
      <c r="E327" s="38" t="inlineStr">
        <is>
          <t>We discuss changes informally without checking required consultation.</t>
        </is>
      </c>
      <c r="F327" s="38" t="inlineStr">
        <is>
          <t>Assumption-dependent or inconsistent practice</t>
        </is>
      </c>
      <c r="G327" s="38" t="inlineStr">
        <is>
          <t>Outcome B21_1 supplies provisional risk, priority, reasons and actions. Apply contextual escalation separately.</t>
        </is>
      </c>
      <c r="H327" s="38" t="inlineStr">
        <is>
          <t>Confirmed exclusion only; DK retains the eligible denominator.</t>
        </is>
      </c>
      <c r="I327" s="38" t="inlineStr">
        <is>
          <t>Choose this when the process depends on assumptions, personal knowledge or ad hoc handling rather than a dependable check.</t>
        </is>
      </c>
      <c r="J327" s="38" t="inlineStr">
        <is>
          <t>Required information and consultation occurred at the appropriate stage, employee views were genuinely considered, the outcome was communicated and resulting commitments were implemented and checked. Obtain any separately required agreement.</t>
        </is>
      </c>
      <c r="K327" s="38" t="inlineStr">
        <is>
          <t>B21_1</t>
        </is>
      </c>
    </row>
    <row r="328" ht="61" customHeight="1">
      <c r="A328" s="37" t="inlineStr">
        <is>
          <t>B21</t>
        </is>
      </c>
      <c r="B328" s="37" t="inlineStr">
        <is>
          <t>B21_2</t>
        </is>
      </c>
      <c r="C328" s="48" t="n">
        <v>2</v>
      </c>
      <c r="D328" s="48" t="n">
        <v>2</v>
      </c>
      <c r="E328" s="37" t="inlineStr">
        <is>
          <t>We plan consultation, but timing, representation or consideration of feedback can be missed.</t>
        </is>
      </c>
      <c r="F328" s="37" t="inlineStr">
        <is>
          <t>Partly established; residual gap remains</t>
        </is>
      </c>
      <c r="G328" s="37" t="inlineStr">
        <is>
          <t>Outcome B21_2 supplies provisional risk, priority, reasons and actions. Apply contextual escalation separately.</t>
        </is>
      </c>
      <c r="H328" s="37" t="inlineStr">
        <is>
          <t>Confirmed exclusion only; DK retains the eligible denominator.</t>
        </is>
      </c>
      <c r="I328" s="37" t="inlineStr">
        <is>
          <t>Choose this when important parts exist but at least one part of the statement remains unresolved. The report should target that gap, not require a full rebuild.</t>
        </is>
      </c>
      <c r="J328" s="37" t="inlineStr">
        <is>
          <t>Required information and consultation occurred at the appropriate stage, employee views were genuinely considered, the outcome was communicated and resulting commitments were implemented and checked. Obtain any separately required agreement.</t>
        </is>
      </c>
      <c r="K328" s="37" t="inlineStr">
        <is>
          <t>B21_2</t>
        </is>
      </c>
    </row>
    <row r="329" ht="61" customHeight="1">
      <c r="A329" s="38" t="inlineStr">
        <is>
          <t>B21</t>
        </is>
      </c>
      <c r="B329" s="38" t="inlineStr">
        <is>
          <t>B21_3</t>
        </is>
      </c>
      <c r="C329" s="49" t="n">
        <v>3</v>
      </c>
      <c r="D329" s="49" t="n">
        <v>3</v>
      </c>
      <c r="E329" s="38" t="inlineStr">
        <is>
          <t>We identify the applicable requirements, consult at the required stage and record how employee input was considered.</t>
        </is>
      </c>
      <c r="F329" s="38" t="inlineStr">
        <is>
          <t>Established practice reported, not independently verified</t>
        </is>
      </c>
      <c r="G329" s="38" t="inlineStr">
        <is>
          <t>Outcome B21_3 supplies provisional risk, priority, reasons and actions. Apply contextual escalation separately.</t>
        </is>
      </c>
      <c r="H329" s="38" t="inlineStr">
        <is>
          <t>Confirmed exclusion only; DK retains the eligible denominator.</t>
        </is>
      </c>
      <c r="I329" s="38" t="inlineStr">
        <is>
          <t>Choose this only when the whole statement describes routine practice and you can point to a recent example or a tested readiness process. One successful exception is not enough.</t>
        </is>
      </c>
      <c r="J329" s="38" t="inlineStr">
        <is>
          <t>Required information and consultation occurred at the appropriate stage, employee views were genuinely considered, the outcome was communicated and resulting commitments were implemented and checked. Obtain any separately required agreement.</t>
        </is>
      </c>
      <c r="K329" s="38" t="inlineStr">
        <is>
          <t>B21_3</t>
        </is>
      </c>
    </row>
    <row r="330" ht="61" customHeight="1">
      <c r="A330" s="37" t="inlineStr">
        <is>
          <t>B21</t>
        </is>
      </c>
      <c r="B330" s="37" t="inlineStr">
        <is>
          <t>B21_DK</t>
        </is>
      </c>
      <c r="C330" s="37" t="inlineStr">
        <is>
          <t>DK</t>
        </is>
      </c>
      <c r="D330" s="48" t="n">
        <v>0</v>
      </c>
      <c r="E330" s="37" t="inlineStr">
        <is>
          <t>I need to confirm this.</t>
        </is>
      </c>
      <c r="F330" s="37" t="inlineStr">
        <is>
          <t>Unverified, not an established failure</t>
        </is>
      </c>
      <c r="G330" s="37" t="inlineStr">
        <is>
          <t>Outcome B21_DK supplies provisional risk, priority, reasons and actions. Apply contextual escalation separately.</t>
        </is>
      </c>
      <c r="H330" s="37" t="inlineStr">
        <is>
          <t>Confirmed exclusion only; DK retains the eligible denominator.</t>
        </is>
      </c>
      <c r="I330" s="37" t="inlineStr">
        <is>
          <t>Choose this rather than guessing when you cannot confirm the practice or its consistency. You can save the assessment and ask the responsible person.</t>
        </is>
      </c>
      <c r="J330" s="37" t="inlineStr">
        <is>
          <t>Required information and consultation occurred at the appropriate stage, employee views were genuinely considered, the outcome was communicated and resulting commitments were implemented and checked. Obtain any separately required agreement.</t>
        </is>
      </c>
      <c r="K330" s="37" t="inlineStr">
        <is>
          <t>B21_DK</t>
        </is>
      </c>
    </row>
    <row r="331" ht="61" customHeight="1">
      <c r="A331" s="38" t="inlineStr">
        <is>
          <t>B22</t>
        </is>
      </c>
      <c r="B331" s="38" t="inlineStr">
        <is>
          <t>B22_0</t>
        </is>
      </c>
      <c r="C331" s="49" t="n">
        <v>0</v>
      </c>
      <c r="D331" s="49" t="n">
        <v>0</v>
      </c>
      <c r="E331" s="38" t="inlineStr">
        <is>
          <t>We use reduced rates without checking the basis.</t>
        </is>
      </c>
      <c r="F331" s="38" t="inlineStr">
        <is>
          <t>Practice absent or not established as described</t>
        </is>
      </c>
      <c r="G331" s="38" t="inlineStr">
        <is>
          <t>Outcome B22_0 supplies provisional risk, priority, reasons and actions. Apply contextual escalation separately.</t>
        </is>
      </c>
      <c r="H331" s="38" t="inlineStr">
        <is>
          <t>Confirmed exclusion only; DK retains the eligible denominator.</t>
        </is>
      </c>
      <c r="I331" s="38" t="inlineStr">
        <is>
          <t>Choose this when the statement describes the current position. Reporting a gap helps prioritise support; it is not an admission that a legal breach has occurred.</t>
        </is>
      </c>
      <c r="J331" s="38" t="inlineStr">
        <is>
          <t>An eligibility and progression register with current evidence and payroll updates.</t>
        </is>
      </c>
      <c r="K331" s="38" t="inlineStr">
        <is>
          <t>B22_0</t>
        </is>
      </c>
    </row>
    <row r="332" ht="61" customHeight="1">
      <c r="A332" s="37" t="inlineStr">
        <is>
          <t>B22</t>
        </is>
      </c>
      <c r="B332" s="37" t="inlineStr">
        <is>
          <t>B22_1</t>
        </is>
      </c>
      <c r="C332" s="48" t="n">
        <v>1</v>
      </c>
      <c r="D332" s="48" t="n">
        <v>1</v>
      </c>
      <c r="E332" s="37" t="inlineStr">
        <is>
          <t>We rely on the starting rate and do not consistently track progression.</t>
        </is>
      </c>
      <c r="F332" s="37" t="inlineStr">
        <is>
          <t>Assumption-dependent or inconsistent practice</t>
        </is>
      </c>
      <c r="G332" s="37" t="inlineStr">
        <is>
          <t>Outcome B22_1 supplies provisional risk, priority, reasons and actions. Apply contextual escalation separately.</t>
        </is>
      </c>
      <c r="H332" s="37" t="inlineStr">
        <is>
          <t>Confirmed exclusion only; DK retains the eligible denominator.</t>
        </is>
      </c>
      <c r="I332" s="37" t="inlineStr">
        <is>
          <t>Choose this when the process depends on assumptions, personal knowledge or ad hoc handling rather than a dependable check.</t>
        </is>
      </c>
      <c r="J332" s="37" t="inlineStr">
        <is>
          <t>An eligibility and progression register with current evidence and payroll updates.</t>
        </is>
      </c>
      <c r="K332" s="37" t="inlineStr">
        <is>
          <t>B22_1</t>
        </is>
      </c>
    </row>
    <row r="333" ht="61" customHeight="1">
      <c r="A333" s="38" t="inlineStr">
        <is>
          <t>B22</t>
        </is>
      </c>
      <c r="B333" s="38" t="inlineStr">
        <is>
          <t>B22_2</t>
        </is>
      </c>
      <c r="C333" s="49" t="n">
        <v>2</v>
      </c>
      <c r="D333" s="49" t="n">
        <v>2</v>
      </c>
      <c r="E333" s="38" t="inlineStr">
        <is>
          <t>We check initial eligibility, but progression, duties or training conditions need review.</t>
        </is>
      </c>
      <c r="F333" s="38" t="inlineStr">
        <is>
          <t>Partly established; residual gap remains</t>
        </is>
      </c>
      <c r="G333" s="38" t="inlineStr">
        <is>
          <t>Outcome B22_2 supplies provisional risk, priority, reasons and actions. Apply contextual escalation separately.</t>
        </is>
      </c>
      <c r="H333" s="38" t="inlineStr">
        <is>
          <t>Confirmed exclusion only; DK retains the eligible denominator.</t>
        </is>
      </c>
      <c r="I333" s="38" t="inlineStr">
        <is>
          <t>Choose this when important parts exist but at least one part of the statement remains unresolved. The report should target that gap, not require a full rebuild.</t>
        </is>
      </c>
      <c r="J333" s="38" t="inlineStr">
        <is>
          <t>An eligibility and progression register with current evidence and payroll updates.</t>
        </is>
      </c>
      <c r="K333" s="38" t="inlineStr">
        <is>
          <t>B22_2</t>
        </is>
      </c>
    </row>
    <row r="334" ht="61" customHeight="1">
      <c r="A334" s="37" t="inlineStr">
        <is>
          <t>B22</t>
        </is>
      </c>
      <c r="B334" s="37" t="inlineStr">
        <is>
          <t>B22_3</t>
        </is>
      </c>
      <c r="C334" s="48" t="n">
        <v>3</v>
      </c>
      <c r="D334" s="48" t="n">
        <v>3</v>
      </c>
      <c r="E334" s="37" t="inlineStr">
        <is>
          <t>We verify the applicable basis and track changes in age, competency, duties and training conditions that affect pay or employment.</t>
        </is>
      </c>
      <c r="F334" s="37" t="inlineStr">
        <is>
          <t>Established practice reported, not independently verified</t>
        </is>
      </c>
      <c r="G334" s="37" t="inlineStr">
        <is>
          <t>Outcome B22_3 supplies provisional risk, priority, reasons and actions. Apply contextual escalation separately.</t>
        </is>
      </c>
      <c r="H334" s="37" t="inlineStr">
        <is>
          <t>Confirmed exclusion only; DK retains the eligible denominator.</t>
        </is>
      </c>
      <c r="I334" s="37" t="inlineStr">
        <is>
          <t>Choose this only when the whole statement describes routine practice and you can point to a recent example or a tested readiness process. One successful exception is not enough.</t>
        </is>
      </c>
      <c r="J334" s="37" t="inlineStr">
        <is>
          <t>An eligibility and progression register with current evidence and payroll updates.</t>
        </is>
      </c>
      <c r="K334" s="37" t="inlineStr">
        <is>
          <t>B22_3</t>
        </is>
      </c>
    </row>
    <row r="335" ht="61" customHeight="1">
      <c r="A335" s="38" t="inlineStr">
        <is>
          <t>B22</t>
        </is>
      </c>
      <c r="B335" s="38" t="inlineStr">
        <is>
          <t>B22_DK</t>
        </is>
      </c>
      <c r="C335" s="38" t="inlineStr">
        <is>
          <t>DK</t>
        </is>
      </c>
      <c r="D335" s="49" t="n">
        <v>0</v>
      </c>
      <c r="E335" s="38" t="inlineStr">
        <is>
          <t>I need to confirm this.</t>
        </is>
      </c>
      <c r="F335" s="38" t="inlineStr">
        <is>
          <t>Unverified, not an established failure</t>
        </is>
      </c>
      <c r="G335" s="38" t="inlineStr">
        <is>
          <t>Outcome B22_DK supplies provisional risk, priority, reasons and actions. Apply contextual escalation separately.</t>
        </is>
      </c>
      <c r="H335" s="38" t="inlineStr">
        <is>
          <t>Confirmed exclusion only; DK retains the eligible denominator.</t>
        </is>
      </c>
      <c r="I335" s="38" t="inlineStr">
        <is>
          <t>Choose this rather than guessing when you cannot confirm the practice or its consistency. You can save the assessment and ask the responsible person.</t>
        </is>
      </c>
      <c r="J335" s="38" t="inlineStr">
        <is>
          <t>An eligibility and progression register with current evidence and payroll updates.</t>
        </is>
      </c>
      <c r="K335" s="38" t="inlineStr">
        <is>
          <t>B22_DK</t>
        </is>
      </c>
    </row>
    <row r="336" ht="61" customHeight="1">
      <c r="A336" s="37" t="inlineStr">
        <is>
          <t>B23</t>
        </is>
      </c>
      <c r="B336" s="37" t="inlineStr">
        <is>
          <t>B23_0</t>
        </is>
      </c>
      <c r="C336" s="48" t="n">
        <v>0</v>
      </c>
      <c r="D336" s="48" t="n">
        <v>0</v>
      </c>
      <c r="E336" s="37" t="inlineStr">
        <is>
          <t>A shortfall has been raised or identified, but no one owns a structured review.</t>
        </is>
      </c>
      <c r="F336" s="37" t="inlineStr">
        <is>
          <t>Practice absent or not established as described</t>
        </is>
      </c>
      <c r="G336" s="37" t="inlineStr">
        <is>
          <t>Outcome B23_0 supplies provisional risk, priority, reasons and actions. Apply contextual escalation separately.</t>
        </is>
      </c>
      <c r="H336" s="37" t="inlineStr">
        <is>
          <t>Confirmed exclusion only; DK retains the eligible denominator.</t>
        </is>
      </c>
      <c r="I336" s="37" t="inlineStr">
        <is>
          <t>Choose this when the statement describes the current position. Reporting a gap helps prioritise support; it is not an admission that a legal breach has occurred.</t>
        </is>
      </c>
      <c r="J336" s="37" t="inlineStr">
        <is>
          <t>A documented scope and calculation, correction and communication record, related obligation checks and a successful follow-up payroll test.</t>
        </is>
      </c>
      <c r="K336" s="37" t="inlineStr">
        <is>
          <t>B23_0</t>
        </is>
      </c>
    </row>
    <row r="337" ht="61" customHeight="1">
      <c r="A337" s="38" t="inlineStr">
        <is>
          <t>B23</t>
        </is>
      </c>
      <c r="B337" s="38" t="inlineStr">
        <is>
          <t>B23_1</t>
        </is>
      </c>
      <c r="C337" s="49" t="n">
        <v>1</v>
      </c>
      <c r="D337" s="49" t="n">
        <v>1</v>
      </c>
      <c r="E337" s="38" t="inlineStr">
        <is>
          <t>We change the next payment, but do not consistently check earlier periods or other affected employees.</t>
        </is>
      </c>
      <c r="F337" s="38" t="inlineStr">
        <is>
          <t>Assumption-dependent or inconsistent practice</t>
        </is>
      </c>
      <c r="G337" s="38" t="inlineStr">
        <is>
          <t>Outcome B23_1 supplies provisional risk, priority, reasons and actions. Apply contextual escalation separately.</t>
        </is>
      </c>
      <c r="H337" s="38" t="inlineStr">
        <is>
          <t>Confirmed exclusion only; DK retains the eligible denominator.</t>
        </is>
      </c>
      <c r="I337" s="38" t="inlineStr">
        <is>
          <t>Choose this when the process depends on assumptions, personal knowledge or ad hoc handling rather than a dependable check.</t>
        </is>
      </c>
      <c r="J337" s="38" t="inlineStr">
        <is>
          <t>A documented scope and calculation, correction and communication record, related obligation checks and a successful follow-up payroll test.</t>
        </is>
      </c>
      <c r="K337" s="38" t="inlineStr">
        <is>
          <t>B23_1</t>
        </is>
      </c>
    </row>
    <row r="338" ht="61" customHeight="1">
      <c r="A338" s="37" t="inlineStr">
        <is>
          <t>B23</t>
        </is>
      </c>
      <c r="B338" s="37" t="inlineStr">
        <is>
          <t>B23_2</t>
        </is>
      </c>
      <c r="C338" s="48" t="n">
        <v>2</v>
      </c>
      <c r="D338" s="48" t="n">
        <v>2</v>
      </c>
      <c r="E338" s="37" t="inlineStr">
        <is>
          <t>We investigate and arrange corrections, but the affected scope, communication or prevention check is incomplete.</t>
        </is>
      </c>
      <c r="F338" s="37" t="inlineStr">
        <is>
          <t>Partly established; residual gap remains</t>
        </is>
      </c>
      <c r="G338" s="37" t="inlineStr">
        <is>
          <t>Outcome B23_2 supplies provisional risk, priority, reasons and actions. Apply contextual escalation separately.</t>
        </is>
      </c>
      <c r="H338" s="37" t="inlineStr">
        <is>
          <t>Confirmed exclusion only; DK retains the eligible denominator.</t>
        </is>
      </c>
      <c r="I338" s="37" t="inlineStr">
        <is>
          <t>Choose this when important parts exist but at least one part of the statement remains unresolved. The report should target that gap, not require a full rebuild.</t>
        </is>
      </c>
      <c r="J338" s="37" t="inlineStr">
        <is>
          <t>A documented scope and calculation, correction and communication record, related obligation checks and a successful follow-up payroll test.</t>
        </is>
      </c>
      <c r="K338" s="37" t="inlineStr">
        <is>
          <t>B23_2</t>
        </is>
      </c>
    </row>
    <row r="339" ht="61" customHeight="1">
      <c r="A339" s="38" t="inlineStr">
        <is>
          <t>B23</t>
        </is>
      </c>
      <c r="B339" s="38" t="inlineStr">
        <is>
          <t>B23_3</t>
        </is>
      </c>
      <c r="C339" s="49" t="n">
        <v>3</v>
      </c>
      <c r="D339" s="49" t="n">
        <v>3</v>
      </c>
      <c r="E339" s="38" t="inlineStr">
        <is>
          <t>We confirm the affected scope, communicate appropriately, complete and record corrections, and check that the cause has been resolved.</t>
        </is>
      </c>
      <c r="F339" s="38" t="inlineStr">
        <is>
          <t>Established practice reported, not independently verified</t>
        </is>
      </c>
      <c r="G339" s="38" t="inlineStr">
        <is>
          <t>Outcome B23_3 supplies provisional risk, priority, reasons and actions. Apply contextual escalation separately.</t>
        </is>
      </c>
      <c r="H339" s="38" t="inlineStr">
        <is>
          <t>Confirmed exclusion only; DK retains the eligible denominator.</t>
        </is>
      </c>
      <c r="I339" s="38" t="inlineStr">
        <is>
          <t>Choose this only when the whole statement describes routine practice and you can point to a recent example or a tested readiness process. One successful exception is not enough.</t>
        </is>
      </c>
      <c r="J339" s="38" t="inlineStr">
        <is>
          <t>A documented scope and calculation, correction and communication record, related obligation checks and a successful follow-up payroll test.</t>
        </is>
      </c>
      <c r="K339" s="38" t="inlineStr">
        <is>
          <t>B23_3</t>
        </is>
      </c>
    </row>
    <row r="340" ht="61" customHeight="1">
      <c r="A340" s="37" t="inlineStr">
        <is>
          <t>B23</t>
        </is>
      </c>
      <c r="B340" s="37" t="inlineStr">
        <is>
          <t>B23_DK</t>
        </is>
      </c>
      <c r="C340" s="37" t="inlineStr">
        <is>
          <t>DK</t>
        </is>
      </c>
      <c r="D340" s="48" t="n">
        <v>0</v>
      </c>
      <c r="E340" s="37" t="inlineStr">
        <is>
          <t>I need to confirm this.</t>
        </is>
      </c>
      <c r="F340" s="37" t="inlineStr">
        <is>
          <t>Unverified, not an established failure</t>
        </is>
      </c>
      <c r="G340" s="37" t="inlineStr">
        <is>
          <t>Outcome B23_DK supplies provisional risk, priority, reasons and actions. Apply contextual escalation separately.</t>
        </is>
      </c>
      <c r="H340" s="37" t="inlineStr">
        <is>
          <t>Confirmed exclusion only; DK retains the eligible denominator.</t>
        </is>
      </c>
      <c r="I340" s="37" t="inlineStr">
        <is>
          <t>Choose this rather than guessing when you cannot confirm the practice or its consistency. You can save the assessment and ask the responsible person.</t>
        </is>
      </c>
      <c r="J340" s="37" t="inlineStr">
        <is>
          <t>A documented scope and calculation, correction and communication record, related obligation checks and a successful follow-up payroll test.</t>
        </is>
      </c>
      <c r="K340" s="37" t="inlineStr">
        <is>
          <t>B23_DK</t>
        </is>
      </c>
    </row>
    <row r="341" ht="61" customHeight="1">
      <c r="A341" s="38" t="inlineStr">
        <is>
          <t>B24</t>
        </is>
      </c>
      <c r="B341" s="38" t="inlineStr">
        <is>
          <t>B24_0</t>
        </is>
      </c>
      <c r="C341" s="49" t="n">
        <v>0</v>
      </c>
      <c r="D341" s="49" t="n">
        <v>0</v>
      </c>
      <c r="E341" s="38" t="inlineStr">
        <is>
          <t>There is no clear way to raise or assess the need for an adjustment.</t>
        </is>
      </c>
      <c r="F341" s="38" t="inlineStr">
        <is>
          <t>Practice absent or not established as described</t>
        </is>
      </c>
      <c r="G341" s="38" t="inlineStr">
        <is>
          <t>Outcome B24_0 supplies provisional risk, priority, reasons and actions. Apply contextual escalation separately.</t>
        </is>
      </c>
      <c r="H341" s="38" t="inlineStr">
        <is>
          <t>Confirmed exclusion only; DK retains the eligible denominator.</t>
        </is>
      </c>
      <c r="I341" s="38" t="inlineStr">
        <is>
          <t>Choose this when the statement describes the current position. Reporting a gap helps prioritise support; it is not an admission that a legal breach has occurred.</t>
        </is>
      </c>
      <c r="J341" s="38" t="inlineStr">
        <is>
          <t>A proportionate record of the barrier, options considered, decision and implementation, with a review of effectiveness and restricted information access.</t>
        </is>
      </c>
      <c r="K341" s="38" t="inlineStr">
        <is>
          <t>B24_0</t>
        </is>
      </c>
    </row>
    <row r="342" ht="61" customHeight="1">
      <c r="A342" s="37" t="inlineStr">
        <is>
          <t>B24</t>
        </is>
      </c>
      <c r="B342" s="37" t="inlineStr">
        <is>
          <t>B24_1</t>
        </is>
      </c>
      <c r="C342" s="48" t="n">
        <v>1</v>
      </c>
      <c r="D342" s="48" t="n">
        <v>1</v>
      </c>
      <c r="E342" s="37" t="inlineStr">
        <is>
          <t>We rely on the manager's preference or apply a standard rule without exploring the individual barrier.</t>
        </is>
      </c>
      <c r="F342" s="37" t="inlineStr">
        <is>
          <t>Assumption-dependent or inconsistent practice</t>
        </is>
      </c>
      <c r="G342" s="37" t="inlineStr">
        <is>
          <t>Outcome B24_1 supplies provisional risk, priority, reasons and actions. Apply contextual escalation separately.</t>
        </is>
      </c>
      <c r="H342" s="37" t="inlineStr">
        <is>
          <t>Confirmed exclusion only; DK retains the eligible denominator.</t>
        </is>
      </c>
      <c r="I342" s="37" t="inlineStr">
        <is>
          <t>Choose this when the process depends on assumptions, personal knowledge or ad hoc handling rather than a dependable check.</t>
        </is>
      </c>
      <c r="J342" s="37" t="inlineStr">
        <is>
          <t>A proportionate record of the barrier, options considered, decision and implementation, with a review of effectiveness and restricted information access.</t>
        </is>
      </c>
      <c r="K342" s="37" t="inlineStr">
        <is>
          <t>B24_1</t>
        </is>
      </c>
    </row>
    <row r="343" ht="61" customHeight="1">
      <c r="A343" s="38" t="inlineStr">
        <is>
          <t>B24</t>
        </is>
      </c>
      <c r="B343" s="38" t="inlineStr">
        <is>
          <t>B24_2</t>
        </is>
      </c>
      <c r="C343" s="49" t="n">
        <v>2</v>
      </c>
      <c r="D343" s="49" t="n">
        <v>2</v>
      </c>
      <c r="E343" s="38" t="inlineStr">
        <is>
          <t>We discuss options, but the decision, implementation or review is inconsistent.</t>
        </is>
      </c>
      <c r="F343" s="38" t="inlineStr">
        <is>
          <t>Partly established; residual gap remains</t>
        </is>
      </c>
      <c r="G343" s="38" t="inlineStr">
        <is>
          <t>Outcome B24_2 supplies provisional risk, priority, reasons and actions. Apply contextual escalation separately.</t>
        </is>
      </c>
      <c r="H343" s="38" t="inlineStr">
        <is>
          <t>Confirmed exclusion only; DK retains the eligible denominator.</t>
        </is>
      </c>
      <c r="I343" s="38" t="inlineStr">
        <is>
          <t>Choose this when important parts exist but at least one part of the statement remains unresolved. The report should target that gap, not require a full rebuild.</t>
        </is>
      </c>
      <c r="J343" s="38" t="inlineStr">
        <is>
          <t>A proportionate record of the barrier, options considered, decision and implementation, with a review of effectiveness and restricted information access.</t>
        </is>
      </c>
      <c r="K343" s="38" t="inlineStr">
        <is>
          <t>B24_2</t>
        </is>
      </c>
    </row>
    <row r="344" ht="61" customHeight="1">
      <c r="A344" s="37" t="inlineStr">
        <is>
          <t>B24</t>
        </is>
      </c>
      <c r="B344" s="37" t="inlineStr">
        <is>
          <t>B24_3</t>
        </is>
      </c>
      <c r="C344" s="48" t="n">
        <v>3</v>
      </c>
      <c r="D344" s="48" t="n">
        <v>3</v>
      </c>
      <c r="E344" s="37" t="inlineStr">
        <is>
          <t>We discuss the barrier and relevant job requirements, consider practical options and applicable obligations, document the decision and review the outcome.</t>
        </is>
      </c>
      <c r="F344" s="37" t="inlineStr">
        <is>
          <t>Established practice reported, not independently verified</t>
        </is>
      </c>
      <c r="G344" s="37" t="inlineStr">
        <is>
          <t>Outcome B24_3 supplies provisional risk, priority, reasons and actions. Apply contextual escalation separately.</t>
        </is>
      </c>
      <c r="H344" s="37" t="inlineStr">
        <is>
          <t>Confirmed exclusion only; DK retains the eligible denominator.</t>
        </is>
      </c>
      <c r="I344" s="37" t="inlineStr">
        <is>
          <t>Choose this only when the whole statement describes routine practice and you can point to a recent example or a tested readiness process. One successful exception is not enough.</t>
        </is>
      </c>
      <c r="J344" s="37" t="inlineStr">
        <is>
          <t>A proportionate record of the barrier, options considered, decision and implementation, with a review of effectiveness and restricted information access.</t>
        </is>
      </c>
      <c r="K344" s="37" t="inlineStr">
        <is>
          <t>B24_3</t>
        </is>
      </c>
    </row>
    <row r="345" ht="61" customHeight="1">
      <c r="A345" s="38" t="inlineStr">
        <is>
          <t>B24</t>
        </is>
      </c>
      <c r="B345" s="38" t="inlineStr">
        <is>
          <t>B24_DK</t>
        </is>
      </c>
      <c r="C345" s="38" t="inlineStr">
        <is>
          <t>DK</t>
        </is>
      </c>
      <c r="D345" s="49" t="n">
        <v>0</v>
      </c>
      <c r="E345" s="38" t="inlineStr">
        <is>
          <t>I need to confirm this.</t>
        </is>
      </c>
      <c r="F345" s="38" t="inlineStr">
        <is>
          <t>Unverified, not an established failure</t>
        </is>
      </c>
      <c r="G345" s="38" t="inlineStr">
        <is>
          <t>Outcome B24_DK supplies provisional risk, priority, reasons and actions. Apply contextual escalation separately.</t>
        </is>
      </c>
      <c r="H345" s="38" t="inlineStr">
        <is>
          <t>Confirmed exclusion only; DK retains the eligible denominator.</t>
        </is>
      </c>
      <c r="I345" s="38" t="inlineStr">
        <is>
          <t>Choose this rather than guessing when you cannot confirm the practice or its consistency. You can save the assessment and ask the responsible person.</t>
        </is>
      </c>
      <c r="J345" s="38" t="inlineStr">
        <is>
          <t>A proportionate record of the barrier, options considered, decision and implementation, with a review of effectiveness and restricted information access.</t>
        </is>
      </c>
      <c r="K345" s="38" t="inlineStr">
        <is>
          <t>B24_DK</t>
        </is>
      </c>
    </row>
    <row r="346" ht="61" customHeight="1">
      <c r="A346" s="37" t="inlineStr">
        <is>
          <t>B25</t>
        </is>
      </c>
      <c r="B346" s="37" t="inlineStr">
        <is>
          <t>B25_0</t>
        </is>
      </c>
      <c r="C346" s="48" t="n">
        <v>0</v>
      </c>
      <c r="D346" s="48" t="n">
        <v>0</v>
      </c>
      <c r="E346" s="37" t="inlineStr">
        <is>
          <t>We assume the other organisation manages the safety responsibilities.</t>
        </is>
      </c>
      <c r="F346" s="37" t="inlineStr">
        <is>
          <t>Practice absent or not established as described</t>
        </is>
      </c>
      <c r="G346" s="37" t="inlineStr">
        <is>
          <t>Outcome B25_0 supplies provisional risk, priority, reasons and actions. Apply contextual escalation separately.</t>
        </is>
      </c>
      <c r="H346" s="37" t="inlineStr">
        <is>
          <t>Confirmed exclusion only; DK retains the eligible denominator.</t>
        </is>
      </c>
      <c r="I346" s="37" t="inlineStr">
        <is>
          <t>Choose this when the statement describes the current position. Reporting a gap helps prioritise support; it is not an admission that a legal breach has occurred.</t>
        </is>
      </c>
      <c r="J346" s="37" t="inlineStr">
        <is>
          <t>An agreed responsibility record, worker induction and consultation evidence, task-specific controls and a tested incident handover.</t>
        </is>
      </c>
      <c r="K346" s="37" t="inlineStr">
        <is>
          <t>B25_0</t>
        </is>
      </c>
    </row>
    <row r="347" ht="61" customHeight="1">
      <c r="A347" s="38" t="inlineStr">
        <is>
          <t>B25</t>
        </is>
      </c>
      <c r="B347" s="38" t="inlineStr">
        <is>
          <t>B25_1</t>
        </is>
      </c>
      <c r="C347" s="49" t="n">
        <v>1</v>
      </c>
      <c r="D347" s="49" t="n">
        <v>1</v>
      </c>
      <c r="E347" s="38" t="inlineStr">
        <is>
          <t>Responsibilities are discussed informally, but induction, supervision or incident response can fall between organisations.</t>
        </is>
      </c>
      <c r="F347" s="38" t="inlineStr">
        <is>
          <t>Assumption-dependent or inconsistent practice</t>
        </is>
      </c>
      <c r="G347" s="38" t="inlineStr">
        <is>
          <t>Outcome B25_1 supplies provisional risk, priority, reasons and actions. Apply contextual escalation separately.</t>
        </is>
      </c>
      <c r="H347" s="38" t="inlineStr">
        <is>
          <t>Confirmed exclusion only; DK retains the eligible denominator.</t>
        </is>
      </c>
      <c r="I347" s="38" t="inlineStr">
        <is>
          <t>Choose this when the process depends on assumptions, personal knowledge or ad hoc handling rather than a dependable check.</t>
        </is>
      </c>
      <c r="J347" s="38" t="inlineStr">
        <is>
          <t>An agreed responsibility record, worker induction and consultation evidence, task-specific controls and a tested incident handover.</t>
        </is>
      </c>
      <c r="K347" s="38" t="inlineStr">
        <is>
          <t>B25_1</t>
        </is>
      </c>
    </row>
    <row r="348" ht="61" customHeight="1">
      <c r="A348" s="37" t="inlineStr">
        <is>
          <t>B25</t>
        </is>
      </c>
      <c r="B348" s="37" t="inlineStr">
        <is>
          <t>B25_2</t>
        </is>
      </c>
      <c r="C348" s="48" t="n">
        <v>2</v>
      </c>
      <c r="D348" s="48" t="n">
        <v>2</v>
      </c>
      <c r="E348" s="37" t="inlineStr">
        <is>
          <t>Responsibilities are documented, but worker input, changed tasks or effectiveness checks are incomplete.</t>
        </is>
      </c>
      <c r="F348" s="37" t="inlineStr">
        <is>
          <t>Partly established; residual gap remains</t>
        </is>
      </c>
      <c r="G348" s="37" t="inlineStr">
        <is>
          <t>Outcome B25_2 supplies provisional risk, priority, reasons and actions. Apply contextual escalation separately.</t>
        </is>
      </c>
      <c r="H348" s="37" t="inlineStr">
        <is>
          <t>Confirmed exclusion only; DK retains the eligible denominator.</t>
        </is>
      </c>
      <c r="I348" s="37" t="inlineStr">
        <is>
          <t>Choose this when important parts exist but at least one part of the statement remains unresolved. The report should target that gap, not require a full rebuild.</t>
        </is>
      </c>
      <c r="J348" s="37" t="inlineStr">
        <is>
          <t>An agreed responsibility record, worker induction and consultation evidence, task-specific controls and a tested incident handover.</t>
        </is>
      </c>
      <c r="K348" s="37" t="inlineStr">
        <is>
          <t>B25_2</t>
        </is>
      </c>
    </row>
    <row r="349" ht="61" customHeight="1">
      <c r="A349" s="38" t="inlineStr">
        <is>
          <t>B25</t>
        </is>
      </c>
      <c r="B349" s="38" t="inlineStr">
        <is>
          <t>B25_3</t>
        </is>
      </c>
      <c r="C349" s="49" t="n">
        <v>3</v>
      </c>
      <c r="D349" s="49" t="n">
        <v>3</v>
      </c>
      <c r="E349" s="38" t="inlineStr">
        <is>
          <t>The relevant organisations and workers coordinate induction, controls, supervision and incident response, and review the arrangement when the work changes.</t>
        </is>
      </c>
      <c r="F349" s="38" t="inlineStr">
        <is>
          <t>Established practice reported, not independently verified</t>
        </is>
      </c>
      <c r="G349" s="38" t="inlineStr">
        <is>
          <t>Outcome B25_3 supplies provisional risk, priority, reasons and actions. Apply contextual escalation separately.</t>
        </is>
      </c>
      <c r="H349" s="38" t="inlineStr">
        <is>
          <t>Confirmed exclusion only; DK retains the eligible denominator.</t>
        </is>
      </c>
      <c r="I349" s="38" t="inlineStr">
        <is>
          <t>Choose this only when the whole statement describes routine practice and you can point to a recent example or a tested readiness process. One successful exception is not enough.</t>
        </is>
      </c>
      <c r="J349" s="38" t="inlineStr">
        <is>
          <t>An agreed responsibility record, worker induction and consultation evidence, task-specific controls and a tested incident handover.</t>
        </is>
      </c>
      <c r="K349" s="38" t="inlineStr">
        <is>
          <t>B25_3</t>
        </is>
      </c>
    </row>
    <row r="350" ht="61" customHeight="1">
      <c r="A350" s="37" t="inlineStr">
        <is>
          <t>B25</t>
        </is>
      </c>
      <c r="B350" s="37" t="inlineStr">
        <is>
          <t>B25_DK</t>
        </is>
      </c>
      <c r="C350" s="37" t="inlineStr">
        <is>
          <t>DK</t>
        </is>
      </c>
      <c r="D350" s="48" t="n">
        <v>0</v>
      </c>
      <c r="E350" s="37" t="inlineStr">
        <is>
          <t>I need to confirm this.</t>
        </is>
      </c>
      <c r="F350" s="37" t="inlineStr">
        <is>
          <t>Unverified, not an established failure</t>
        </is>
      </c>
      <c r="G350" s="37" t="inlineStr">
        <is>
          <t>Outcome B25_DK supplies provisional risk, priority, reasons and actions. Apply contextual escalation separately.</t>
        </is>
      </c>
      <c r="H350" s="37" t="inlineStr">
        <is>
          <t>Confirmed exclusion only; DK retains the eligible denominator.</t>
        </is>
      </c>
      <c r="I350" s="37" t="inlineStr">
        <is>
          <t>Choose this rather than guessing when you cannot confirm the practice or its consistency. You can save the assessment and ask the responsible person.</t>
        </is>
      </c>
      <c r="J350" s="37" t="inlineStr">
        <is>
          <t>An agreed responsibility record, worker induction and consultation evidence, task-specific controls and a tested incident handover.</t>
        </is>
      </c>
      <c r="K350" s="37" t="inlineStr">
        <is>
          <t>B25_DK</t>
        </is>
      </c>
    </row>
  </sheetData>
  <autoFilter ref="A5:K350"/>
  <mergeCells count="3">
    <mergeCell ref="A2:K2"/>
    <mergeCell ref="A1:K1"/>
    <mergeCell ref="A3:K3"/>
  </mergeCells>
  <printOptions horizontalCentered="0"/>
  <pageMargins left="0.7" right="0.7" top="0.75" bottom="0.75" header="0.3" footer="0.3"/>
  <pageSetup orientation="landscape" paperSize="8" fitToHeight="0" fitToWidth="1"/>
</worksheet>
</file>

<file path=xl/worksheets/sheet5.xml><?xml version="1.0" encoding="utf-8"?>
<worksheet xmlns="http://schemas.openxmlformats.org/spreadsheetml/2006/main">
  <sheetPr>
    <tabColor rgb="0008685F"/>
    <outlinePr summaryBelow="1" summaryRight="0"/>
    <pageSetUpPr fitToPage="1"/>
  </sheetPr>
  <dimension ref="A1:U74"/>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3" customWidth="1" min="2" max="2"/>
    <col width="62" customWidth="1" min="3" max="3"/>
    <col width="51" customWidth="1" min="4" max="4"/>
    <col width="87" customWidth="1" min="5" max="5"/>
    <col width="95" customWidth="1" min="6" max="6"/>
    <col width="95" customWidth="1" min="7" max="7"/>
    <col width="29" customWidth="1" min="8" max="8"/>
    <col width="68" customWidth="1" min="9" max="9"/>
    <col width="80" customWidth="1" min="10" max="10"/>
    <col width="80" customWidth="1" min="11" max="11"/>
    <col width="65" customWidth="1" min="12" max="12"/>
    <col width="25" customWidth="1" min="13" max="13"/>
    <col width="18" customWidth="1" min="14" max="14"/>
    <col width="63" customWidth="1" min="15" max="15"/>
    <col width="14" customWidth="1" min="16" max="16"/>
    <col width="99" customWidth="1" min="17" max="17"/>
    <col width="99" customWidth="1" min="18" max="18"/>
    <col width="90" customWidth="1" min="19" max="19"/>
    <col width="68" customWidth="1" min="20" max="20"/>
    <col width="25" customWidth="1" min="21" max="21"/>
  </cols>
  <sheetData>
    <row r="1" ht="38" customHeight="1">
      <c r="A1" s="33" t="inlineStr">
        <is>
          <t>Action library | complete practical work instructions</t>
        </is>
      </c>
    </row>
    <row r="2" ht="42" customHeight="1">
      <c r="A2" s="34" t="inlineStr">
        <is>
          <t>69 action cards. The primary legal guidance is linked; potential consequences, sequencing and priority choices are proposed DreamStoneHR product design. Tailor each card through Answer Outcomes.</t>
        </is>
      </c>
    </row>
    <row r="3" ht="22" customHeight="1">
      <c r="A3" s="35" t="inlineStr">
        <is>
          <t>DREAMSTONEHR | PROPOSED V3.0 | 10 OCTOBER 2026</t>
        </is>
      </c>
    </row>
    <row r="4" ht="12" customHeight="1"/>
    <row r="5" ht="43" customHeight="1">
      <c r="A5" s="36" t="inlineStr">
        <is>
          <t>Action ID</t>
        </is>
      </c>
      <c r="B5" s="36" t="inlineStr">
        <is>
          <t>Question ID</t>
        </is>
      </c>
      <c r="C5" s="36" t="inlineStr">
        <is>
          <t>Priority / trigger</t>
        </is>
      </c>
      <c r="D5" s="36" t="inlineStr">
        <is>
          <t>Finding headline</t>
        </is>
      </c>
      <c r="E5" s="36" t="inlineStr">
        <is>
          <t>Why it matters</t>
        </is>
      </c>
      <c r="F5" s="36" t="inlineStr">
        <is>
          <t>Practical first step</t>
        </is>
      </c>
      <c r="G5" s="36" t="inlineStr">
        <is>
          <t>Evidence of completion</t>
        </is>
      </c>
      <c r="H5" s="36" t="inlineStr">
        <is>
          <t>Suggested owner</t>
        </is>
      </c>
      <c r="I5" s="36" t="inlineStr">
        <is>
          <t>Suggested timing</t>
        </is>
      </c>
      <c r="J5" s="36" t="inlineStr">
        <is>
          <t>Small-business application</t>
        </is>
      </c>
      <c r="K5" s="36" t="inlineStr">
        <is>
          <t>Larger / more complex application</t>
        </is>
      </c>
      <c r="L5" s="36" t="inlineStr">
        <is>
          <t>Optional DreamStoneHR support</t>
        </is>
      </c>
      <c r="M5" s="36" t="inlineStr">
        <is>
          <t>Action family</t>
        </is>
      </c>
      <c r="N5" s="36" t="inlineStr">
        <is>
          <t>Source IDs</t>
        </is>
      </c>
      <c r="O5" s="36" t="inlineStr">
        <is>
          <t>Primary source URLs</t>
        </is>
      </c>
      <c r="P5" s="36" t="inlineStr">
        <is>
          <t>Consequence class</t>
        </is>
      </c>
      <c r="Q5" s="36" t="inlineStr">
        <is>
          <t>Step 2: establish or repair</t>
        </is>
      </c>
      <c r="R5" s="36" t="inlineStr">
        <is>
          <t>Step 3: test effectiveness</t>
        </is>
      </c>
      <c r="S5" s="36" t="inlineStr">
        <is>
          <t>Avoid this shortcut</t>
        </is>
      </c>
      <c r="T5" s="36" t="inlineStr">
        <is>
          <t>Recheck trigger</t>
        </is>
      </c>
      <c r="U5" s="36" t="inlineStr">
        <is>
          <t>Prerequisite question IDs</t>
        </is>
      </c>
    </row>
    <row r="6" ht="76" customHeight="1">
      <c r="A6" s="37" t="inlineStr">
        <is>
          <t>A_PAY01</t>
        </is>
      </c>
      <c r="B6" s="37" t="inlineStr">
        <is>
          <t>PAY01</t>
        </is>
      </c>
      <c r="C6" s="37" t="inlineStr">
        <is>
          <t>Use PAY01_0 / _1 / _2 / _3 / _DK in Answer Outcomes, then apply Risk Context. Weight is not the risk rating.</t>
        </is>
      </c>
      <c r="D6" s="37" t="inlineStr">
        <is>
          <t>Establish the rules behind your pay decisions</t>
        </is>
      </c>
      <c r="E6" s="37" t="inlineStr">
        <is>
          <t>An incorrect coverage or classification decision can affect pay, leave and working conditions every time the role is paid.</t>
        </is>
      </c>
      <c r="F6" s="37" t="inlineStr">
        <is>
          <t>List each distinct role, actual duties, employment type, instrument and classification. Resolve uncertain roles before relying on the payroll settings.</t>
        </is>
      </c>
      <c r="G6" s="37" t="inlineStr">
        <is>
          <t>A dated coverage and classification record with reasons for every distinct role, appropriate review of uncertain classifications, and resulting payroll changes checked. An unresolved classification remains an open task.</t>
        </is>
      </c>
      <c r="H6" s="37" t="inlineStr">
        <is>
          <t>Payroll lead / owner</t>
        </is>
      </c>
      <c r="I6" s="37" t="inlineStr">
        <is>
          <t>Risk Method timing is the initial response target; actual duties and earlier events take precedence. Recheck: A changed role, new instrument or classification change.</t>
        </is>
      </c>
      <c r="J6" s="37" t="inlineStr">
        <is>
          <t>A dated role/pay register, a short sample check and an owner for exceptions can be sufficient evidence of the process.</t>
        </is>
      </c>
      <c r="K6" s="37" t="inlineStr">
        <is>
          <t>Sample different roles, instruments, pay patterns and locations. Record exception escalation and independent review responsibilities.</t>
        </is>
      </c>
      <c r="L6" s="37" t="inlineStr">
        <is>
          <t>Targeted payroll, award/classification or salary-arrangement review, scoped to the flagged population.</t>
        </is>
      </c>
      <c r="M6" s="37" t="inlineStr">
        <is>
          <t>PAY_ASSURANCE</t>
        </is>
      </c>
      <c r="N6" s="37" t="inlineStr">
        <is>
          <t>S06;S14</t>
        </is>
      </c>
      <c r="O6" s="37" t="inlineStr">
        <is>
          <t>https://www.fairwork.gov.au/pay-and-wages/minimum-wages/annualised-salaries
https://www.fairwork.gov.au/tools-and-resources/fact-sheets/rights-and-obligations/record-keeping-pay-slips</t>
        </is>
      </c>
      <c r="P6" s="48" t="n">
        <v>3</v>
      </c>
      <c r="Q6" s="37" t="inlineStr">
        <is>
          <t>Compare actual duties with the relevant coverage and classification provisions. Record the reasoning and refer unresolved cases for competent review.</t>
        </is>
      </c>
      <c r="R6" s="37" t="inlineStr">
        <is>
          <t>Check that the approved outcome matches payroll and contract records. Review comparable roles if one classification was wrong.</t>
        </is>
      </c>
      <c r="S6" s="37" t="inlineStr">
        <is>
          <t>A familiar job title, an ABN or an above-award salary is not evidence of correct coverage.</t>
        </is>
      </c>
      <c r="T6" s="37" t="inlineStr">
        <is>
          <t>A changed role, new instrument or classification change.</t>
        </is>
      </c>
      <c r="U6" s="37" t="inlineStr">
        <is>
          <t>None</t>
        </is>
      </c>
    </row>
    <row r="7" ht="106" customHeight="1">
      <c r="A7" s="38" t="inlineStr">
        <is>
          <t>A_PAY02</t>
        </is>
      </c>
      <c r="B7" s="38" t="inlineStr">
        <is>
          <t>PAY02</t>
        </is>
      </c>
      <c r="C7" s="38" t="inlineStr">
        <is>
          <t>Use PAY02_0 / _1 / _2 / _3 / _DK in Answer Outcomes, then apply Risk Context. Weight is not the risk rating.</t>
        </is>
      </c>
      <c r="D7" s="38" t="inlineStr">
        <is>
          <t>Test the payroll result, not just the base rate</t>
        </is>
      </c>
      <c r="E7" s="38" t="inlineStr">
        <is>
          <t>An unchecked pay rule can repeat across pay periods and employees. The initial gap is lack of assurance, not proof of an underpayment.</t>
        </is>
      </c>
      <c r="F7" s="38" t="inlineStr">
        <is>
          <t>Select representative ordinary and exception pay periods and obtain the actual work records, applicable rules and payslips. Define the arrangements being checked before calculating any difference.</t>
        </is>
      </c>
      <c r="G7" s="38" t="inlineStr">
        <is>
          <t>A dated pay-check record for each materially different pay arrangement, with discrepancies investigated, required corrections completed and the next affected pay run checked. Keep any unresolved scope or payment issue open.</t>
        </is>
      </c>
      <c r="H7" s="38" t="inlineStr">
        <is>
          <t>Payroll lead / owner</t>
        </is>
      </c>
      <c r="I7" s="38" t="inlineStr">
        <is>
          <t>Risk Method timing is the initial response target; actual duties and earlier events take precedence. Recheck: A pay-rule change, payroll migration, discrepancy or new work pattern.</t>
        </is>
      </c>
      <c r="J7" s="38" t="inlineStr">
        <is>
          <t>A dated role/pay register, a short sample check and an owner for exceptions can be sufficient evidence of the process.</t>
        </is>
      </c>
      <c r="K7" s="38" t="inlineStr">
        <is>
          <t>Sample different roles, instruments, pay patterns and locations. Record exception escalation and independent review responsibilities.</t>
        </is>
      </c>
      <c r="L7" s="38" t="inlineStr">
        <is>
          <t>Targeted payroll, award/classification or salary-arrangement review, scoped to the flagged population.</t>
        </is>
      </c>
      <c r="M7" s="38" t="inlineStr">
        <is>
          <t>PAY_ASSURANCE</t>
        </is>
      </c>
      <c r="N7" s="38" t="inlineStr">
        <is>
          <t>S06;S07;S14</t>
        </is>
      </c>
      <c r="O7" s="38" t="inlineStr">
        <is>
          <t>https://www.fairwork.gov.au/pay-and-wages/minimum-wages/annualised-salaries
https://www.fairwork.gov.au/newsroom/news/offsetting-and-record-keeping-salaried-employees
https://www.fairwork.gov.au/tools-and-resources/fact-sheets/rights-and-obligations/record-keeping-pay-slips</t>
        </is>
      </c>
      <c r="P7" s="49" t="n">
        <v>3</v>
      </c>
      <c r="Q7" s="38" t="inlineStr">
        <is>
          <t>Recalculate selected ordinary and exception pay periods using actual work records. Record differences by entitlement, period and affected arrangement.</t>
        </is>
      </c>
      <c r="R7" s="38" t="inlineStr">
        <is>
          <t>Investigate the cause of each difference, extend the review where appropriate and test the next affected pay run after correction.</t>
        </is>
      </c>
      <c r="S7" s="38" t="inlineStr">
        <is>
          <t>A clean payroll report only shows that the system processed its current settings.</t>
        </is>
      </c>
      <c r="T7" s="38" t="inlineStr">
        <is>
          <t>A pay-rule change, payroll migration, discrepancy or new work pattern.</t>
        </is>
      </c>
      <c r="U7" s="38" t="inlineStr">
        <is>
          <t>PAY01;DAT01</t>
        </is>
      </c>
    </row>
    <row r="8" ht="196" customHeight="1">
      <c r="A8" s="37" t="inlineStr">
        <is>
          <t>A_PAY03</t>
        </is>
      </c>
      <c r="B8" s="37" t="inlineStr">
        <is>
          <t>PAY03</t>
        </is>
      </c>
      <c r="C8" s="37" t="inlineStr">
        <is>
          <t>Use PAY03_0 / _1 / _2 / _3 / _DK in Answer Outcomes, then apply Risk Context. Weight is not the risk rating.</t>
        </is>
      </c>
      <c r="D8" s="37" t="inlineStr">
        <is>
          <t>Check leave against the person and their circumstances</t>
        </is>
      </c>
      <c r="E8" s="37" t="inlineStr">
        <is>
          <t>Incorrect accruals or leave payments can deprive employees of entitlements and distort the business's leave liability.</t>
        </is>
      </c>
      <c r="F8" s="37" t="inlineStr">
        <is>
          <t>Reconcile a sample of leave balances and payments to ordinary hours, service and the applicable rules. Record which exceptions need specialist checking.</t>
        </is>
      </c>
      <c r="G8" s="37" t="inlineStr">
        <is>
          <t>A dated leave reconciliation against the applicable rules, with incorrect balances or payments corrected and a follow-up transaction checked. State-based and instrument-specific matters are resolved or remain clearly open.</t>
        </is>
      </c>
      <c r="H8" s="37" t="inlineStr">
        <is>
          <t>Payroll lead / owner</t>
        </is>
      </c>
      <c r="I8" s="37" t="inlineStr">
        <is>
          <t>Risk Method timing is the initial response target; actual duties and earlier events take precedence. Recheck: Changed hours, service milestones, an instrument change or a leave discrepancy.</t>
        </is>
      </c>
      <c r="J8" s="37" t="inlineStr">
        <is>
          <t>A dated role/pay register, a short sample check and an owner for exceptions can be sufficient evidence of the process.</t>
        </is>
      </c>
      <c r="K8" s="37" t="inlineStr">
        <is>
          <t>Sample different roles, instruments, pay patterns and locations. Record exception escalation and independent review responsibilities.</t>
        </is>
      </c>
      <c r="L8" s="37" t="inlineStr">
        <is>
          <t>Targeted payroll, award/classification or salary-arrangement review, scoped to the flagged population.</t>
        </is>
      </c>
      <c r="M8" s="37" t="inlineStr">
        <is>
          <t>LEAVE</t>
        </is>
      </c>
      <c r="N8" s="37" t="inlineStr">
        <is>
          <t>S14;S21;S28;S31;S39</t>
        </is>
      </c>
      <c r="O8" s="37"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P8" s="48" t="n">
        <v>3</v>
      </c>
      <c r="Q8" s="37" t="inlineStr">
        <is>
          <t>Check accrual and payment rules for relevant employment types and changes in hours or service. Reconcile opening balances and adjustments.</t>
        </is>
      </c>
      <c r="R8" s="37" t="inlineStr">
        <is>
          <t>Resolve differences, retain the calculation trail and check a later leave transaction against the corrected rule.</t>
        </is>
      </c>
      <c r="S8" s="37" t="inlineStr">
        <is>
          <t>A balance that looks plausible is not the same as a reconciled balance.</t>
        </is>
      </c>
      <c r="T8" s="37" t="inlineStr">
        <is>
          <t>Changed hours, service milestones, an instrument change or a leave discrepancy.</t>
        </is>
      </c>
      <c r="U8" s="37" t="inlineStr">
        <is>
          <t>PAY01</t>
        </is>
      </c>
    </row>
    <row r="9" ht="106" customHeight="1">
      <c r="A9" s="38" t="inlineStr">
        <is>
          <t>A_PAY04</t>
        </is>
      </c>
      <c r="B9" s="38" t="inlineStr">
        <is>
          <t>PAY04</t>
        </is>
      </c>
      <c r="C9" s="38" t="inlineStr">
        <is>
          <t>Use PAY04_0 / _1 / _2 / _3 / _DK in Answer Outcomes, then apply Risk Context. Weight is not the risk rating.</t>
        </is>
      </c>
      <c r="D9" s="38" t="inlineStr">
        <is>
          <t>Confirm super reaches the fund</t>
        </is>
      </c>
      <c r="E9" s="38" t="inlineStr">
        <is>
          <t>A contribution recorded as submitted may still be rejected or received late. Unresolved earnings or receipt exceptions need prompt checking.</t>
        </is>
      </c>
      <c r="F9" s="38" t="inlineStr">
        <is>
          <t>Trace the most recent pay cycle from earnings to fund receipt. Check rejected contributions and record the follow-up process and responsible person.</t>
        </is>
      </c>
      <c r="G9" s="38" t="inlineStr">
        <is>
          <t>A contribution reconciliation showing actual fund receipt and any missed deadline, with shortfalls, rejected payments and related obligations addressed. A subsequent cycle demonstrates timely receipt; later correction does not erase an earlier delay.</t>
        </is>
      </c>
      <c r="H9" s="38" t="inlineStr">
        <is>
          <t>Payroll lead / owner</t>
        </is>
      </c>
      <c r="I9" s="38" t="inlineStr">
        <is>
          <t>Risk Method timing is the initial response target; actual duties and earlier events take precedence. Recheck: Each pay cycle and any returned payment, changed fund or payroll change.</t>
        </is>
      </c>
      <c r="J9" s="38" t="inlineStr">
        <is>
          <t>A dated role/pay register, a short sample check and an owner for exceptions can be sufficient evidence of the process.</t>
        </is>
      </c>
      <c r="K9" s="38" t="inlineStr">
        <is>
          <t>Sample different roles, instruments, pay patterns and locations. Record exception escalation and independent review responsibilities.</t>
        </is>
      </c>
      <c r="L9" s="38" t="inlineStr">
        <is>
          <t>Targeted payroll, award/classification or salary-arrangement review, scoped to the flagged population.</t>
        </is>
      </c>
      <c r="M9" s="38" t="inlineStr">
        <is>
          <t>SUPER</t>
        </is>
      </c>
      <c r="N9" s="38" t="inlineStr">
        <is>
          <t>S05;S24</t>
        </is>
      </c>
      <c r="O9" s="38" t="inlineStr">
        <is>
          <t>https://www.ato.gov.au/businesses-and-organisations/super-for-employers/paying-super-on-payday/payment-deadlines-for-payday-super
https://www.ato.gov.au/businesses-and-organisations/super-for-employers/work-out-if-you-have-to-pay-super/super-for-independent-contractors</t>
        </is>
      </c>
      <c r="P9" s="49" t="n">
        <v>3</v>
      </c>
      <c r="Q9" s="38" t="inlineStr">
        <is>
          <t>Match the amount and employee details to the applicable earnings and contribution rules. Identify rejected, unallocated or late items.</t>
        </is>
      </c>
      <c r="R9" s="38" t="inlineStr">
        <is>
          <t>Resolve exceptions with payroll, the fund or the relevant adviser and retain receipt evidence. Check a subsequent payment cycle.</t>
        </is>
      </c>
      <c r="S9" s="38" t="inlineStr">
        <is>
          <t>Treating clearing-house submission as proof that the contribution reached the fund on time.</t>
        </is>
      </c>
      <c r="T9" s="38" t="inlineStr">
        <is>
          <t>Each pay cycle and any returned payment, changed fund or payroll change.</t>
        </is>
      </c>
      <c r="U9" s="38" t="inlineStr">
        <is>
          <t>PAY02</t>
        </is>
      </c>
    </row>
    <row r="10" ht="61" customHeight="1">
      <c r="A10" s="37" t="inlineStr">
        <is>
          <t>A_PAY05</t>
        </is>
      </c>
      <c r="B10" s="37" t="inlineStr">
        <is>
          <t>PAY05</t>
        </is>
      </c>
      <c r="C10" s="37" t="inlineStr">
        <is>
          <t>Use PAY05_0 / _1 / _2 / _3 / _DK in Answer Outcomes, then apply Risk Context. Weight is not the risk rating.</t>
        </is>
      </c>
      <c r="D10" s="37" t="inlineStr">
        <is>
          <t>Check what employees actually receive</t>
        </is>
      </c>
      <c r="E10" s="37" t="inlineStr">
        <is>
          <t>Late or incomplete payslips make payments harder to understand and can leave mandatory information missing.</t>
        </is>
      </c>
      <c r="F10" s="37" t="inlineStr">
        <is>
          <t>Inspect a payslip for each materially different pay arrangement, check issue timing and confirm employees can access it privately.</t>
        </is>
      </c>
      <c r="G10" s="37" t="inlineStr">
        <is>
          <t>A completed payslip check, required corrections issued, delivery/access confirmed and a subsequent payslip checked. Preserve the original record and how any past failure was addressed.</t>
        </is>
      </c>
      <c r="H10" s="37" t="inlineStr">
        <is>
          <t>Payroll lead / owner</t>
        </is>
      </c>
      <c r="I10" s="37" t="inlineStr">
        <is>
          <t>Risk Method timing is the initial response target; actual duties and earlier events take precedence. Recheck: Changed payslip templates, payroll systems or pay arrangements.</t>
        </is>
      </c>
      <c r="J10" s="37" t="inlineStr">
        <is>
          <t>A dated role/pay register, a short sample check and an owner for exceptions can be sufficient evidence of the process.</t>
        </is>
      </c>
      <c r="K10" s="37" t="inlineStr">
        <is>
          <t>Sample different roles, instruments, pay patterns and locations. Record exception escalation and independent review responsibilities.</t>
        </is>
      </c>
      <c r="L10" s="37" t="inlineStr">
        <is>
          <t>Targeted payroll, award/classification or salary-arrangement review, scoped to the flagged population.</t>
        </is>
      </c>
      <c r="M10" s="37" t="inlineStr">
        <is>
          <t>PAY_ASSURANCE</t>
        </is>
      </c>
      <c r="N10" s="37" t="inlineStr">
        <is>
          <t>S14</t>
        </is>
      </c>
      <c r="O10" s="37" t="inlineStr">
        <is>
          <t>https://www.fairwork.gov.au/tools-and-resources/fact-sheets/rights-and-obligations/record-keeping-pay-slips</t>
        </is>
      </c>
      <c r="P10" s="48" t="n">
        <v>2</v>
      </c>
      <c r="Q10" s="37" t="inlineStr">
        <is>
          <t>Compare issue timing and required fields against the actual payment arrangement. Correct template and delivery problems.</t>
        </is>
      </c>
      <c r="R10" s="37" t="inlineStr">
        <is>
          <t>Check the next payslip and confirm employees can access it privately, including people without routine system access.</t>
        </is>
      </c>
      <c r="S10" s="37" t="inlineStr">
        <is>
          <t>Checking one standard payslip while overlooking a different payment arrangement.</t>
        </is>
      </c>
      <c r="T10" s="37" t="inlineStr">
        <is>
          <t>Changed payslip templates, payroll systems or pay arrangements.</t>
        </is>
      </c>
      <c r="U10" s="37" t="inlineStr">
        <is>
          <t>PAY01</t>
        </is>
      </c>
    </row>
    <row r="11" ht="91" customHeight="1">
      <c r="A11" s="38" t="inlineStr">
        <is>
          <t>A_PAY06</t>
        </is>
      </c>
      <c r="B11" s="38" t="inlineStr">
        <is>
          <t>PAY06</t>
        </is>
      </c>
      <c r="C11" s="38" t="inlineStr">
        <is>
          <t>Use PAY06_0 / _1 / _2 / _3 / _DK in Answer Outcomes, then apply Risk Context. Weight is not the risk rating.</t>
        </is>
      </c>
      <c r="D11" s="38" t="inlineStr">
        <is>
          <t>Make sensitive leave safe to access</t>
        </is>
      </c>
      <c r="E11" s="38" t="inlineStr">
        <is>
          <t>Poor leave administration can disclose sensitive circumstances or prevent access to an entitlement. The assessment must never ask for the employee's story.</t>
        </is>
      </c>
      <c r="F11" s="38" t="inlineStr">
        <is>
          <t>Run a fictional leave request through your approval and payroll process. Check authorised access, the payment calculation and what appears on the payslip.</t>
        </is>
      </c>
      <c r="G11" s="38" t="inlineStr">
        <is>
          <t>A tested confidential workflow and fictional payslip, with a named contact for employees.</t>
        </is>
      </c>
      <c r="H11" s="38" t="inlineStr">
        <is>
          <t>Payroll lead / owner</t>
        </is>
      </c>
      <c r="I11" s="38" t="inlineStr">
        <is>
          <t>Risk Method timing is the initial response target; actual duties and earlier events take precedence. Recheck: A change in payroll settings, leave administrators or confidentiality controls.</t>
        </is>
      </c>
      <c r="J11" s="38" t="inlineStr">
        <is>
          <t>A dated role/pay register, a short sample check and an owner for exceptions can be sufficient evidence of the process.</t>
        </is>
      </c>
      <c r="K11" s="38" t="inlineStr">
        <is>
          <t>Sample different roles, instruments, pay patterns and locations. Record exception escalation and independent review responsibilities.</t>
        </is>
      </c>
      <c r="L11" s="38" t="inlineStr">
        <is>
          <t>Targeted payroll, award/classification or salary-arrangement review, scoped to the flagged population.</t>
        </is>
      </c>
      <c r="M11" s="38" t="inlineStr">
        <is>
          <t>SENSITIVE_LEAVE</t>
        </is>
      </c>
      <c r="N11" s="38" t="inlineStr">
        <is>
          <t>S21;S14</t>
        </is>
      </c>
      <c r="O11" s="38" t="inlineStr">
        <is>
          <t>https://www.fairwork.gov.au/tools-and-resources/fact-sheets/minimum-workplace-entitlements/family-and-domestic-violence-leave
https://www.fairwork.gov.au/tools-and-resources/fact-sheets/rights-and-obligations/record-keeping-pay-slips</t>
        </is>
      </c>
      <c r="P11" s="49" t="n">
        <v>3</v>
      </c>
      <c r="Q11" s="38" t="inlineStr">
        <is>
          <t>Give authorised staff a discreet process covering entitlement checks, payment, evidence access and the payslip treatment.</t>
        </is>
      </c>
      <c r="R11" s="38" t="inlineStr">
        <is>
          <t>Run a fictional request through the process and inspect every point where the information could be exposed.</t>
        </is>
      </c>
      <c r="S11" s="38" t="inlineStr">
        <is>
          <t>Using a detailed leave label or circulating supporting material more widely than necessary.</t>
        </is>
      </c>
      <c r="T11" s="38" t="inlineStr">
        <is>
          <t>A change in payroll settings, leave administrators or confidentiality controls.</t>
        </is>
      </c>
      <c r="U11" s="38" t="inlineStr">
        <is>
          <t>DAT02</t>
        </is>
      </c>
    </row>
    <row r="12" ht="76" customHeight="1">
      <c r="A12" s="37" t="inlineStr">
        <is>
          <t>A_CON01</t>
        </is>
      </c>
      <c r="B12" s="37" t="inlineStr">
        <is>
          <t>CON01</t>
        </is>
      </c>
      <c r="C12" s="37" t="inlineStr">
        <is>
          <t>Use CON01_0 / _1 / _2 / _3 / _DK in Answer Outcomes, then apply Risk Context. Weight is not the risk rating.</t>
        </is>
      </c>
      <c r="D12" s="37" t="inlineStr">
        <is>
          <t>Bring the written terms into line with the real job</t>
        </is>
      </c>
      <c r="E12" s="37" t="inlineStr">
        <is>
          <t>Outdated or unclear terms can create a mismatch between what was agreed, what employees expect and what payroll applies.</t>
        </is>
      </c>
      <c r="F12" s="37" t="inlineStr">
        <is>
          <t>Compare your employee list with the current contract and variation held for each person. Resolve missing or inconsistent terms through an appropriate review and agreement process.</t>
        </is>
      </c>
      <c r="G12" s="37" t="inlineStr">
        <is>
          <t>Current employment terms match the actual arrangements, required agreement and communication are recorded, and material exceptions have been resolved. A register tracks the next review; merely listing missing contracts does not close the task.</t>
        </is>
      </c>
      <c r="H12" s="37" t="inlineStr">
        <is>
          <t>Owner / HR lead</t>
        </is>
      </c>
      <c r="I12" s="37" t="inlineStr">
        <is>
          <t>Risk Method timing is the initial response target; actual duties and earlier events take precedence. Recheck: A material change in role, pay, hours or template requirements.</t>
        </is>
      </c>
      <c r="J12" s="37" t="inlineStr">
        <is>
          <t>A current terms register and a controlled set of suitable templates can be proportionate.</t>
        </is>
      </c>
      <c r="K12" s="37" t="inlineStr">
        <is>
          <t>Use controlled templates, approval limits and version/variation tracking across entities and roles.</t>
        </is>
      </c>
      <c r="L12" s="37" t="inlineStr">
        <is>
          <t>Employment terms and engagement review, with legal referral for issues outside the agreed HR advisory scope.</t>
        </is>
      </c>
      <c r="M12" s="37" t="inlineStr">
        <is>
          <t>TERMS</t>
        </is>
      </c>
      <c r="N12" s="37" t="inlineStr">
        <is>
          <t>S06;S09</t>
        </is>
      </c>
      <c r="O12" s="37" t="inlineStr">
        <is>
          <t>https://www.fairwork.gov.au/pay-and-wages/minimum-wages/annualised-salaries
https://www.fairwork.gov.au/starting-employment/types-of-employees/fixed-term-contract-employees</t>
        </is>
      </c>
      <c r="P12" s="48" t="n">
        <v>2</v>
      </c>
      <c r="Q12" s="37" t="inlineStr">
        <is>
          <t>Compare current work and pay with the recorded terms. Review the suitability of the template and any proposed changes before seeking agreement.</t>
        </is>
      </c>
      <c r="R12" s="37" t="inlineStr">
        <is>
          <t>Reconcile the final agreed terms to payroll and retain an accessible version history.</t>
        </is>
      </c>
      <c r="S12" s="37" t="inlineStr">
        <is>
          <t>Treating a signature or a long contract as proof that the terms are suitable or lawful.</t>
        </is>
      </c>
      <c r="T12" s="37" t="inlineStr">
        <is>
          <t>A material change in role, pay, hours or template requirements.</t>
        </is>
      </c>
      <c r="U12" s="37" t="inlineStr">
        <is>
          <t>PAY01</t>
        </is>
      </c>
    </row>
    <row r="13" ht="106" customHeight="1">
      <c r="A13" s="38" t="inlineStr">
        <is>
          <t>A_CON02</t>
        </is>
      </c>
      <c r="B13" s="38" t="inlineStr">
        <is>
          <t>CON02</t>
        </is>
      </c>
      <c r="C13" s="38" t="inlineStr">
        <is>
          <t>Use CON02_0 / _1 / _2 / _3 / _DK in Answer Outcomes, then apply Risk Context. Weight is not the risk rating.</t>
        </is>
      </c>
      <c r="D13" s="38" t="inlineStr">
        <is>
          <t>Review employment labels against actual arrangements</t>
        </is>
      </c>
      <c r="E13" s="38" t="inlineStr">
        <is>
          <t>An employment label that no longer matches the arrangement can result in the wrong rights, payments or decision process being applied.</t>
        </is>
      </c>
      <c r="F13" s="38" t="inlineStr">
        <is>
          <t>Compare current work patterns with recorded employment types. Investigate exceptions rather than automatically relabelling employees.</t>
        </is>
      </c>
      <c r="G13" s="38" t="inlineStr">
        <is>
          <t>Each materially different employment arrangement has a recorded assessment and any necessary changes have been agreed, implemented and checked. Keep unresolved status or entitlement questions open.</t>
        </is>
      </c>
      <c r="H13" s="38" t="inlineStr">
        <is>
          <t>Owner / HR lead</t>
        </is>
      </c>
      <c r="I13" s="38" t="inlineStr">
        <is>
          <t>Risk Method timing is the initial response target; actual duties and earlier events take precedence. Recheck: A changed pattern of work, renewal or changed engagement rules.</t>
        </is>
      </c>
      <c r="J13" s="38" t="inlineStr">
        <is>
          <t>A current terms register and a controlled set of suitable templates can be proportionate.</t>
        </is>
      </c>
      <c r="K13" s="38" t="inlineStr">
        <is>
          <t>Use controlled templates, approval limits and version/variation tracking across entities and roles.</t>
        </is>
      </c>
      <c r="L13" s="38" t="inlineStr">
        <is>
          <t>Employment terms and engagement review, with legal referral for issues outside the agreed HR advisory scope.</t>
        </is>
      </c>
      <c r="M13" s="38" t="inlineStr">
        <is>
          <t>TERMS</t>
        </is>
      </c>
      <c r="N13" s="38" t="inlineStr">
        <is>
          <t>S03;S09;S23</t>
        </is>
      </c>
      <c r="O13" s="38"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P13" s="49" t="n">
        <v>3</v>
      </c>
      <c r="Q13" s="38" t="inlineStr">
        <is>
          <t>Review the relevant engagement basis and working pattern. Use the casual, fixed-term or contractor branch where needed.</t>
        </is>
      </c>
      <c r="R13" s="38" t="inlineStr">
        <is>
          <t>Record the assessment and implement any required change through a checked process, rather than simply relabelling payroll.</t>
        </is>
      </c>
      <c r="S13" s="38" t="inlineStr">
        <is>
          <t>Keeping the original employment type indefinitely because the contract uses that label.</t>
        </is>
      </c>
      <c r="T13" s="38" t="inlineStr">
        <is>
          <t>A changed pattern of work, renewal or changed engagement rules.</t>
        </is>
      </c>
      <c r="U13" s="38" t="inlineStr">
        <is>
          <t>PAY01</t>
        </is>
      </c>
    </row>
    <row r="14" ht="76" customHeight="1">
      <c r="A14" s="37" t="inlineStr">
        <is>
          <t>A_CON03</t>
        </is>
      </c>
      <c r="B14" s="37" t="inlineStr">
        <is>
          <t>CON03</t>
        </is>
      </c>
      <c r="C14" s="37" t="inlineStr">
        <is>
          <t>Use CON03_0 / _1 / _2 / _3 / _DK in Answer Outcomes, then apply Risk Context. Weight is not the risk rating.</t>
        </is>
      </c>
      <c r="D14" s="37" t="inlineStr">
        <is>
          <t>Close the gap between agreement and implementation</t>
        </is>
      </c>
      <c r="E14" s="37" t="inlineStr">
        <is>
          <t>An agreed change can fail in practice if payroll, management and the employee hold different versions of it.</t>
        </is>
      </c>
      <c r="F14" s="37" t="inlineStr">
        <is>
          <t>Trace the most recent change from approval to employee communication, payroll and the employee file. Fix any break in the process.</t>
        </is>
      </c>
      <c r="G14" s="37" t="inlineStr">
        <is>
          <t>A complete change record with approvals, required agreement or consultation and matching payroll instructions.</t>
        </is>
      </c>
      <c r="H14" s="37" t="inlineStr">
        <is>
          <t>Owner / HR lead</t>
        </is>
      </c>
      <c r="I14" s="37" t="inlineStr">
        <is>
          <t>Risk Method timing is the initial response target; actual duties and earlier events take precedence. Recheck: Each material change to employment terms.</t>
        </is>
      </c>
      <c r="J14" s="37" t="inlineStr">
        <is>
          <t>A current terms register and a controlled set of suitable templates can be proportionate.</t>
        </is>
      </c>
      <c r="K14" s="37" t="inlineStr">
        <is>
          <t>Use controlled templates, approval limits and version/variation tracking across entities and roles.</t>
        </is>
      </c>
      <c r="L14" s="37" t="inlineStr">
        <is>
          <t>Employment terms and engagement review, with legal referral for issues outside the agreed HR advisory scope.</t>
        </is>
      </c>
      <c r="M14" s="37" t="inlineStr">
        <is>
          <t>TERMS</t>
        </is>
      </c>
      <c r="N14" s="37" t="inlineStr">
        <is>
          <t>S25;S14</t>
        </is>
      </c>
      <c r="O14" s="37" t="inlineStr">
        <is>
          <t>https://www.fairwork.gov.au/tools-and-resources/best-practice-guides/consultation-and-cooperation-in-the-workplace
https://www.fairwork.gov.au/tools-and-resources/fact-sheets/rights-and-obligations/record-keeping-pay-slips</t>
        </is>
      </c>
      <c r="P14" s="48" t="n">
        <v>2</v>
      </c>
      <c r="Q14" s="37" t="inlineStr">
        <is>
          <t>Confirm required agreement or consultation, approval authority and the effective date. Send the approved instruction to payroll and the record owner.</t>
        </is>
      </c>
      <c r="R14" s="37" t="inlineStr">
        <is>
          <t>Check the first affected roster or payment and confirm the final record reflects the change.</t>
        </is>
      </c>
      <c r="S14" s="37" t="inlineStr">
        <is>
          <t>Assuming a variation letter proves that every required step occurred.</t>
        </is>
      </c>
      <c r="T14" s="37" t="inlineStr">
        <is>
          <t>Each material change to employment terms.</t>
        </is>
      </c>
      <c r="U14" s="37" t="inlineStr">
        <is>
          <t>PAY01;CON01</t>
        </is>
      </c>
    </row>
    <row r="15" ht="91" customHeight="1">
      <c r="A15" s="38" t="inlineStr">
        <is>
          <t>A_REC01</t>
        </is>
      </c>
      <c r="B15" s="38" t="inlineStr">
        <is>
          <t>REC01</t>
        </is>
      </c>
      <c r="C15" s="38" t="inlineStr">
        <is>
          <t>Use REC01_0 / _1 / _2 / _3 / _DK in Answer Outcomes, then apply Risk Context. Weight is not the risk rating.</t>
        </is>
      </c>
      <c r="D15" s="38" t="inlineStr">
        <is>
          <t>Define the job before evaluating the person</t>
        </is>
      </c>
      <c r="E15" s="38" t="inlineStr">
        <is>
          <t>A vague role brief can produce a capable hire who is solving the wrong problem, with avoidable cost and early frustration.</t>
        </is>
      </c>
      <c r="F15" s="38" t="inlineStr">
        <is>
          <t>For your next vacancy, write the key outcomes, essential skills and responsibilities before drafting the advert or interview questions.</t>
        </is>
      </c>
      <c r="G15" s="38" t="inlineStr">
        <is>
          <t>An agreed role brief that the advert, selection criteria and initial performance goals reflect.</t>
        </is>
      </c>
      <c r="H15" s="38" t="inlineStr">
        <is>
          <t>Hiring manager</t>
        </is>
      </c>
      <c r="I15" s="38" t="inlineStr">
        <is>
          <t>Risk Method timing is the initial response target; actual duties and earlier events take precedence. Recheck: A new vacancy, changed service model or repeated early turnover.</t>
        </is>
      </c>
      <c r="J15" s="38" t="inlineStr">
        <is>
          <t>A one-page role brief and short interview record may be enough; an applicant-tracking system is not required.</t>
        </is>
      </c>
      <c r="K15" s="38" t="inlineStr">
        <is>
          <t>Use common criteria and decision records across interviewers, with monitored adjustments and data access.</t>
        </is>
      </c>
      <c r="L15" s="38" t="inlineStr">
        <is>
          <t>Role definition, selection guide and hiring-manager coaching.</t>
        </is>
      </c>
      <c r="M15" s="38" t="inlineStr">
        <is>
          <t>HIRING</t>
        </is>
      </c>
      <c r="N15" s="38" t="inlineStr">
        <is>
          <t>S01;S27</t>
        </is>
      </c>
      <c r="O15" s="38" t="inlineStr">
        <is>
          <t>https://www.abs.gov.au/statistics/standards/abs-forms-design-standards/2023/general-forms-design-principles-question-structure
https://www.fairwork.gov.au/sites/default/files/migration/711/managing-underperformance-best-practice-guide.pdf</t>
        </is>
      </c>
      <c r="P15" s="49" t="n">
        <v>2</v>
      </c>
      <c r="Q15" s="38" t="inlineStr">
        <is>
          <t>Agree the essential outcomes, requirements and boundaries with the person who will manage the role.</t>
        </is>
      </c>
      <c r="R15" s="38" t="inlineStr">
        <is>
          <t>Check that the advertisement, interview criteria and early performance expectations all use the same role brief.</t>
        </is>
      </c>
      <c r="S15" s="38" t="inlineStr">
        <is>
          <t>Writing a description around the departing employee rather than the work now required.</t>
        </is>
      </c>
      <c r="T15" s="38" t="inlineStr">
        <is>
          <t>A new vacancy, changed service model or repeated early turnover.</t>
        </is>
      </c>
      <c r="U15" s="38" t="inlineStr">
        <is>
          <t>None</t>
        </is>
      </c>
    </row>
    <row r="16" ht="106" customHeight="1">
      <c r="A16" s="37" t="inlineStr">
        <is>
          <t>A_REC02</t>
        </is>
      </c>
      <c r="B16" s="37" t="inlineStr">
        <is>
          <t>REC02</t>
        </is>
      </c>
      <c r="C16" s="37" t="inlineStr">
        <is>
          <t>Use REC02_0 / _1 / _2 / _3 / _DK in Answer Outcomes, then apply Risk Context. Weight is not the risk rating.</t>
        </is>
      </c>
      <c r="D16" s="37" t="inlineStr">
        <is>
          <t>Make the selection decision explainable</t>
        </is>
      </c>
      <c r="E16" s="37" t="inlineStr">
        <is>
          <t>Inconsistent criteria or unsupported judgements can exclude suitable candidates and make a hiring decision difficult to explain.</t>
        </is>
      </c>
      <c r="F16" s="37" t="inlineStr">
        <is>
          <t>Use a short assessment guide for the next recruitment process. Agree the criteria before interviews and record the evidence behind the recommendation.</t>
        </is>
      </c>
      <c r="G16" s="37" t="inlineStr">
        <is>
          <t>A completed selection record and an appropriate applicant-information handling process.</t>
        </is>
      </c>
      <c r="H16" s="37" t="inlineStr">
        <is>
          <t>Hiring manager</t>
        </is>
      </c>
      <c r="I16" s="37" t="inlineStr">
        <is>
          <t>Risk Method timing is the initial response target; actual duties and earlier events take precedence. Recheck: A new hiring manager, selection tool or concern about a decision.</t>
        </is>
      </c>
      <c r="J16" s="37" t="inlineStr">
        <is>
          <t>A one-page role brief and short interview record may be enough; an applicant-tracking system is not required.</t>
        </is>
      </c>
      <c r="K16" s="37" t="inlineStr">
        <is>
          <t>Use common criteria and decision records across interviewers, with monitored adjustments and data access.</t>
        </is>
      </c>
      <c r="L16" s="37" t="inlineStr">
        <is>
          <t>Role definition, selection guide and hiring-manager coaching.</t>
        </is>
      </c>
      <c r="M16" s="37" t="inlineStr">
        <is>
          <t>HIRING</t>
        </is>
      </c>
      <c r="N16" s="37" t="inlineStr">
        <is>
          <t>S01;S15</t>
        </is>
      </c>
      <c r="O16" s="37" t="inlineStr">
        <is>
          <t>https://www.abs.gov.au/statistics/standards/abs-forms-design-standards/2023/general-forms-design-principles-question-structure
https://www.oaic.gov.au/privacy/privacy-guidance-for-organisations-and-government-agencies/organisations/employee-records-exemption</t>
        </is>
      </c>
      <c r="P16" s="48" t="n">
        <v>3</v>
      </c>
      <c r="Q16" s="37" t="inlineStr">
        <is>
          <t>Agree role-related criteria, appropriate adjustments and the evidence interviewers will record. Identify conflicts of interest.</t>
        </is>
      </c>
      <c r="R16" s="37" t="inlineStr">
        <is>
          <t>Compare the decision record with the evidence for the preferred candidate and review unexplained differences between interviewers.</t>
        </is>
      </c>
      <c r="S16" s="37" t="inlineStr">
        <is>
          <t>Equating consistency with identical questions when a candidate needs an appropriate adjustment.</t>
        </is>
      </c>
      <c r="T16" s="37" t="inlineStr">
        <is>
          <t>A new hiring manager, selection tool or concern about a decision.</t>
        </is>
      </c>
      <c r="U16" s="37" t="inlineStr">
        <is>
          <t>REC01</t>
        </is>
      </c>
    </row>
    <row r="17" ht="61" customHeight="1">
      <c r="A17" s="38" t="inlineStr">
        <is>
          <t>A_REC03</t>
        </is>
      </c>
      <c r="B17" s="38" t="inlineStr">
        <is>
          <t>REC03</t>
        </is>
      </c>
      <c r="C17" s="38" t="inlineStr">
        <is>
          <t>Use REC03_0 / _1 / _2 / _3 / _DK in Answer Outcomes, then apply Risk Context. Weight is not the risk rating.</t>
        </is>
      </c>
      <c r="D17" s="38" t="inlineStr">
        <is>
          <t>Reduce surprises between offer and first day</t>
        </is>
      </c>
      <c r="E17" s="38" t="inlineStr">
        <is>
          <t>A difference between the advertised role and the actual work can undermine trust before a new employee has settled in.</t>
        </is>
      </c>
      <c r="F17" s="38" t="inlineStr">
        <is>
          <t>Compare the advert, interview discussion and offer for a recent hire. Ask where expectations could have been clearer and update the next hiring process.</t>
        </is>
      </c>
      <c r="G17" s="38" t="inlineStr">
        <is>
          <t>Consistent candidate information and a simple communication checklist.</t>
        </is>
      </c>
      <c r="H17" s="38" t="inlineStr">
        <is>
          <t>Hiring manager</t>
        </is>
      </c>
      <c r="I17" s="38" t="inlineStr">
        <is>
          <t>Risk Method timing is the initial response target; actual duties and earlier events take precedence. Recheck: Changed duties, work location or feedback from a recent starter.</t>
        </is>
      </c>
      <c r="J17" s="38" t="inlineStr">
        <is>
          <t>A one-page role brief and short interview record may be enough; an applicant-tracking system is not required.</t>
        </is>
      </c>
      <c r="K17" s="38" t="inlineStr">
        <is>
          <t>Use common criteria and decision records across interviewers, with monitored adjustments and data access.</t>
        </is>
      </c>
      <c r="L17" s="38" t="inlineStr">
        <is>
          <t>Role definition, selection guide and hiring-manager coaching.</t>
        </is>
      </c>
      <c r="M17" s="38" t="inlineStr">
        <is>
          <t>HIRING</t>
        </is>
      </c>
      <c r="N17" s="38" t="inlineStr">
        <is>
          <t>S01</t>
        </is>
      </c>
      <c r="O17" s="38" t="inlineStr">
        <is>
          <t>https://www.abs.gov.au/statistics/standards/abs-forms-design-standards/2023/general-forms-design-principles-question-structure</t>
        </is>
      </c>
      <c r="P17" s="49" t="n">
        <v>2</v>
      </c>
      <c r="Q17" s="38" t="inlineStr">
        <is>
          <t>Align the advert, interview explanation and proposed terms. Explain genuine constraints such as hours, travel and decision authority.</t>
        </is>
      </c>
      <c r="R17" s="38" t="inlineStr">
        <is>
          <t>Ask a recent starter what differed from the recruitment discussion and correct misleading or incomplete information.</t>
        </is>
      </c>
      <c r="S17" s="38" t="inlineStr">
        <is>
          <t>Presenting only the attractive aspects of the role and leaving the constraints until the offer.</t>
        </is>
      </c>
      <c r="T17" s="38" t="inlineStr">
        <is>
          <t>Changed duties, work location or feedback from a recent starter.</t>
        </is>
      </c>
      <c r="U17" s="38" t="inlineStr">
        <is>
          <t>REC01;CON01</t>
        </is>
      </c>
    </row>
    <row r="18" ht="61" customHeight="1">
      <c r="A18" s="37" t="inlineStr">
        <is>
          <t>A_ONB01</t>
        </is>
      </c>
      <c r="B18" s="37" t="inlineStr">
        <is>
          <t>ONB01</t>
        </is>
      </c>
      <c r="C18" s="37" t="inlineStr">
        <is>
          <t>Use ONB01_0 / _1 / _2 / _3 / _DK in Answer Outcomes, then apply Risk Context. Weight is not the risk rating.</t>
        </is>
      </c>
      <c r="D18" s="37" t="inlineStr">
        <is>
          <t>Verify work rights without making assumptions</t>
        </is>
      </c>
      <c r="E18" s="37" t="inlineStr">
        <is>
          <t>Without a reliable work-rights check, the business may allocate work a person is not authorised to perform. Missing evidence does not itself establish an unlawful engagement.</t>
        </is>
      </c>
      <c r="F18" s="37" t="inlineStr">
        <is>
          <t>Review right-to-work evidence for current staff, identify any conditions requiring follow-up and add the check to the pre-start process.</t>
        </is>
      </c>
      <c r="G18" s="37" t="inlineStr">
        <is>
          <t>A secure verification record and reminders for any restrictions or expiry dates that need action.</t>
        </is>
      </c>
      <c r="H18" s="37" t="inlineStr">
        <is>
          <t>Hiring manager / coordinator</t>
        </is>
      </c>
      <c r="I18" s="37" t="inlineStr">
        <is>
          <t>Risk Method timing is the initial response target; actual duties and earlier events take precedence. Recheck: Before commencement and when relevant conditions or evidence change.</t>
        </is>
      </c>
      <c r="J18" s="37" t="inlineStr">
        <is>
          <t>A short pre-start and first-week checklist with named follow-up can work well.</t>
        </is>
      </c>
      <c r="K18" s="37" t="inlineStr">
        <is>
          <t>Coordinate manager, payroll, IT and site responsibilities; sample completion and starter understanding.</t>
        </is>
      </c>
      <c r="L18" s="37" t="inlineStr">
        <is>
          <t>Practical onboarding workflow and required-information controls.</t>
        </is>
      </c>
      <c r="M18" s="37" t="inlineStr">
        <is>
          <t>START_SAFE</t>
        </is>
      </c>
      <c r="N18" s="37" t="inlineStr">
        <is>
          <t>S32</t>
        </is>
      </c>
      <c r="O18" s="37" t="inlineStr">
        <is>
          <t>https://immi.homeaffairs.gov.au/visa-conditions-subsite/Pages/Check-conditions-online-vevo.aspx</t>
        </is>
      </c>
      <c r="P18" s="48" t="n">
        <v>3</v>
      </c>
      <c r="Q18" s="37" t="inlineStr">
        <is>
          <t>Check appropriate evidence consistently and, where relevant, confirm visa conditions through an authorised process. Limit access to identity information.</t>
        </is>
      </c>
      <c r="R18" s="37" t="inlineStr">
        <is>
          <t>Set relevant expiry or condition reviews and confirm the allocation of work respects any restrictions.</t>
        </is>
      </c>
      <c r="S18" s="37" t="inlineStr">
        <is>
          <t>Making assumptions from nationality, accent or appearance, or treating an old check as permanently current.</t>
        </is>
      </c>
      <c r="T18" s="37" t="inlineStr">
        <is>
          <t>Before commencement and when relevant conditions or evidence change.</t>
        </is>
      </c>
      <c r="U18" s="37" t="inlineStr">
        <is>
          <t>DAT02</t>
        </is>
      </c>
    </row>
    <row r="19" ht="106" customHeight="1">
      <c r="A19" s="38" t="inlineStr">
        <is>
          <t>A_ONB02</t>
        </is>
      </c>
      <c r="B19" s="38" t="inlineStr">
        <is>
          <t>ONB02</t>
        </is>
      </c>
      <c r="C19" s="38" t="inlineStr">
        <is>
          <t>Use ONB02_0 / _1 / _2 / _3 / _DK in Answer Outcomes, then apply Risk Context. Weight is not the risk rating.</t>
        </is>
      </c>
      <c r="D19" s="38" t="inlineStr">
        <is>
          <t>Confirm statements are delivered, not merely stored</t>
        </is>
      </c>
      <c r="E19" s="38" t="inlineStr">
        <is>
          <t>A contract pack may not deliver every required information statement at the right time.</t>
        </is>
      </c>
      <c r="F19" s="38" t="inlineStr">
        <is>
          <t>Check a recent new starter's delivery record and link the onboarding process to the current official statement versions.</t>
        </is>
      </c>
      <c r="G19" s="38" t="inlineStr">
        <is>
          <t>An onboarding delivery record, with additional reminders where the employment type requires them.</t>
        </is>
      </c>
      <c r="H19" s="38" t="inlineStr">
        <is>
          <t>Hiring manager / coordinator</t>
        </is>
      </c>
      <c r="I19" s="38" t="inlineStr">
        <is>
          <t>Risk Method timing is the initial response target; actual duties and earlier events take precedence. Recheck: New starters and revised statement versions.</t>
        </is>
      </c>
      <c r="J19" s="38" t="inlineStr">
        <is>
          <t>A short pre-start and first-week checklist with named follow-up can work well.</t>
        </is>
      </c>
      <c r="K19" s="38" t="inlineStr">
        <is>
          <t>Coordinate manager, payroll, IT and site responsibilities; sample completion and starter understanding.</t>
        </is>
      </c>
      <c r="L19" s="38" t="inlineStr">
        <is>
          <t>Practical onboarding workflow and required-information controls.</t>
        </is>
      </c>
      <c r="M19" s="38" t="inlineStr">
        <is>
          <t>START_SAFE</t>
        </is>
      </c>
      <c r="N19" s="38" t="inlineStr">
        <is>
          <t>S04;S09;S14</t>
        </is>
      </c>
      <c r="O19" s="38"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P19" s="49" t="n">
        <v>2</v>
      </c>
      <c r="Q19" s="38" t="inlineStr">
        <is>
          <t>Identify the current statements needed for each engagement and assign responsibility for delivery and version control.</t>
        </is>
      </c>
      <c r="R19" s="38" t="inlineStr">
        <is>
          <t>Check a recent starter file for the actual version and delivery record, not merely a tick against the onboarding task.</t>
        </is>
      </c>
      <c r="S19" s="38" t="inlineStr">
        <is>
          <t>Assuming the payroll provider, recruiter or manager has already sent it.</t>
        </is>
      </c>
      <c r="T19" s="38" t="inlineStr">
        <is>
          <t>New starters and revised statement versions.</t>
        </is>
      </c>
      <c r="U19" s="38" t="inlineStr">
        <is>
          <t>CON02</t>
        </is>
      </c>
    </row>
    <row r="20" ht="91" customHeight="1">
      <c r="A20" s="37" t="inlineStr">
        <is>
          <t>A_ONB03</t>
        </is>
      </c>
      <c r="B20" s="37" t="inlineStr">
        <is>
          <t>ONB03</t>
        </is>
      </c>
      <c r="C20" s="37" t="inlineStr">
        <is>
          <t>Use ONB03_0 / _1 / _2 / _3 / _DK in Answer Outcomes, then apply Risk Context. Weight is not the risk rating.</t>
        </is>
      </c>
      <c r="D20" s="37" t="inlineStr">
        <is>
          <t>Turn induction into a supported start</t>
        </is>
      </c>
      <c r="E20" s="37" t="inlineStr">
        <is>
          <t>A completed induction checklist does not establish that a person can safely perform the work or knows when to ask for help.</t>
        </is>
      </c>
      <c r="F20" s="37" t="inlineStr">
        <is>
          <t>For the next starter, identify what they must know before working independently and who will confirm it. Schedule a first-week and early-role check-in.</t>
        </is>
      </c>
      <c r="G20" s="37" t="inlineStr">
        <is>
          <t>The new starter has completed the role-relevant induction, demonstrated the required understanding or capability and received follow-up support. Unresolved safety or capability restrictions remain active until addressed.</t>
        </is>
      </c>
      <c r="H20" s="37" t="inlineStr">
        <is>
          <t>Hiring manager / coordinator</t>
        </is>
      </c>
      <c r="I20" s="37" t="inlineStr">
        <is>
          <t>Risk Method timing is the initial response target; actual duties and earlier events take precedence. Recheck: A new starter, unfamiliar task or early incident.</t>
        </is>
      </c>
      <c r="J20" s="37" t="inlineStr">
        <is>
          <t>A short pre-start and first-week checklist with named follow-up can work well.</t>
        </is>
      </c>
      <c r="K20" s="37" t="inlineStr">
        <is>
          <t>Coordinate manager, payroll, IT and site responsibilities; sample completion and starter understanding.</t>
        </is>
      </c>
      <c r="L20" s="37" t="inlineStr">
        <is>
          <t>Practical onboarding workflow and required-information controls.</t>
        </is>
      </c>
      <c r="M20" s="37" t="inlineStr">
        <is>
          <t>START_SAFE</t>
        </is>
      </c>
      <c r="N20" s="37" t="inlineStr">
        <is>
          <t>S13;S27</t>
        </is>
      </c>
      <c r="O20" s="37" t="inlineStr">
        <is>
          <t>https://www.safeworkaustralia.gov.au/safety-topic/managing-health-and-safety/identify-assess-and-control-hazards/managing-risks
https://www.fairwork.gov.au/sites/default/files/migration/711/managing-underperformance-best-practice-guide.pdf</t>
        </is>
      </c>
      <c r="P20" s="48" t="n">
        <v>3</v>
      </c>
      <c r="Q20" s="37" t="inlineStr">
        <is>
          <t>Set role-specific learning and safety checks, a named support person and an early follow-up date.</t>
        </is>
      </c>
      <c r="R20" s="37" t="inlineStr">
        <is>
          <t>Ask the starter to explain or demonstrate critical tasks and reporting routes; address any gap before unsupported work.</t>
        </is>
      </c>
      <c r="S20" s="37" t="inlineStr">
        <is>
          <t>Treating online-module completion as sufficient evidence of practical readiness.</t>
        </is>
      </c>
      <c r="T20" s="37" t="inlineStr">
        <is>
          <t>A new starter, unfamiliar task or early incident.</t>
        </is>
      </c>
      <c r="U20" s="37" t="inlineStr">
        <is>
          <t>REC01;WHS01</t>
        </is>
      </c>
    </row>
    <row r="21" ht="166" customHeight="1">
      <c r="A21" s="38" t="inlineStr">
        <is>
          <t>A_POL01</t>
        </is>
      </c>
      <c r="B21" s="38" t="inlineStr">
        <is>
          <t>POL01</t>
        </is>
      </c>
      <c r="C21" s="38" t="inlineStr">
        <is>
          <t>Use POL01_0 / _1 / _2 / _3 / _DK in Answer Outcomes, then apply Risk Context. Weight is not the risk rating.</t>
        </is>
      </c>
      <c r="D21" s="38" t="inlineStr">
        <is>
          <t>Keep the policies that help people make the right decision</t>
        </is>
      </c>
      <c r="E21" s="38" t="inlineStr">
        <is>
          <t>Generic or inaccessible policies can leave employees and managers without a reliable guide to important decisions.</t>
        </is>
      </c>
      <c r="F21" s="38" t="inlineStr">
        <is>
          <t>Identify the decisions managers and employees regularly need to make. Check that the relevant policies are current, understandable and easy to find.</t>
        </is>
      </c>
      <c r="G21" s="38" t="inlineStr">
        <is>
          <t>A proportionate policy register with owners, current versions and accessible locations.</t>
        </is>
      </c>
      <c r="H21" s="38" t="inlineStr">
        <is>
          <t>Owner / HR lead</t>
        </is>
      </c>
      <c r="I21" s="38" t="inlineStr">
        <is>
          <t>Risk Method timing is the initial response target; actual duties and earlier events take precedence. Recheck: Changed work, law, workforce or repeated uncertainty about a process.</t>
        </is>
      </c>
      <c r="J21" s="38" t="inlineStr">
        <is>
          <t>Use concise policies addressing actual work; do not create a large handbook merely to improve the score.</t>
        </is>
      </c>
      <c r="K21" s="38" t="inlineStr">
        <is>
          <t>Control versions and confirm managers apply the same expectations and request processes across teams.</t>
        </is>
      </c>
      <c r="L21" s="38" t="inlineStr">
        <is>
          <t>Proportionate policy review and manager implementation support.</t>
        </is>
      </c>
      <c r="M21" s="38" t="inlineStr">
        <is>
          <t>POLICY</t>
        </is>
      </c>
      <c r="N21" s="38" t="inlineStr">
        <is>
          <t>S10;S13;S15</t>
        </is>
      </c>
      <c r="O21" s="38"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P21" s="49" t="n">
        <v>2</v>
      </c>
      <c r="Q21" s="38" t="inlineStr">
        <is>
          <t>Identify the small set of policies needed for the actual work and obligations. Allocate an owner and remove outdated competing versions.</t>
        </is>
      </c>
      <c r="R21" s="38" t="inlineStr">
        <is>
          <t>Test whether a worker and a manager can find the current policy and explain what they would do in a realistic situation.</t>
        </is>
      </c>
      <c r="S21" s="38" t="inlineStr">
        <is>
          <t>Measuring quality by the size of the handbook or the number of policies.</t>
        </is>
      </c>
      <c r="T21" s="38" t="inlineStr">
        <is>
          <t>Changed work, law, workforce or repeated uncertainty about a process.</t>
        </is>
      </c>
      <c r="U21" s="38" t="inlineStr">
        <is>
          <t>None</t>
        </is>
      </c>
    </row>
    <row r="22" ht="106" customHeight="1">
      <c r="A22" s="37" t="inlineStr">
        <is>
          <t>A_POL02</t>
        </is>
      </c>
      <c r="B22" s="37" t="inlineStr">
        <is>
          <t>POL02</t>
        </is>
      </c>
      <c r="C22" s="37" t="inlineStr">
        <is>
          <t>Use POL02_0 / _1 / _2 / _3 / _DK in Answer Outcomes, then apply Risk Context. Weight is not the risk rating.</t>
        </is>
      </c>
      <c r="D22" s="37" t="inlineStr">
        <is>
          <t>Check the distance between the policy and daily practice</t>
        </is>
      </c>
      <c r="E22" s="37" t="inlineStr">
        <is>
          <t>Rules applied selectively can weaken trust and leave decisions difficult to defend, including when a senior employee is involved.</t>
        </is>
      </c>
      <c r="F22" s="37" t="inlineStr">
        <is>
          <t>Choose one important policy and review a recent real example of its application. Ask an employee and manager to explain the relevant process.</t>
        </is>
      </c>
      <c r="G22" s="37" t="inlineStr">
        <is>
          <t>A practical implementation check shows that staff and managers understand the relevant expectations, use the process and handle exceptions consistently. Required guidance or process changes have been implemented and checked.</t>
        </is>
      </c>
      <c r="H22" s="37" t="inlineStr">
        <is>
          <t>Owner / HR lead</t>
        </is>
      </c>
      <c r="I22" s="37" t="inlineStr">
        <is>
          <t>Risk Method timing is the initial response target; actual duties and earlier events take precedence. Recheck: A policy change, exception or repeated manager inconsistency.</t>
        </is>
      </c>
      <c r="J22" s="37" t="inlineStr">
        <is>
          <t>Use concise policies addressing actual work; do not create a large handbook merely to improve the score.</t>
        </is>
      </c>
      <c r="K22" s="37" t="inlineStr">
        <is>
          <t>Control versions and confirm managers apply the same expectations and request processes across teams.</t>
        </is>
      </c>
      <c r="L22" s="37" t="inlineStr">
        <is>
          <t>Proportionate policy review and manager implementation support.</t>
        </is>
      </c>
      <c r="M22" s="37" t="inlineStr">
        <is>
          <t>POLICY</t>
        </is>
      </c>
      <c r="N22" s="37" t="inlineStr">
        <is>
          <t>S10;S27</t>
        </is>
      </c>
      <c r="O22"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P22" s="48" t="n">
        <v>2</v>
      </c>
      <c r="Q22" s="37" t="inlineStr">
        <is>
          <t>Explain the relevant expectations and review a small set of actual decisions or exceptions.</t>
        </is>
      </c>
      <c r="R22" s="37" t="inlineStr">
        <is>
          <t>Address unexplained variation and check later decisions for improved consistency.</t>
        </is>
      </c>
      <c r="S22" s="37" t="inlineStr">
        <is>
          <t>Treating acknowledgement of receipt as proof of understanding or practice.</t>
        </is>
      </c>
      <c r="T22" s="37" t="inlineStr">
        <is>
          <t>A policy change, exception or repeated manager inconsistency.</t>
        </is>
      </c>
      <c r="U22" s="37" t="inlineStr">
        <is>
          <t>POL01</t>
        </is>
      </c>
    </row>
    <row r="23" ht="61" customHeight="1">
      <c r="A23" s="38" t="inlineStr">
        <is>
          <t>A_POL03</t>
        </is>
      </c>
      <c r="B23" s="38" t="inlineStr">
        <is>
          <t>POL03</t>
        </is>
      </c>
      <c r="C23" s="38" t="inlineStr">
        <is>
          <t>Use POL03_0 / _1 / _2 / _3 / _DK in Answer Outcomes, then apply Risk Context. Weight is not the risk rating.</t>
        </is>
      </c>
      <c r="D23" s="38" t="inlineStr">
        <is>
          <t>Assess flexibility requests individually</t>
        </is>
      </c>
      <c r="E23" s="38" t="inlineStr">
        <is>
          <t>A request handled only through a blanket policy or manager preference may miss the employee's circumstances and the applicable process.</t>
        </is>
      </c>
      <c r="F23" s="38" t="inlineStr">
        <is>
          <t>Create a short request-and-response checklist covering eligibility, discussion, alternatives, reasons and due date. Test it against a fictional request.</t>
        </is>
      </c>
      <c r="G23" s="38" t="inlineStr">
        <is>
          <t>A tested request-handling process and, where a request exists, a documented decision and response meeting the applicable requirements. Agreed arrangements are implemented and reviewed; an unanswered request remains open.</t>
        </is>
      </c>
      <c r="H23" s="38" t="inlineStr">
        <is>
          <t>Owner / HR lead</t>
        </is>
      </c>
      <c r="I23" s="38" t="inlineStr">
        <is>
          <t>Risk Method timing is the initial response target; actual duties and earlier events take precedence. Recheck: An eligible request, changed circumstances or a proposed refusal.</t>
        </is>
      </c>
      <c r="J23" s="38" t="inlineStr">
        <is>
          <t>Use concise policies addressing actual work; do not create a large handbook merely to improve the score.</t>
        </is>
      </c>
      <c r="K23" s="38" t="inlineStr">
        <is>
          <t>Control versions and confirm managers apply the same expectations and request processes across teams.</t>
        </is>
      </c>
      <c r="L23" s="38" t="inlineStr">
        <is>
          <t>Proportionate policy review and manager implementation support.</t>
        </is>
      </c>
      <c r="M23" s="38" t="inlineStr">
        <is>
          <t>FLEXIBILITY</t>
        </is>
      </c>
      <c r="N23" s="38" t="inlineStr">
        <is>
          <t>S22</t>
        </is>
      </c>
      <c r="O23" s="38" t="inlineStr">
        <is>
          <t>https://www.fairwork.gov.au/tools-and-resources/fact-sheets/minimum-workplace-entitlements/requests-for-flexible-working-arrangements</t>
        </is>
      </c>
      <c r="P23" s="49" t="n">
        <v>3</v>
      </c>
      <c r="Q23" s="38" t="inlineStr">
        <is>
          <t>Check eligibility and the applicable rules, discuss the request and alternatives, and prepare a reasoned response.</t>
        </is>
      </c>
      <c r="R23" s="38" t="inlineStr">
        <is>
          <t>Track the response deadline and review any arrangement after implementation with the employee.</t>
        </is>
      </c>
      <c r="S23" s="38" t="inlineStr">
        <is>
          <t>Confusing a statutory flexible-work request with a discretionary work-from-home policy.</t>
        </is>
      </c>
      <c r="T23" s="38" t="inlineStr">
        <is>
          <t>An eligible request, changed circumstances or a proposed refusal.</t>
        </is>
      </c>
      <c r="U23" s="38" t="inlineStr">
        <is>
          <t>POL01</t>
        </is>
      </c>
    </row>
    <row r="24" ht="61" customHeight="1">
      <c r="A24" s="37" t="inlineStr">
        <is>
          <t>A_WHS01</t>
        </is>
      </c>
      <c r="B24" s="37" t="inlineStr">
        <is>
          <t>WHS01</t>
        </is>
      </c>
      <c r="C24" s="37" t="inlineStr">
        <is>
          <t>Use WHS01_0 / _1 / _2 / _3 / _DK in Answer Outcomes, then apply Risk Context. Weight is not the risk rating.</t>
        </is>
      </c>
      <c r="D24" s="37" t="inlineStr">
        <is>
          <t>Check the work, not only the safety documents</t>
        </is>
      </c>
      <c r="E24" s="37" t="inlineStr">
        <is>
          <t>Unidentified or ineffective controls can leave workers exposed to physical harm. The nature of the work determines the actual severity and likelihood.</t>
        </is>
      </c>
      <c r="F24" s="37" t="inlineStr">
        <is>
          <t>Review the highest-risk tasks with the people doing them. Record the hazard, control, responsible person and how effectiveness will be checked.</t>
        </is>
      </c>
      <c r="G24" s="37" t="inlineStr">
        <is>
          <t>A task-relevant risk and control record with workers' input and completed follow-up.</t>
        </is>
      </c>
      <c r="H24" s="37" t="inlineStr">
        <is>
          <t>Safety lead / owner</t>
        </is>
      </c>
      <c r="I24" s="37" t="inlineStr">
        <is>
          <t>Risk Method timing is the initial response target; actual duties and earlier events take precedence. Recheck: Changed work, equipment, location, incident or failed control.</t>
        </is>
      </c>
      <c r="J24" s="37" t="inlineStr">
        <is>
          <t>Keep a usable risk/control record and test emergency and injury contacts for the actual work.</t>
        </is>
      </c>
      <c r="K24" s="37" t="inlineStr">
        <is>
          <t>Test different tasks, locations and duty-holder interfaces; use competent specialist input where needed.</t>
        </is>
      </c>
      <c r="L24" s="37" t="inlineStr">
        <is>
          <t>HR/return-to-work coordination and referral to a competent WHS or insurance specialist where needed.</t>
        </is>
      </c>
      <c r="M24" s="37" t="inlineStr">
        <is>
          <t>SAFETY</t>
        </is>
      </c>
      <c r="N24" s="37" t="inlineStr">
        <is>
          <t>S13</t>
        </is>
      </c>
      <c r="O24" s="37" t="inlineStr">
        <is>
          <t>https://www.safeworkaustralia.gov.au/safety-topic/managing-health-and-safety/identify-assess-and-control-hazards/managing-risks</t>
        </is>
      </c>
      <c r="P24" s="48" t="n">
        <v>3</v>
      </c>
      <c r="Q24" s="37" t="inlineStr">
        <is>
          <t>Assess the priority hazards with worker input and select controls that eliminate or reduce the exposure, using competent advice where needed.</t>
        </is>
      </c>
      <c r="R24" s="37" t="inlineStr">
        <is>
          <t>Check the controls in the work itself, including unusual tasks and workers away from the main site.</t>
        </is>
      </c>
      <c r="S24" s="37" t="inlineStr">
        <is>
          <t>Replacing hazard controls with a policy, warning sign or training alone.</t>
        </is>
      </c>
      <c r="T24" s="37" t="inlineStr">
        <is>
          <t>Changed work, equipment, location, incident or failed control.</t>
        </is>
      </c>
      <c r="U24" s="37" t="inlineStr">
        <is>
          <t>None</t>
        </is>
      </c>
    </row>
    <row r="25" ht="61" customHeight="1">
      <c r="A25" s="38" t="inlineStr">
        <is>
          <t>A_WHS02</t>
        </is>
      </c>
      <c r="B25" s="38" t="inlineStr">
        <is>
          <t>WHS02</t>
        </is>
      </c>
      <c r="C25" s="38" t="inlineStr">
        <is>
          <t>Use WHS02_0 / _1 / _2 / _3 / _DK in Answer Outcomes, then apply Risk Context. Weight is not the risk rating.</t>
        </is>
      </c>
      <c r="D25" s="38" t="inlineStr">
        <is>
          <t>Test whether the emergency arrangements work</t>
        </is>
      </c>
      <c r="E25" s="38" t="inlineStr">
        <is>
          <t>A response gap may only become visible during an emergency, when there is little time to find an alternative.</t>
        </is>
      </c>
      <c r="F25" s="38" t="inlineStr">
        <is>
          <t>Check foreseeable emergencies, first-aid coverage and communication for each work setting, then run a practical walk-through and record gaps.</t>
        </is>
      </c>
      <c r="G25" s="38" t="inlineStr">
        <is>
          <t>A reviewed emergency plan and readiness check covering relevant people, shifts and locations.</t>
        </is>
      </c>
      <c r="H25" s="38" t="inlineStr">
        <is>
          <t>Safety lead / owner</t>
        </is>
      </c>
      <c r="I25" s="38" t="inlineStr">
        <is>
          <t>Risk Method timing is the initial response target; actual duties and earlier events take precedence. Recheck: Changed premises, shifts, responders or foreseeable emergency scenarios.</t>
        </is>
      </c>
      <c r="J25" s="38" t="inlineStr">
        <is>
          <t>Keep a usable risk/control record and test emergency and injury contacts for the actual work.</t>
        </is>
      </c>
      <c r="K25" s="38" t="inlineStr">
        <is>
          <t>Test different tasks, locations and duty-holder interfaces; use competent specialist input where needed.</t>
        </is>
      </c>
      <c r="L25" s="38" t="inlineStr">
        <is>
          <t>HR/return-to-work coordination and referral to a competent WHS or insurance specialist where needed.</t>
        </is>
      </c>
      <c r="M25" s="38" t="inlineStr">
        <is>
          <t>SAFETY</t>
        </is>
      </c>
      <c r="N25" s="38" t="inlineStr">
        <is>
          <t>S13</t>
        </is>
      </c>
      <c r="O25" s="38" t="inlineStr">
        <is>
          <t>https://www.safeworkaustralia.gov.au/safety-topic/managing-health-and-safety/identify-assess-and-control-hazards/managing-risks</t>
        </is>
      </c>
      <c r="P25" s="49" t="n">
        <v>3</v>
      </c>
      <c r="Q25" s="38" t="inlineStr">
        <is>
          <t>Allocate clear response roles, suitable first-aid and communication arrangements for relevant shifts and locations.</t>
        </is>
      </c>
      <c r="R25" s="38" t="inlineStr">
        <is>
          <t>Run an appropriate drill or tabletop test; correct gaps and retest the part that failed.</t>
        </is>
      </c>
      <c r="S25" s="38" t="inlineStr">
        <is>
          <t>Assuming equipment on site means responders are available and know what to do.</t>
        </is>
      </c>
      <c r="T25" s="38" t="inlineStr">
        <is>
          <t>Changed premises, shifts, responders or foreseeable emergency scenarios.</t>
        </is>
      </c>
      <c r="U25" s="38" t="inlineStr">
        <is>
          <t>WHS01</t>
        </is>
      </c>
    </row>
    <row r="26" ht="61" customHeight="1">
      <c r="A26" s="37" t="inlineStr">
        <is>
          <t>A_WHS03</t>
        </is>
      </c>
      <c r="B26" s="37" t="inlineStr">
        <is>
          <t>WHS03</t>
        </is>
      </c>
      <c r="C26" s="37" t="inlineStr">
        <is>
          <t>Use WHS03_0 / _1 / _2 / _3 / _DK in Answer Outcomes, then apply Risk Context. Weight is not the risk rating.</t>
        </is>
      </c>
      <c r="D26" s="37" t="inlineStr">
        <is>
          <t>Verify the scope of workers' compensation cover</t>
        </is>
      </c>
      <c r="E26" s="37" t="inlineStr">
        <is>
          <t>An inaccurate declaration or unsupported assumption about an exemption may leave required coverage unresolved.</t>
        </is>
      </c>
      <c r="F26" s="37" t="inlineStr">
        <is>
          <t>Ask the insurer or relevant authority to confirm the cover required for your workforce and activities. Reconcile declarations with current records.</t>
        </is>
      </c>
      <c r="G26" s="37" t="inlineStr">
        <is>
          <t>Current cover or a supported exemption assessment, with accurate declarations and a review owner.</t>
        </is>
      </c>
      <c r="H26" s="37" t="inlineStr">
        <is>
          <t>Safety lead / owner</t>
        </is>
      </c>
      <c r="I26" s="37" t="inlineStr">
        <is>
          <t>Risk Method timing is the initial response target; actual duties and earlier events take precedence. Recheck: Changed workers, activities, wages, locations or scheme requirements.</t>
        </is>
      </c>
      <c r="J26" s="37" t="inlineStr">
        <is>
          <t>Keep a usable risk/control record and test emergency and injury contacts for the actual work.</t>
        </is>
      </c>
      <c r="K26" s="37" t="inlineStr">
        <is>
          <t>Test different tasks, locations and duty-holder interfaces; use competent specialist input where needed.</t>
        </is>
      </c>
      <c r="L26" s="37" t="inlineStr">
        <is>
          <t>HR/return-to-work coordination and referral to a competent WHS or insurance specialist where needed.</t>
        </is>
      </c>
      <c r="M26" s="37" t="inlineStr">
        <is>
          <t>INJURY</t>
        </is>
      </c>
      <c r="N26" s="37" t="inlineStr">
        <is>
          <t>S38</t>
        </is>
      </c>
      <c r="O26" s="37" t="inlineStr">
        <is>
          <t>https://www.safeworkaustralia.gov.au/workers-compensation</t>
        </is>
      </c>
      <c r="P26" s="48" t="n">
        <v>3</v>
      </c>
      <c r="Q26" s="37" t="inlineStr">
        <is>
          <t>Ask the insurer, broker or scheme authority to confirm relevant workers, activities, locations and declarations, including unusual arrangements.</t>
        </is>
      </c>
      <c r="R26" s="37" t="inlineStr">
        <is>
          <t>Retain the supported coverage position and introduce a trigger for changes before the next renewal.</t>
        </is>
      </c>
      <c r="S26" s="37" t="inlineStr">
        <is>
          <t>Holding an insurance certificate without checking what activities and people it covers.</t>
        </is>
      </c>
      <c r="T26" s="37" t="inlineStr">
        <is>
          <t>Changed workers, activities, wages, locations or scheme requirements.</t>
        </is>
      </c>
      <c r="U26" s="37" t="inlineStr">
        <is>
          <t>CON02</t>
        </is>
      </c>
    </row>
    <row r="27" ht="76" customHeight="1">
      <c r="A27" s="38" t="inlineStr">
        <is>
          <t>A_WHS04</t>
        </is>
      </c>
      <c r="B27" s="38" t="inlineStr">
        <is>
          <t>WHS04</t>
        </is>
      </c>
      <c r="C27" s="38" t="inlineStr">
        <is>
          <t>Use WHS04_0 / _1 / _2 / _3 / _DK in Answer Outcomes, then apply Risk Context. Weight is not the risk rating.</t>
        </is>
      </c>
      <c r="D27" s="38" t="inlineStr">
        <is>
          <t>Clarify the handovers after an injury</t>
        </is>
      </c>
      <c r="E27" s="38" t="inlineStr">
        <is>
          <t>Delay or uncertainty after an incident can compromise immediate care, required notifications and recovery support.</t>
        </is>
      </c>
      <c r="F27" s="38" t="inlineStr">
        <is>
          <t>Walk through a fictional injury from first report to return-to-work follow-up. Confirm escalation contacts and jurisdiction-specific requirements.</t>
        </is>
      </c>
      <c r="G27" s="38" t="inlineStr">
        <is>
          <t>A tested response checklist with named responsibilities and current insurer/regulator contacts.</t>
        </is>
      </c>
      <c r="H27" s="38" t="inlineStr">
        <is>
          <t>Safety lead / owner</t>
        </is>
      </c>
      <c r="I27" s="38" t="inlineStr">
        <is>
          <t>Risk Method timing is the initial response target; actual duties and earlier events take precedence. Recheck: An incident, changed notification rules or failed handover.</t>
        </is>
      </c>
      <c r="J27" s="38" t="inlineStr">
        <is>
          <t>Keep a usable risk/control record and test emergency and injury contacts for the actual work.</t>
        </is>
      </c>
      <c r="K27" s="38" t="inlineStr">
        <is>
          <t>Test different tasks, locations and duty-holder interfaces; use competent specialist input where needed.</t>
        </is>
      </c>
      <c r="L27" s="38" t="inlineStr">
        <is>
          <t>HR/return-to-work coordination and referral to a competent WHS or insurance specialist where needed.</t>
        </is>
      </c>
      <c r="M27" s="38" t="inlineStr">
        <is>
          <t>INJURY</t>
        </is>
      </c>
      <c r="N27" s="38" t="inlineStr">
        <is>
          <t>S13;S38</t>
        </is>
      </c>
      <c r="O27" s="38" t="inlineStr">
        <is>
          <t>https://www.safeworkaustralia.gov.au/safety-topic/managing-health-and-safety/identify-assess-and-control-hazards/managing-risks
https://www.safeworkaustralia.gov.au/workers-compensation</t>
        </is>
      </c>
      <c r="P27" s="49" t="n">
        <v>3</v>
      </c>
      <c r="Q27" s="38" t="inlineStr">
        <is>
          <t>Allocate responsibility for immediate response, scheme or regulator contact, record preservation and return-to-work coordination.</t>
        </is>
      </c>
      <c r="R27" s="38" t="inlineStr">
        <is>
          <t>Walk through a realistic scenario and confirm each handover reaches the responsible person on time.</t>
        </is>
      </c>
      <c r="S27" s="38" t="inlineStr">
        <is>
          <t>Waiting for an insurer to determine every action the employer should take.</t>
        </is>
      </c>
      <c r="T27" s="38" t="inlineStr">
        <is>
          <t>An incident, changed notification rules or failed handover.</t>
        </is>
      </c>
      <c r="U27" s="38" t="inlineStr">
        <is>
          <t>WHS01;WHS03</t>
        </is>
      </c>
    </row>
    <row r="28" ht="61" customHeight="1">
      <c r="A28" s="37" t="inlineStr">
        <is>
          <t>A_PER01</t>
        </is>
      </c>
      <c r="B28" s="37" t="inlineStr">
        <is>
          <t>PER01</t>
        </is>
      </c>
      <c r="C28" s="37" t="inlineStr">
        <is>
          <t>Use PER01_0 / _1 / _2 / _3 / _DK in Answer Outcomes, then apply Risk Context. Weight is not the risk rating.</t>
        </is>
      </c>
      <c r="D28" s="37" t="inlineStr">
        <is>
          <t>Make expectations and follow-up visible</t>
        </is>
      </c>
      <c r="E28" s="37" t="inlineStr">
        <is>
          <t>Unclear expectations make it difficult to distinguish a capability gap from a problem in instructions, workload or support.</t>
        </is>
      </c>
      <c r="F28" s="37" t="inlineStr">
        <is>
          <t>Agree the most important outcomes for each role and establish a practical check-in rhythm. Record agreed actions rather than lengthy appraisal narratives.</t>
        </is>
      </c>
      <c r="G28" s="37" t="inlineStr">
        <is>
          <t>Current role goals and recent check-in notes showing feedback, support and follow-up.</t>
        </is>
      </c>
      <c r="H28" s="37" t="inlineStr">
        <is>
          <t>People manager</t>
        </is>
      </c>
      <c r="I28" s="37" t="inlineStr">
        <is>
          <t>Risk Method timing is the initial response target; actual duties and earlier events take precedence. Recheck: Changed priorities, role requirements or repeated missed expectations.</t>
        </is>
      </c>
      <c r="J28" s="37" t="inlineStr">
        <is>
          <t>Regular recorded check-ins can provide a sound process without a complex annual appraisal system.</t>
        </is>
      </c>
      <c r="K28" s="37" t="inlineStr">
        <is>
          <t>Check consistency between managers and whether evidence, support and review decisions meet agreed standards.</t>
        </is>
      </c>
      <c r="L28" s="37" t="inlineStr">
        <is>
          <t>Manager coaching and a fair performance or conduct process for the identified situation.</t>
        </is>
      </c>
      <c r="M28" s="37" t="inlineStr">
        <is>
          <t>PERFORMANCE</t>
        </is>
      </c>
      <c r="N28" s="37" t="inlineStr">
        <is>
          <t>S27</t>
        </is>
      </c>
      <c r="O28" s="37" t="inlineStr">
        <is>
          <t>https://www.fairwork.gov.au/sites/default/files/migration/711/managing-underperformance-best-practice-guide.pdf</t>
        </is>
      </c>
      <c r="P28" s="48" t="n">
        <v>2</v>
      </c>
      <c r="Q28" s="37" t="inlineStr">
        <is>
          <t>Agree a small set of expected outcomes and a regular conversation about progress, obstacles and support.</t>
        </is>
      </c>
      <c r="R28" s="37" t="inlineStr">
        <is>
          <t>Check whether agreed actions happened and whether the employee can describe what good performance looks like.</t>
        </is>
      </c>
      <c r="S28" s="37" t="inlineStr">
        <is>
          <t>Replacing useful feedback with an annual rating exercise.</t>
        </is>
      </c>
      <c r="T28" s="37" t="inlineStr">
        <is>
          <t>Changed priorities, role requirements or repeated missed expectations.</t>
        </is>
      </c>
      <c r="U28" s="37" t="inlineStr">
        <is>
          <t>REC01</t>
        </is>
      </c>
    </row>
    <row r="29" ht="76" customHeight="1">
      <c r="A29" s="38" t="inlineStr">
        <is>
          <t>A_PER02</t>
        </is>
      </c>
      <c r="B29" s="38" t="inlineStr">
        <is>
          <t>PER02</t>
        </is>
      </c>
      <c r="C29" s="38" t="inlineStr">
        <is>
          <t>Use PER02_0 / _1 / _2 / _3 / _DK in Answer Outcomes, then apply Risk Context. Weight is not the risk rating.</t>
        </is>
      </c>
      <c r="D29" s="38" t="inlineStr">
        <is>
          <t>Make probation a supported review, not a deadline scramble</t>
        </is>
      </c>
      <c r="E29" s="38" t="inlineStr">
        <is>
          <t>Late feedback can leave both the business and the employee with little chance to address a concern before a decision is due.</t>
        </is>
      </c>
      <c r="F29" s="38" t="inlineStr">
        <is>
          <t>Check upcoming review dates, the employee's goals and feedback already provided. Separate contractual dates from statutory eligibility questions.</t>
        </is>
      </c>
      <c r="G29" s="38" t="inlineStr">
        <is>
          <t>An early-review schedule and documented feedback, support and decision checks.</t>
        </is>
      </c>
      <c r="H29" s="38" t="inlineStr">
        <is>
          <t>People manager</t>
        </is>
      </c>
      <c r="I29" s="38" t="inlineStr">
        <is>
          <t>Risk Method timing is the initial response target; actual duties and earlier events take precedence. Recheck: New starters, changed probation dates or an emerging early concern.</t>
        </is>
      </c>
      <c r="J29" s="38" t="inlineStr">
        <is>
          <t>Regular recorded check-ins can provide a sound process without a complex annual appraisal system.</t>
        </is>
      </c>
      <c r="K29" s="38" t="inlineStr">
        <is>
          <t>Check consistency between managers and whether evidence, support and review decisions meet agreed standards.</t>
        </is>
      </c>
      <c r="L29" s="38" t="inlineStr">
        <is>
          <t>Manager coaching and a fair performance or conduct process for the identified situation.</t>
        </is>
      </c>
      <c r="M29" s="38" t="inlineStr">
        <is>
          <t>PERFORMANCE</t>
        </is>
      </c>
      <c r="N29" s="38" t="inlineStr">
        <is>
          <t>S26;S27</t>
        </is>
      </c>
      <c r="O29" s="38" t="inlineStr">
        <is>
          <t>https://www.fairwork.gov.au/tools-and-resources/fact-sheets/minimum-workplace-entitlements/ending-employment
https://www.fairwork.gov.au/sites/default/files/migration/711/managing-underperformance-best-practice-guide.pdf</t>
        </is>
      </c>
      <c r="P29" s="49" t="n">
        <v>2</v>
      </c>
      <c r="Q29" s="38" t="inlineStr">
        <is>
          <t>Set early progress checkpoints and record the expectations, support and actual concern as it emerges.</t>
        </is>
      </c>
      <c r="R29" s="38" t="inlineStr">
        <is>
          <t>Before a decision, check the relevant legal requirements separately from the contract's probation date.</t>
        </is>
      </c>
      <c r="S29" s="38" t="inlineStr">
        <is>
          <t>Assuming extending probation also extends statutory minimum employment periods.</t>
        </is>
      </c>
      <c r="T29" s="38" t="inlineStr">
        <is>
          <t>New starters, changed probation dates or an emerging early concern.</t>
        </is>
      </c>
      <c r="U29" s="38" t="inlineStr">
        <is>
          <t>PER01;EXT01</t>
        </is>
      </c>
    </row>
    <row r="30" ht="61" customHeight="1">
      <c r="A30" s="37" t="inlineStr">
        <is>
          <t>A_PER03</t>
        </is>
      </c>
      <c r="B30" s="37" t="inlineStr">
        <is>
          <t>PER03</t>
        </is>
      </c>
      <c r="C30" s="37" t="inlineStr">
        <is>
          <t>Use PER03_0 / _1 / _2 / _3 / _DK in Answer Outcomes, then apply Risk Context. Weight is not the risk rating.</t>
        </is>
      </c>
      <c r="D30" s="37" t="inlineStr">
        <is>
          <t>Make improvement expectations specific and fair</t>
        </is>
      </c>
      <c r="E30" s="37" t="inlineStr">
        <is>
          <t>A process without clear evidence, reasonable support or genuine review can miss the cause of a performance problem and escalate it unnecessarily.</t>
        </is>
      </c>
      <c r="F30" s="37" t="inlineStr">
        <is>
          <t>Review a recent or fictional performance concern. Check the evidence, employee response, achievable expectations, support and review dates.</t>
        </is>
      </c>
      <c r="G30" s="37" t="inlineStr">
        <is>
          <t>A proportionate performance record that shows both the concern and the employee's opportunity to improve.</t>
        </is>
      </c>
      <c r="H30" s="37" t="inlineStr">
        <is>
          <t>People manager</t>
        </is>
      </c>
      <c r="I30" s="37" t="inlineStr">
        <is>
          <t>Risk Method timing is the initial response target; actual duties and earlier events take precedence. Recheck: A sustained concern, failed support plan or proposed serious consequence.</t>
        </is>
      </c>
      <c r="J30" s="37" t="inlineStr">
        <is>
          <t>Regular recorded check-ins can provide a sound process without a complex annual appraisal system.</t>
        </is>
      </c>
      <c r="K30" s="37" t="inlineStr">
        <is>
          <t>Check consistency between managers and whether evidence, support and review decisions meet agreed standards.</t>
        </is>
      </c>
      <c r="L30" s="37" t="inlineStr">
        <is>
          <t>Manager coaching and a fair performance or conduct process for the identified situation.</t>
        </is>
      </c>
      <c r="M30" s="37" t="inlineStr">
        <is>
          <t>PERFORMANCE</t>
        </is>
      </c>
      <c r="N30" s="37" t="inlineStr">
        <is>
          <t>S27</t>
        </is>
      </c>
      <c r="O30" s="37" t="inlineStr">
        <is>
          <t>https://www.fairwork.gov.au/sites/default/files/migration/711/managing-underperformance-best-practice-guide.pdf</t>
        </is>
      </c>
      <c r="P30" s="48" t="n">
        <v>3</v>
      </c>
      <c r="Q30" s="37" t="inlineStr">
        <is>
          <t>Explain specific examples and hear the response. Separate capability, conduct, work design and adjustment issues before deciding the next step.</t>
        </is>
      </c>
      <c r="R30" s="37" t="inlineStr">
        <is>
          <t>Review the agreed improvement and support against the evidence; document a reasoned next decision.</t>
        </is>
      </c>
      <c r="S30" s="37" t="inlineStr">
        <is>
          <t>Starting with a formal warning or improvement plan before understanding the problem.</t>
        </is>
      </c>
      <c r="T30" s="37" t="inlineStr">
        <is>
          <t>A sustained concern, failed support plan or proposed serious consequence.</t>
        </is>
      </c>
      <c r="U30" s="37" t="inlineStr">
        <is>
          <t>PER01;REC01</t>
        </is>
      </c>
    </row>
    <row r="31" ht="136" customHeight="1">
      <c r="A31" s="38" t="inlineStr">
        <is>
          <t>A_PER04</t>
        </is>
      </c>
      <c r="B31" s="38" t="inlineStr">
        <is>
          <t>PER04</t>
        </is>
      </c>
      <c r="C31" s="38" t="inlineStr">
        <is>
          <t>Use PER04_0 / _1 / _2 / _3 / _DK in Answer Outcomes, then apply Risk Context. Weight is not the risk rating.</t>
        </is>
      </c>
      <c r="D31" s="38" t="inlineStr">
        <is>
          <t>Put a decision check between allegation and action</t>
        </is>
      </c>
      <c r="E31" s="38" t="inlineStr">
        <is>
          <t>A serious decision made before checking relevant facts and hearing a response can cause avoidable harm and expose the business to challenge.</t>
        </is>
      </c>
      <c r="F31" s="38" t="inlineStr">
        <is>
          <t>Define who can authorise serious action and what must be checked first. For a live matter, obtain advice before making an irreversible decision.</t>
        </is>
      </c>
      <c r="G31" s="38" t="inlineStr">
        <is>
          <t>An escalation and decision checklist that separates allegations, evidence, responses and findings.</t>
        </is>
      </c>
      <c r="H31" s="38" t="inlineStr">
        <is>
          <t>People manager</t>
        </is>
      </c>
      <c r="I31" s="38" t="inlineStr">
        <is>
          <t>Risk Method timing is the initial response target; actual duties and earlier events take precedence. Recheck: A conduct allegation, conflict of interest or proposed serious sanction.</t>
        </is>
      </c>
      <c r="J31" s="38" t="inlineStr">
        <is>
          <t>Regular recorded check-ins can provide a sound process without a complex annual appraisal system.</t>
        </is>
      </c>
      <c r="K31" s="38" t="inlineStr">
        <is>
          <t>Check consistency between managers and whether evidence, support and review decisions meet agreed standards.</t>
        </is>
      </c>
      <c r="L31" s="38" t="inlineStr">
        <is>
          <t>Manager coaching and a fair performance or conduct process for the identified situation.</t>
        </is>
      </c>
      <c r="M31" s="38" t="inlineStr">
        <is>
          <t>FAIR_DECISIONS</t>
        </is>
      </c>
      <c r="N31" s="38" t="inlineStr">
        <is>
          <t>S26;S27;S10</t>
        </is>
      </c>
      <c r="O31" s="38"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P31" s="49" t="n">
        <v>3</v>
      </c>
      <c r="Q31" s="38" t="inlineStr">
        <is>
          <t>Assign an impartial decision process, preserve relevant evidence and explain the concern and opportunity to respond.</t>
        </is>
      </c>
      <c r="R31" s="38" t="inlineStr">
        <is>
          <t>Check findings against the evidence and obtain appropriate advice before serious action; keep protective measures distinct from findings.</t>
        </is>
      </c>
      <c r="S31" s="38" t="inlineStr">
        <is>
          <t>Treating an allegation, strong suspicion or precautionary separation as a proven fact.</t>
        </is>
      </c>
      <c r="T31" s="38" t="inlineStr">
        <is>
          <t>A conduct allegation, conflict of interest or proposed serious sanction.</t>
        </is>
      </c>
      <c r="U31" s="38" t="inlineStr">
        <is>
          <t>PSY04;EXT01</t>
        </is>
      </c>
    </row>
    <row r="32" ht="61" customHeight="1">
      <c r="A32" s="37" t="inlineStr">
        <is>
          <t>A_LND01</t>
        </is>
      </c>
      <c r="B32" s="37" t="inlineStr">
        <is>
          <t>LND01</t>
        </is>
      </c>
      <c r="C32" s="37" t="inlineStr">
        <is>
          <t>Use LND01_0 / _1 / _2 / _3 / _DK in Answer Outcomes, then apply Risk Context. Weight is not the risk rating.</t>
        </is>
      </c>
      <c r="D32" s="37" t="inlineStr">
        <is>
          <t>Connect development to the work ahead</t>
        </is>
      </c>
      <c r="E32" s="37" t="inlineStr">
        <is>
          <t>Training disconnected from upcoming work can consume time without closing the capability gap that matters most.</t>
        </is>
      </c>
      <c r="F32" s="37" t="inlineStr">
        <is>
          <t>Identify the three most important changes or demands ahead. Agree the skills needed, who needs them and a practical development action.</t>
        </is>
      </c>
      <c r="G32" s="37" t="inlineStr">
        <is>
          <t>The priority skill gap has an agreed development action, responsible person and resources; the learning has been applied and reviewed against the intended work outcome. A plan alone records progress, not completion.</t>
        </is>
      </c>
      <c r="H32" s="37" t="inlineStr">
        <is>
          <t>Owner / people manager</t>
        </is>
      </c>
      <c r="I32" s="37" t="inlineStr">
        <is>
          <t>Risk Method timing is the initial response target; actual duties and earlier events take precedence. Recheck: Changed services, technology, customer requirements or key vacancies.</t>
        </is>
      </c>
      <c r="J32" s="37" t="inlineStr">
        <is>
          <t>One priority skill and one critical-task backup may be a sensible starting point.</t>
        </is>
      </c>
      <c r="K32" s="37" t="inlineStr">
        <is>
          <t>Use a role/capability view, application measures and cover for critical functions across teams.</t>
        </is>
      </c>
      <c r="L32" s="37" t="inlineStr">
        <is>
          <t>Focused capability planning, role development and critical-task cover.</t>
        </is>
      </c>
      <c r="M32" s="37" t="inlineStr">
        <is>
          <t>CAPABILITY</t>
        </is>
      </c>
      <c r="N32" s="37" t="inlineStr">
        <is>
          <t>S27</t>
        </is>
      </c>
      <c r="O32" s="37" t="inlineStr">
        <is>
          <t>https://www.fairwork.gov.au/sites/default/files/migration/711/managing-underperformance-best-practice-guide.pdf</t>
        </is>
      </c>
      <c r="P32" s="48" t="n">
        <v>2</v>
      </c>
      <c r="Q32" s="37" t="inlineStr">
        <is>
          <t>Select the priority skills needed for the next six to twelve months and assign practical learning or recruitment actions.</t>
        </is>
      </c>
      <c r="R32" s="37" t="inlineStr">
        <is>
          <t>Check whether the planned work can be delivered with the capability available, not merely whether training was booked.</t>
        </is>
      </c>
      <c r="S32" s="37" t="inlineStr">
        <is>
          <t>Building a course calendar before deciding what the business needs people to do.</t>
        </is>
      </c>
      <c r="T32" s="37" t="inlineStr">
        <is>
          <t>Changed services, technology, customer requirements or key vacancies.</t>
        </is>
      </c>
      <c r="U32" s="37" t="inlineStr">
        <is>
          <t>REC01</t>
        </is>
      </c>
    </row>
    <row r="33" ht="61" customHeight="1">
      <c r="A33" s="38" t="inlineStr">
        <is>
          <t>A_LND02</t>
        </is>
      </c>
      <c r="B33" s="38" t="inlineStr">
        <is>
          <t>LND02</t>
        </is>
      </c>
      <c r="C33" s="38" t="inlineStr">
        <is>
          <t>Use LND02_0 / _1 / _2 / _3 / _DK in Answer Outcomes, then apply Risk Context. Weight is not the risk rating.</t>
        </is>
      </c>
      <c r="D33" s="38" t="inlineStr">
        <is>
          <t>Check what changed after the training</t>
        </is>
      </c>
      <c r="E33" s="38" t="inlineStr">
        <is>
          <t>Attendance records do not show whether a person can apply a skill or whether the original problem improved.</t>
        </is>
      </c>
      <c r="F33" s="38" t="inlineStr">
        <is>
          <t>Choose a recent training activity and agree one observable result. Ask the manager and employee to review whether that result is now demonstrated.</t>
        </is>
      </c>
      <c r="G33" s="38" t="inlineStr">
        <is>
          <t>A follow-up example shows whether the intended work outcome improved, and any remaining support or corrective learning has been delivered and checked.</t>
        </is>
      </c>
      <c r="H33" s="38" t="inlineStr">
        <is>
          <t>Owner / people manager</t>
        </is>
      </c>
      <c r="I33" s="38" t="inlineStr">
        <is>
          <t>Risk Method timing is the initial response target; actual duties and earlier events take precedence. Recheck: Completion of material training or continuing errors despite training.</t>
        </is>
      </c>
      <c r="J33" s="38" t="inlineStr">
        <is>
          <t>One priority skill and one critical-task backup may be a sensible starting point.</t>
        </is>
      </c>
      <c r="K33" s="38" t="inlineStr">
        <is>
          <t>Use a role/capability view, application measures and cover for critical functions across teams.</t>
        </is>
      </c>
      <c r="L33" s="38" t="inlineStr">
        <is>
          <t>Focused capability planning, role development and critical-task cover.</t>
        </is>
      </c>
      <c r="M33" s="38" t="inlineStr">
        <is>
          <t>CAPABILITY</t>
        </is>
      </c>
      <c r="N33" s="38" t="inlineStr">
        <is>
          <t>S27</t>
        </is>
      </c>
      <c r="O33" s="38" t="inlineStr">
        <is>
          <t>https://www.fairwork.gov.au/sites/default/files/migration/711/managing-underperformance-best-practice-guide.pdf</t>
        </is>
      </c>
      <c r="P33" s="49" t="n">
        <v>2</v>
      </c>
      <c r="Q33" s="38" t="inlineStr">
        <is>
          <t>Define the intended on-the-job change and provide an opportunity, resources and feedback to practise it.</t>
        </is>
      </c>
      <c r="R33" s="38" t="inlineStr">
        <is>
          <t>Observe the task or review a work outcome after learning; adjust the support where the change has not occurred.</t>
        </is>
      </c>
      <c r="S33" s="38" t="inlineStr">
        <is>
          <t>Buying more training when the obstacle is workload, unclear expectations or missing tools.</t>
        </is>
      </c>
      <c r="T33" s="38" t="inlineStr">
        <is>
          <t>Completion of material training or continuing errors despite training.</t>
        </is>
      </c>
      <c r="U33" s="38" t="inlineStr">
        <is>
          <t>LND01;PER01</t>
        </is>
      </c>
    </row>
    <row r="34" ht="61" customHeight="1">
      <c r="A34" s="37" t="inlineStr">
        <is>
          <t>A_LND03</t>
        </is>
      </c>
      <c r="B34" s="37" t="inlineStr">
        <is>
          <t>LND03</t>
        </is>
      </c>
      <c r="C34" s="37" t="inlineStr">
        <is>
          <t>Use LND03_0 / _1 / _2 / _3 / _DK in Answer Outcomes, then apply Risk Context. Weight is not the risk rating.</t>
        </is>
      </c>
      <c r="D34" s="37" t="inlineStr">
        <is>
          <t>Reduce reliance on one person</t>
        </is>
      </c>
      <c r="E34" s="37" t="inlineStr">
        <is>
          <t>If essential work depends on one unavailable person, payroll, client delivery or approvals can stop even when the rest of the team is capable.</t>
        </is>
      </c>
      <c r="F34" s="37" t="inlineStr">
        <is>
          <t>Choose one business-critical task with no tested backup. Document the essentials and have the nominated backup perform a supervised run-through.</t>
        </is>
      </c>
      <c r="G34" s="37" t="inlineStr">
        <is>
          <t>A tested cover arrangement for priority tasks, including secure access and authorisations.</t>
        </is>
      </c>
      <c r="H34" s="37" t="inlineStr">
        <is>
          <t>Owner / people manager</t>
        </is>
      </c>
      <c r="I34" s="37" t="inlineStr">
        <is>
          <t>Risk Method timing is the initial response target; actual duties and earlier events take precedence. Recheck: Key leave, resignation, changed systems or a failed continuity test.</t>
        </is>
      </c>
      <c r="J34" s="37" t="inlineStr">
        <is>
          <t>One priority skill and one critical-task backup may be a sensible starting point.</t>
        </is>
      </c>
      <c r="K34" s="37" t="inlineStr">
        <is>
          <t>Use a role/capability view, application measures and cover for critical functions across teams.</t>
        </is>
      </c>
      <c r="L34" s="37" t="inlineStr">
        <is>
          <t>Focused capability planning, role development and critical-task cover.</t>
        </is>
      </c>
      <c r="M34" s="37" t="inlineStr">
        <is>
          <t>CAPABILITY</t>
        </is>
      </c>
      <c r="N34" s="37" t="inlineStr">
        <is>
          <t>DESIGN</t>
        </is>
      </c>
      <c r="O34" s="37" t="inlineStr"/>
      <c r="P34" s="48" t="n">
        <v>3</v>
      </c>
      <c r="Q34" s="37" t="inlineStr">
        <is>
          <t>Name a capable backup or external alternative and prepare secure, usable instructions for the critical task.</t>
        </is>
      </c>
      <c r="R34" s="37" t="inlineStr">
        <is>
          <t>Test the backup without relying on the usual person. Record what failed and retest it.</t>
        </is>
      </c>
      <c r="S34" s="37" t="inlineStr">
        <is>
          <t>Assuming the key person can write instructions after becoming unavailable, or sharing their password.</t>
        </is>
      </c>
      <c r="T34" s="37" t="inlineStr">
        <is>
          <t>Key leave, resignation, changed systems or a failed continuity test.</t>
        </is>
      </c>
      <c r="U34" s="37" t="inlineStr">
        <is>
          <t>DAT03</t>
        </is>
      </c>
    </row>
    <row r="35" ht="106" customHeight="1">
      <c r="A35" s="38" t="inlineStr">
        <is>
          <t>A_CUL01</t>
        </is>
      </c>
      <c r="B35" s="38" t="inlineStr">
        <is>
          <t>CUL01</t>
        </is>
      </c>
      <c r="C35" s="38" t="inlineStr">
        <is>
          <t>Use CUL01_0 / _1 / _2 / _3 / _DK in Answer Outcomes, then apply Risk Context. Weight is not the risk rating.</t>
        </is>
      </c>
      <c r="D35" s="38" t="inlineStr">
        <is>
          <t>Turn employee input into visible decisions</t>
        </is>
      </c>
      <c r="E35" s="38" t="inlineStr">
        <is>
          <t>Silence can hide concerns, and repeated requests for feedback without a response can discourage further input.</t>
        </is>
      </c>
      <c r="F35" s="38" t="inlineStr">
        <is>
          <t>Choose a proportionate listening method. Identify one or two priorities and tell employees what action will follow and when.</t>
        </is>
      </c>
      <c r="G35" s="38" t="inlineStr">
        <is>
          <t>Feedback has been considered, the business has communicated its response and the agreed priority action has been implemented and checked with employees. A survey or summary alone does not close the action.</t>
        </is>
      </c>
      <c r="H35" s="38" t="inlineStr">
        <is>
          <t>Business leader</t>
        </is>
      </c>
      <c r="I35" s="38" t="inlineStr">
        <is>
          <t>Risk Method timing is the initial response target; actual duties and earlier events take precedence. Recheck: Listening cycles, material change or evidence that people have stopped speaking up.</t>
        </is>
      </c>
      <c r="J35" s="38" t="inlineStr">
        <is>
          <t>Use direct conversations with a safe alternative for sensitive issues. Do not promise anonymity where individuals can be inferred.</t>
        </is>
      </c>
      <c r="K35" s="38" t="inlineStr">
        <is>
          <t>Combine employee listening with manager/site patterns and visible follow-through; protect confidentiality in small subgroups.</t>
        </is>
      </c>
      <c r="L35" s="38" t="inlineStr">
        <is>
          <t>Employee listening, retention diagnosis and accountable leadership practices.</t>
        </is>
      </c>
      <c r="M35" s="38" t="inlineStr">
        <is>
          <t>CULTURE</t>
        </is>
      </c>
      <c r="N35" s="38" t="inlineStr">
        <is>
          <t>S25;S10</t>
        </is>
      </c>
      <c r="O35" s="38"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P35" s="49" t="n">
        <v>2</v>
      </c>
      <c r="Q35" s="38" t="inlineStr">
        <is>
          <t>Choose a credible listening method appropriate to the team and explain confidentiality limitations and alternative reporting routes.</t>
        </is>
      </c>
      <c r="R35" s="38" t="inlineStr">
        <is>
          <t>Return to employees with what was heard, what will change and the reasons for decisions; check whether action addressed the issue.</t>
        </is>
      </c>
      <c r="S35" s="38" t="inlineStr">
        <is>
          <t>Promising anonymity in a small group where people can be identified.</t>
        </is>
      </c>
      <c r="T35" s="38" t="inlineStr">
        <is>
          <t>Listening cycles, material change or evidence that people have stopped speaking up.</t>
        </is>
      </c>
      <c r="U35" s="38" t="inlineStr">
        <is>
          <t>PSY04</t>
        </is>
      </c>
    </row>
    <row r="36" ht="61" customHeight="1">
      <c r="A36" s="37" t="inlineStr">
        <is>
          <t>A_CUL02</t>
        </is>
      </c>
      <c r="B36" s="37" t="inlineStr">
        <is>
          <t>CUL02</t>
        </is>
      </c>
      <c r="C36" s="37" t="inlineStr">
        <is>
          <t>Use CUL02_0 / _1 / _2 / _3 / _DK in Answer Outcomes, then apply Risk Context. Weight is not the risk rating.</t>
        </is>
      </c>
      <c r="D36" s="37" t="inlineStr">
        <is>
          <t>Look beyond the turnover percentage</t>
        </is>
      </c>
      <c r="E36" s="37" t="inlineStr">
        <is>
          <t>Waiting for resignations can make preventable causes harder to address and increase disruption in critical roles.</t>
        </is>
      </c>
      <c r="F36" s="37" t="inlineStr">
        <is>
          <t>Review recent departures and key retention concerns. Check the evidence before deciding whether pay, leadership, workload or another factor needs attention.</t>
        </is>
      </c>
      <c r="G36" s="37" t="inlineStr">
        <is>
          <t>The business has tested the main retention concerns, implemented targeted actions and reviewed subsequent feedback and departures. Do not claim a causal reduction in turnover from a short observation period.</t>
        </is>
      </c>
      <c r="H36" s="37" t="inlineStr">
        <is>
          <t>Business leader</t>
        </is>
      </c>
      <c r="I36" s="37" t="inlineStr">
        <is>
          <t>Risk Method timing is the initial response target; actual duties and earlier events take precedence. Recheck: A key-person concern, repeated departures or a changed labour market.</t>
        </is>
      </c>
      <c r="J36" s="37" t="inlineStr">
        <is>
          <t>Use direct conversations with a safe alternative for sensitive issues. Do not promise anonymity where individuals can be inferred.</t>
        </is>
      </c>
      <c r="K36" s="37" t="inlineStr">
        <is>
          <t>Combine employee listening with manager/site patterns and visible follow-through; protect confidentiality in small subgroups.</t>
        </is>
      </c>
      <c r="L36" s="37" t="inlineStr">
        <is>
          <t>Employee listening, retention diagnosis and accountable leadership practices.</t>
        </is>
      </c>
      <c r="M36" s="37" t="inlineStr">
        <is>
          <t>CULTURE</t>
        </is>
      </c>
      <c r="N36" s="37" t="inlineStr">
        <is>
          <t>DESIGN</t>
        </is>
      </c>
      <c r="O36" s="37" t="inlineStr"/>
      <c r="P36" s="48" t="n">
        <v>2</v>
      </c>
      <c r="Q36" s="37" t="inlineStr">
        <is>
          <t>Hold targeted retention conversations and compare themes with departures, workloads, manager practices and role expectations.</t>
        </is>
      </c>
      <c r="R36" s="37" t="inlineStr">
        <is>
          <t>Agree specific changes and revisit whether the reason for concern has improved.</t>
        </is>
      </c>
      <c r="S36" s="37" t="inlineStr">
        <is>
          <t>Treating every retention issue as a salary issue or relying on percentages from a very small team.</t>
        </is>
      </c>
      <c r="T36" s="37" t="inlineStr">
        <is>
          <t>A key-person concern, repeated departures or a changed labour market.</t>
        </is>
      </c>
      <c r="U36" s="37" t="inlineStr">
        <is>
          <t>CUL01;LND03</t>
        </is>
      </c>
    </row>
    <row r="37" ht="121" customHeight="1">
      <c r="A37" s="38" t="inlineStr">
        <is>
          <t>A_CUL03</t>
        </is>
      </c>
      <c r="B37" s="38" t="inlineStr">
        <is>
          <t>CUL03</t>
        </is>
      </c>
      <c r="C37" s="38" t="inlineStr">
        <is>
          <t>Use CUL03_0 / _1 / _2 / _3 / _DK in Answer Outcomes, then apply Risk Context. Weight is not the risk rating.</t>
        </is>
      </c>
      <c r="D37" s="38" t="inlineStr">
        <is>
          <t>Make recognition fair and specific</t>
        </is>
      </c>
      <c r="E37" s="38" t="inlineStr">
        <is>
          <t>Inconsistent recognition can leave useful contributions overlooked and make access to development feel arbitrary.</t>
        </is>
      </c>
      <c r="F37" s="38" t="inlineStr">
        <is>
          <t>Review who received recognition or development opportunities recently and why. Address gaps and explain the criteria managers should use.</t>
        </is>
      </c>
      <c r="G37" s="38" t="inlineStr">
        <is>
          <t>Recognition and development decisions have been checked for consistency and access, identified barriers have been addressed, and a later example shows the revised approach in use.</t>
        </is>
      </c>
      <c r="H37" s="38" t="inlineStr">
        <is>
          <t>Business leader</t>
        </is>
      </c>
      <c r="I37" s="38" t="inlineStr">
        <is>
          <t>Risk Method timing is the initial response target; actual duties and earlier events take precedence. Recheck: Recognition cycles or concerns about unequal access to opportunities.</t>
        </is>
      </c>
      <c r="J37" s="38" t="inlineStr">
        <is>
          <t>Use direct conversations with a safe alternative for sensitive issues. Do not promise anonymity where individuals can be inferred.</t>
        </is>
      </c>
      <c r="K37" s="38" t="inlineStr">
        <is>
          <t>Combine employee listening with manager/site patterns and visible follow-through; protect confidentiality in small subgroups.</t>
        </is>
      </c>
      <c r="L37" s="38" t="inlineStr">
        <is>
          <t>Employee listening, retention diagnosis and accountable leadership practices.</t>
        </is>
      </c>
      <c r="M37" s="38" t="inlineStr">
        <is>
          <t>CULTURE</t>
        </is>
      </c>
      <c r="N37" s="38" t="inlineStr">
        <is>
          <t>S10;S11</t>
        </is>
      </c>
      <c r="O37"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P37" s="49" t="n">
        <v>1</v>
      </c>
      <c r="Q37" s="38" t="inlineStr">
        <is>
          <t>Agree simple, explainable criteria for recognition and opportunity; check whose work is less visible because of role, location or hours.</t>
        </is>
      </c>
      <c r="R37" s="38" t="inlineStr">
        <is>
          <t>Review a later allocation for fairness and ask whether the recognition was meaningful.</t>
        </is>
      </c>
      <c r="S37" s="38" t="inlineStr">
        <is>
          <t>Using social-event participation or personal visibility as a proxy for contribution.</t>
        </is>
      </c>
      <c r="T37" s="38" t="inlineStr">
        <is>
          <t>Recognition cycles or concerns about unequal access to opportunities.</t>
        </is>
      </c>
      <c r="U37" s="38" t="inlineStr">
        <is>
          <t>CUL01</t>
        </is>
      </c>
    </row>
    <row r="38" ht="106" customHeight="1">
      <c r="A38" s="37" t="inlineStr">
        <is>
          <t>A_CUL04</t>
        </is>
      </c>
      <c r="B38" s="37" t="inlineStr">
        <is>
          <t>CUL04</t>
        </is>
      </c>
      <c r="C38" s="37" t="inlineStr">
        <is>
          <t>Use CUL04_0 / _1 / _2 / _3 / _DK in Answer Outcomes, then apply Risk Context. Weight is not the risk rating.</t>
        </is>
      </c>
      <c r="D38" s="37" t="inlineStr">
        <is>
          <t>Make leadership behaviour part of performance</t>
        </is>
      </c>
      <c r="E38" s="37" t="inlineStr">
        <is>
          <t>A leader who delivers operational results can still create unresolved people problems unless behaviour is reviewed separately.</t>
        </is>
      </c>
      <c r="F38" s="37" t="inlineStr">
        <is>
          <t>Agree a small set of observable management expectations and a way to review them using more than the leader's own account.</t>
        </is>
      </c>
      <c r="G38" s="37" t="inlineStr">
        <is>
          <t>People-leadership expectations and support are clear, and a sample of real decisions demonstrates their use. Inconsistent behaviour is addressed and followed up, not simply recorded in a leadership document.</t>
        </is>
      </c>
      <c r="H38" s="37" t="inlineStr">
        <is>
          <t>Business leader</t>
        </is>
      </c>
      <c r="I38" s="37" t="inlineStr">
        <is>
          <t>Risk Method timing is the initial response target; actual duties and earlier events take precedence. Recheck: Repeated team concerns, a new leader or a performance review.</t>
        </is>
      </c>
      <c r="J38" s="37" t="inlineStr">
        <is>
          <t>Use direct conversations with a safe alternative for sensitive issues. Do not promise anonymity where individuals can be inferred.</t>
        </is>
      </c>
      <c r="K38" s="37" t="inlineStr">
        <is>
          <t>Combine employee listening with manager/site patterns and visible follow-through; protect confidentiality in small subgroups.</t>
        </is>
      </c>
      <c r="L38" s="37" t="inlineStr">
        <is>
          <t>Employee listening, retention diagnosis and accountable leadership practices.</t>
        </is>
      </c>
      <c r="M38" s="37" t="inlineStr">
        <is>
          <t>LEADERSHIP</t>
        </is>
      </c>
      <c r="N38" s="37" t="inlineStr">
        <is>
          <t>S10;S27</t>
        </is>
      </c>
      <c r="O38"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P38" s="48" t="n">
        <v>2</v>
      </c>
      <c r="Q38" s="37" t="inlineStr">
        <is>
          <t>Set observable expectations for feedback, decisions, respectful conduct and follow-through, with support to meet them.</t>
        </is>
      </c>
      <c r="R38" s="37" t="inlineStr">
        <is>
          <t>Review actual examples and employee input, and address recurring concerns even where commercial results are strong.</t>
        </is>
      </c>
      <c r="S38" s="37" t="inlineStr">
        <is>
          <t>Rewarding outcomes while overlooking the conduct used to achieve them.</t>
        </is>
      </c>
      <c r="T38" s="37" t="inlineStr">
        <is>
          <t>Repeated team concerns, a new leader or a performance review.</t>
        </is>
      </c>
      <c r="U38" s="37" t="inlineStr">
        <is>
          <t>CUL01;PER01</t>
        </is>
      </c>
    </row>
    <row r="39" ht="76" customHeight="1">
      <c r="A39" s="38" t="inlineStr">
        <is>
          <t>A_DAT01</t>
        </is>
      </c>
      <c r="B39" s="38" t="inlineStr">
        <is>
          <t>DAT01</t>
        </is>
      </c>
      <c r="C39" s="38" t="inlineStr">
        <is>
          <t>Use DAT01_0 / _1 / _2 / _3 / _DK in Answer Outcomes, then apply Risk Context. Weight is not the risk rating.</t>
        </is>
      </c>
      <c r="D39" s="38" t="inlineStr">
        <is>
          <t>Make the pay decision traceable</t>
        </is>
      </c>
      <c r="E39" s="38" t="inlineStr">
        <is>
          <t>Missing source records make it harder to establish what work was performed and whether entitlements were paid correctly.</t>
        </is>
      </c>
      <c r="F39" s="38" t="inlineStr">
        <is>
          <t>Choose a recent pay period and reconstruct one ordinary and one exception payment from source records. Identify missing records and fix the capture process.</t>
        </is>
      </c>
      <c r="G39" s="38" t="inlineStr">
        <is>
          <t>A reproducible pay trail, retention rules and records of corrections rather than unexplained changes.</t>
        </is>
      </c>
      <c r="H39" s="38" t="inlineStr">
        <is>
          <t>Payroll / systems lead</t>
        </is>
      </c>
      <c r="I39" s="38" t="inlineStr">
        <is>
          <t>Risk Method timing is the initial response target; actual duties and earlier events take precedence. Recheck: A discrepancy, record-system change or missing source record.</t>
        </is>
      </c>
      <c r="J39" s="38" t="inlineStr">
        <is>
          <t>A secure, organised repository with controlled access and tested recovery can be sufficient; a particular HR system is not required.</t>
        </is>
      </c>
      <c r="K39" s="38" t="inlineStr">
        <is>
          <t>Review role-based access, supplier arrangements, retention, logs and recovery across the employee lifecycle.</t>
        </is>
      </c>
      <c r="L39" s="38" t="inlineStr">
        <is>
          <t>Employment-record process review and coordination with privacy/cyber specialists where necessary.</t>
        </is>
      </c>
      <c r="M39" s="38" t="inlineStr">
        <is>
          <t>PAY_ASSURANCE</t>
        </is>
      </c>
      <c r="N39" s="38" t="inlineStr">
        <is>
          <t>S14;S07</t>
        </is>
      </c>
      <c r="O39" s="38" t="inlineStr">
        <is>
          <t>https://www.fairwork.gov.au/tools-and-resources/fact-sheets/rights-and-obligations/record-keeping-pay-slips
https://www.fairwork.gov.au/newsroom/news/offsetting-and-record-keeping-salaried-employees</t>
        </is>
      </c>
      <c r="P39" s="49" t="n">
        <v>3</v>
      </c>
      <c r="Q39" s="38" t="inlineStr">
        <is>
          <t>Identify missing records and improve capture, retention and correction controls without retrospectively inventing evidence.</t>
        </is>
      </c>
      <c r="R39" s="38" t="inlineStr">
        <is>
          <t>Repeat the reconstruction using an ordinary and an exception payment and confirm another authorised person can follow it.</t>
        </is>
      </c>
      <c r="S39" s="38" t="inlineStr">
        <is>
          <t>Treating the roster or payroll output as the complete record of actual work.</t>
        </is>
      </c>
      <c r="T39" s="38" t="inlineStr">
        <is>
          <t>A discrepancy, record-system change or missing source record.</t>
        </is>
      </c>
      <c r="U39" s="38" t="inlineStr">
        <is>
          <t>PAY01</t>
        </is>
      </c>
    </row>
    <row r="40" ht="121" customHeight="1">
      <c r="A40" s="37" t="inlineStr">
        <is>
          <t>A_DAT02</t>
        </is>
      </c>
      <c r="B40" s="37" t="inlineStr">
        <is>
          <t>DAT02</t>
        </is>
      </c>
      <c r="C40" s="37" t="inlineStr">
        <is>
          <t>Use DAT02_0 / _1 / _2 / _3 / _DK in Answer Outcomes, then apply Risk Context. Weight is not the risk rating.</t>
        </is>
      </c>
      <c r="D40" s="37" t="inlineStr">
        <is>
          <t>Protect information across the whole process</t>
        </is>
      </c>
      <c r="E40" s="37" t="inlineStr">
        <is>
          <t>Excessive access or uncontrolled sharing can expose sensitive information, including material held outside the main HR system.</t>
        </is>
      </c>
      <c r="F40" s="37" t="inlineStr">
        <is>
          <t>Map where employee and applicant information is held and shared. Remove unnecessary access and check the basis for collection, use and retention.</t>
        </is>
      </c>
      <c r="G40" s="37" t="inlineStr">
        <is>
          <t>The information-handling and access review is complete, unnecessary access has been removed, applicable privacy and retention requirements are mapped and priority safeguards work in practice. An unresolved exposure stays open.</t>
        </is>
      </c>
      <c r="H40" s="37" t="inlineStr">
        <is>
          <t>Payroll / systems lead</t>
        </is>
      </c>
      <c r="I40" s="37" t="inlineStr">
        <is>
          <t>Risk Method timing is the initial response target; actual duties and earlier events take precedence. Recheck: New systems or providers, access changes or suspected disclosure.</t>
        </is>
      </c>
      <c r="J40" s="37" t="inlineStr">
        <is>
          <t>A secure, organised repository with controlled access and tested recovery can be sufficient; a particular HR system is not required.</t>
        </is>
      </c>
      <c r="K40" s="37" t="inlineStr">
        <is>
          <t>Review role-based access, supplier arrangements, retention, logs and recovery across the employee lifecycle.</t>
        </is>
      </c>
      <c r="L40" s="37" t="inlineStr">
        <is>
          <t>Employment-record process review and coordination with privacy/cyber specialists where necessary.</t>
        </is>
      </c>
      <c r="M40" s="37" t="inlineStr">
        <is>
          <t>INFORMATION</t>
        </is>
      </c>
      <c r="N40" s="37" t="inlineStr">
        <is>
          <t>S15;S16;S17</t>
        </is>
      </c>
      <c r="O40"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P40" s="48" t="n">
        <v>3</v>
      </c>
      <c r="Q40" s="37" t="inlineStr">
        <is>
          <t>Map collection, storage, sharing and providers. Restrict unnecessary access and check applicable privacy, retention and incident requirements.</t>
        </is>
      </c>
      <c r="R40" s="37" t="inlineStr">
        <is>
          <t>Test a representative information flow and remove unnecessary copies or access through a controlled process, subject to retention and preservation requirements.</t>
        </is>
      </c>
      <c r="S40" s="37" t="inlineStr">
        <is>
          <t>Assuming the employee-records exemption covers applicants, external providers and every use of staff data.</t>
        </is>
      </c>
      <c r="T40" s="37" t="inlineStr">
        <is>
          <t>New systems or providers, access changes or suspected disclosure.</t>
        </is>
      </c>
      <c r="U40" s="37" t="inlineStr">
        <is>
          <t>None</t>
        </is>
      </c>
    </row>
    <row r="41" ht="91" customHeight="1">
      <c r="A41" s="38" t="inlineStr">
        <is>
          <t>A_DAT03</t>
        </is>
      </c>
      <c r="B41" s="38" t="inlineStr">
        <is>
          <t>DAT03</t>
        </is>
      </c>
      <c r="C41" s="38" t="inlineStr">
        <is>
          <t>Use DAT03_0 / _1 / _2 / _3 / _DK in Answer Outcomes, then apply Risk Context. Weight is not the risk rating.</t>
        </is>
      </c>
      <c r="D41" s="38" t="inlineStr">
        <is>
          <t>Test retrieval before you need it</t>
        </is>
      </c>
      <c r="E41" s="38" t="inlineStr">
        <is>
          <t>A backup that cannot be retrieved by an authorised person may fail when the usual administrator or system is unavailable.</t>
        </is>
      </c>
      <c r="F41" s="38" t="inlineStr">
        <is>
          <t>Ask an authorised backup person to retrieve a defined set of current records without the usual administrator's assistance. Record and fix any gaps.</t>
        </is>
      </c>
      <c r="G41" s="38" t="inlineStr">
        <is>
          <t>A successful retrieval test, secure access arrangements and a record owner.</t>
        </is>
      </c>
      <c r="H41" s="38" t="inlineStr">
        <is>
          <t>Payroll / systems lead</t>
        </is>
      </c>
      <c r="I41" s="38" t="inlineStr">
        <is>
          <t>Risk Method timing is the initial response target; actual duties and earlier events take precedence. Recheck: System changes, administrator absence or a failed recovery test.</t>
        </is>
      </c>
      <c r="J41" s="38" t="inlineStr">
        <is>
          <t>A secure, organised repository with controlled access and tested recovery can be sufficient; a particular HR system is not required.</t>
        </is>
      </c>
      <c r="K41" s="38" t="inlineStr">
        <is>
          <t>Review role-based access, supplier arrangements, retention, logs and recovery across the employee lifecycle.</t>
        </is>
      </c>
      <c r="L41" s="38" t="inlineStr">
        <is>
          <t>Employment-record process review and coordination with privacy/cyber specialists where necessary.</t>
        </is>
      </c>
      <c r="M41" s="38" t="inlineStr">
        <is>
          <t>INFORMATION</t>
        </is>
      </c>
      <c r="N41" s="38" t="inlineStr">
        <is>
          <t>S14;S15</t>
        </is>
      </c>
      <c r="O41" s="38" t="inlineStr">
        <is>
          <t>https://www.fairwork.gov.au/tools-and-resources/fact-sheets/rights-and-obligations/record-keeping-pay-slips
https://www.oaic.gov.au/privacy/privacy-guidance-for-organisations-and-government-agencies/organisations/employee-records-exemption</t>
        </is>
      </c>
      <c r="P41" s="49" t="n">
        <v>3</v>
      </c>
      <c r="Q41" s="38" t="inlineStr">
        <is>
          <t>Arrange controlled backup access, current exports or recovery methods and clear ownership.</t>
        </is>
      </c>
      <c r="R41" s="38" t="inlineStr">
        <is>
          <t>Run a retrieval test using a defined set of essential records and verify completeness and current versions.</t>
        </is>
      </c>
      <c r="S41" s="38" t="inlineStr">
        <is>
          <t>Sharing passwords or assuming a supplier will provide a usable export immediately.</t>
        </is>
      </c>
      <c r="T41" s="38" t="inlineStr">
        <is>
          <t>System changes, administrator absence or a failed recovery test.</t>
        </is>
      </c>
      <c r="U41" s="38" t="inlineStr">
        <is>
          <t>DAT02</t>
        </is>
      </c>
    </row>
    <row r="42" ht="61" customHeight="1">
      <c r="A42" s="37" t="inlineStr">
        <is>
          <t>A_EXT01</t>
        </is>
      </c>
      <c r="B42" s="37" t="inlineStr">
        <is>
          <t>EXT01</t>
        </is>
      </c>
      <c r="C42" s="37" t="inlineStr">
        <is>
          <t>Use EXT01_0 / _1 / _2 / _3 / _DK in Answer Outcomes, then apply Risk Context. Weight is not the risk rating.</t>
        </is>
      </c>
      <c r="D42" s="37" t="inlineStr">
        <is>
          <t>Review the decision before it becomes irreversible</t>
        </is>
      </c>
      <c r="E42" s="37" t="inlineStr">
        <is>
          <t>A decision can be difficult to reverse once communicated. A probation clause or notice payment does not resolve every legal protection or process requirement.</t>
        </is>
      </c>
      <c r="F42" s="37" t="inlineStr">
        <is>
          <t>Use a pre-decision review covering the reason, evidence, employee response, protected circumstances, alternatives and required procedure. Obtain advice for a live high-risk matter.</t>
        </is>
      </c>
      <c r="G42" s="37" t="inlineStr">
        <is>
          <t>A dated decision record with the applicable checks and approvals, prepared before the decision is communicated.</t>
        </is>
      </c>
      <c r="H42" s="37" t="inlineStr">
        <is>
          <t>Owner / HR lead</t>
        </is>
      </c>
      <c r="I42" s="37" t="inlineStr">
        <is>
          <t>Risk Method timing is the initial response target; actual duties and earlier events take precedence. Recheck: Any proposed employer-initiated termination or disputed exit.</t>
        </is>
      </c>
      <c r="J42" s="37" t="inlineStr">
        <is>
          <t>A short pre-decision and departure checklist with advice for a live high-risk matter can be proportionate.</t>
        </is>
      </c>
      <c r="K42" s="37" t="inlineStr">
        <is>
          <t>Separate decision approval, payroll checking, system access and handover ownership; test that the handovers work.</t>
        </is>
      </c>
      <c r="L42" s="37" t="inlineStr">
        <is>
          <t>Pre-decision HR review, final-pay coordination and legal referral where the matter requires it.</t>
        </is>
      </c>
      <c r="M42" s="37" t="inlineStr">
        <is>
          <t>FAIR_DECISIONS</t>
        </is>
      </c>
      <c r="N42" s="37" t="inlineStr">
        <is>
          <t>S02;S26</t>
        </is>
      </c>
      <c r="O42" s="37" t="inlineStr">
        <is>
          <t>https://www.fairwork.gov.au/taxonomy/term/527
https://www.fairwork.gov.au/tools-and-resources/fact-sheets/minimum-workplace-entitlements/ending-employment</t>
        </is>
      </c>
      <c r="P42" s="48" t="n">
        <v>3</v>
      </c>
      <c r="Q42" s="37" t="inlineStr">
        <is>
          <t>Check the reason, relevant facts, response opportunity, protected circumstances and available alternatives before approving the decision.</t>
        </is>
      </c>
      <c r="R42" s="37" t="inlineStr">
        <is>
          <t>Have an appropriate reviewer test the reasoning and required process before communication, particularly for a live or contested matter.</t>
        </is>
      </c>
      <c r="S42" s="37" t="inlineStr">
        <is>
          <t>Choosing the exit outcome first and assembling the justification afterwards.</t>
        </is>
      </c>
      <c r="T42" s="37" t="inlineStr">
        <is>
          <t>Any proposed employer-initiated termination or disputed exit.</t>
        </is>
      </c>
      <c r="U42" s="37" t="inlineStr">
        <is>
          <t>None</t>
        </is>
      </c>
    </row>
    <row r="43" ht="106" customHeight="1">
      <c r="A43" s="38" t="inlineStr">
        <is>
          <t>A_EXT02</t>
        </is>
      </c>
      <c r="B43" s="38" t="inlineStr">
        <is>
          <t>EXT02</t>
        </is>
      </c>
      <c r="C43" s="38" t="inlineStr">
        <is>
          <t>Use EXT02_0 / _1 / _2 / _3 / _DK in Answer Outcomes, then apply Risk Context. Weight is not the risk rating.</t>
        </is>
      </c>
      <c r="D43" s="38" t="inlineStr">
        <is>
          <t>Check final pay as a separate transaction</t>
        </is>
      </c>
      <c r="E43" s="38" t="inlineStr">
        <is>
          <t>Final pay can include rules and entitlements that do not appear in ordinary payroll and should be checked as a separate transaction.</t>
        </is>
      </c>
      <c r="F43" s="38" t="inlineStr">
        <is>
          <t>Use an exit payment checklist and independently review unusual notice, leave, redundancy or deduction items before processing.</t>
        </is>
      </c>
      <c r="G43" s="38" t="inlineStr">
        <is>
          <t>A completed final-pay calculation and review, with written employment documentation.</t>
        </is>
      </c>
      <c r="H43" s="38" t="inlineStr">
        <is>
          <t>Owner / HR lead</t>
        </is>
      </c>
      <c r="I43" s="38" t="inlineStr">
        <is>
          <t>Risk Method timing is the initial response target; actual duties and earlier events take precedence. Recheck: Every departure and any unusual exit payment.</t>
        </is>
      </c>
      <c r="J43" s="38" t="inlineStr">
        <is>
          <t>A short pre-decision and departure checklist with advice for a live high-risk matter can be proportionate.</t>
        </is>
      </c>
      <c r="K43" s="38" t="inlineStr">
        <is>
          <t>Separate decision approval, payroll checking, system access and handover ownership; test that the handovers work.</t>
        </is>
      </c>
      <c r="L43" s="38" t="inlineStr">
        <is>
          <t>Pre-decision HR review, final-pay coordination and legal referral where the matter requires it.</t>
        </is>
      </c>
      <c r="M43" s="38" t="inlineStr">
        <is>
          <t>EXIT</t>
        </is>
      </c>
      <c r="N43" s="38" t="inlineStr">
        <is>
          <t>S26;S08;S14</t>
        </is>
      </c>
      <c r="O43" s="38" t="inlineStr">
        <is>
          <t>https://www.fairwork.gov.au/tools-and-resources/fact-sheets/minimum-workplace-entitlements/ending-employment
https://www.fairwork.gov.au/pay-and-wages/deductions-and-related-issues/deducting-pay
https://www.fairwork.gov.au/tools-and-resources/fact-sheets/rights-and-obligations/record-keeping-pay-slips</t>
        </is>
      </c>
      <c r="P43" s="49" t="n">
        <v>3</v>
      </c>
      <c r="Q43" s="38" t="inlineStr">
        <is>
          <t>Reconcile notice, leave, redundancy where relevant, deductions and timing against the actual exit circumstances.</t>
        </is>
      </c>
      <c r="R43" s="38" t="inlineStr">
        <is>
          <t>Retain the calculation, appropriate review and payment record; check that employment documentation matches the decision.</t>
        </is>
      </c>
      <c r="S43" s="38" t="inlineStr">
        <is>
          <t>Holding back final pay because equipment has not been returned without checking the lawful basis.</t>
        </is>
      </c>
      <c r="T43" s="38" t="inlineStr">
        <is>
          <t>Every departure and any unusual exit payment.</t>
        </is>
      </c>
      <c r="U43" s="38" t="inlineStr">
        <is>
          <t>PAY01;PAY03;EXT01</t>
        </is>
      </c>
    </row>
    <row r="44" ht="121" customHeight="1">
      <c r="A44" s="37" t="inlineStr">
        <is>
          <t>A_EXT03</t>
        </is>
      </c>
      <c r="B44" s="37" t="inlineStr">
        <is>
          <t>EXT03</t>
        </is>
      </c>
      <c r="C44" s="37" t="inlineStr">
        <is>
          <t>Use EXT03_0 / _1 / _2 / _3 / _DK in Answer Outcomes, then apply Risk Context. Weight is not the risk rating.</t>
        </is>
      </c>
      <c r="D44" s="37" t="inlineStr">
        <is>
          <t>Close the operational gaps in an exit</t>
        </is>
      </c>
      <c r="E44" s="37" t="inlineStr">
        <is>
          <t>Late or incomplete offboarding can leave information accessible and essential work without an owner.</t>
        </is>
      </c>
      <c r="F44" s="37" t="inlineStr">
        <is>
          <t>Review your most recent exit against a short offboarding checklist, including systems outside the main HR platform.</t>
        </is>
      </c>
      <c r="G44" s="37" t="inlineStr">
        <is>
          <t>A completed offboarding record showing access, property, handover and record retention.</t>
        </is>
      </c>
      <c r="H44" s="37" t="inlineStr">
        <is>
          <t>Owner / HR lead</t>
        </is>
      </c>
      <c r="I44" s="37" t="inlineStr">
        <is>
          <t>Risk Method timing is the initial response target; actual duties and earlier events take precedence. Recheck: Any departure, particularly one involving privileged system access.</t>
        </is>
      </c>
      <c r="J44" s="37" t="inlineStr">
        <is>
          <t>A short pre-decision and departure checklist with advice for a live high-risk matter can be proportionate.</t>
        </is>
      </c>
      <c r="K44" s="37" t="inlineStr">
        <is>
          <t>Separate decision approval, payroll checking, system access and handover ownership; test that the handovers work.</t>
        </is>
      </c>
      <c r="L44" s="37" t="inlineStr">
        <is>
          <t>Pre-decision HR review, final-pay coordination and legal referral where the matter requires it.</t>
        </is>
      </c>
      <c r="M44" s="37" t="inlineStr">
        <is>
          <t>EXIT</t>
        </is>
      </c>
      <c r="N44" s="37" t="inlineStr">
        <is>
          <t>S14;S15;S08</t>
        </is>
      </c>
      <c r="O44" s="37"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P44" s="48" t="n">
        <v>3</v>
      </c>
      <c r="Q44" s="37" t="inlineStr">
        <is>
          <t>Coordinate access changes, record preservation, property and work handover with the actual departure circumstances.</t>
        </is>
      </c>
      <c r="R44" s="37" t="inlineStr">
        <is>
          <t>Confirm completion with systems and work owners, and test that essential information remains accessible to authorised staff.</t>
        </is>
      </c>
      <c r="S44" s="37" t="inlineStr">
        <is>
          <t>Deleting accounts or records before checking preservation requirements and transfer of work.</t>
        </is>
      </c>
      <c r="T44" s="37" t="inlineStr">
        <is>
          <t>Any departure, particularly one involving privileged system access.</t>
        </is>
      </c>
      <c r="U44" s="37" t="inlineStr">
        <is>
          <t>DAT02;DAT03</t>
        </is>
      </c>
    </row>
    <row r="45" ht="106" customHeight="1">
      <c r="A45" s="38" t="inlineStr">
        <is>
          <t>A_PSY01</t>
        </is>
      </c>
      <c r="B45" s="38" t="inlineStr">
        <is>
          <t>PSY01</t>
        </is>
      </c>
      <c r="C45" s="38" t="inlineStr">
        <is>
          <t>Use PSY01_0 / _1 / _2 / _3 / _DK in Answer Outcomes, then apply Risk Context. Weight is not the risk rating.</t>
        </is>
      </c>
      <c r="D45" s="38" t="inlineStr">
        <is>
          <t>Identify what in the work could cause harm</t>
        </is>
      </c>
      <c r="E45" s="38" t="inlineStr">
        <is>
          <t>Without worker input and a review of actual work, workload, isolation, poor support or other hazards may remain unrecognised.</t>
        </is>
      </c>
      <c r="F45" s="38" t="inlineStr">
        <is>
          <t>Discuss the main work pressures and hazards with employees using a safe process. Record the work-related causes, who is exposed and what needs further assessment.</t>
        </is>
      </c>
      <c r="G45" s="38" t="inlineStr">
        <is>
          <t>A proportionate psychosocial hazard assessment informed by workers and relevant evidence.</t>
        </is>
      </c>
      <c r="H45" s="38" t="inlineStr">
        <is>
          <t>Business leader / safety lead</t>
        </is>
      </c>
      <c r="I45" s="38" t="inlineStr">
        <is>
          <t>Risk Method timing is the initial response target; actual duties and earlier events take precedence. Recheck: Changed work, worker concerns, incident patterns or control failure.</t>
        </is>
      </c>
      <c r="J45" s="38" t="inlineStr">
        <is>
          <t>A concise prevention and risk record, employee consultation and a credible alternative reporting route can be proportionate.</t>
        </is>
      </c>
      <c r="K45" s="38" t="inlineStr">
        <is>
          <t>Check work-design controls, manager accountability, reporting independence and monitoring across locations and workforce groups.</t>
        </is>
      </c>
      <c r="L45" s="38" t="inlineStr">
        <is>
          <t>Psychosocial/positive-duty assessment and prevention planning, with specialist WHS/legal input where appropriate.</t>
        </is>
      </c>
      <c r="M45" s="38" t="inlineStr">
        <is>
          <t>PSYCHOSOCIAL</t>
        </is>
      </c>
      <c r="N45" s="38" t="inlineStr">
        <is>
          <t>S11;S12</t>
        </is>
      </c>
      <c r="O45"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P45" s="49" t="n">
        <v>3</v>
      </c>
      <c r="Q45" s="38" t="inlineStr">
        <is>
          <t>Discuss relevant tasks and work conditions with workers and map the hazards, including how they can combine.</t>
        </is>
      </c>
      <c r="R45" s="38" t="inlineStr">
        <is>
          <t>Check whether identified hazards lead to practical control actions and revisit roles or settings omitted from the review.</t>
        </is>
      </c>
      <c r="S45" s="38" t="inlineStr">
        <is>
          <t>Waiting for a formal complaint or treating a wellbeing survey as the entire risk process.</t>
        </is>
      </c>
      <c r="T45" s="38" t="inlineStr">
        <is>
          <t>Changed work, worker concerns, incident patterns or control failure.</t>
        </is>
      </c>
      <c r="U45" s="38" t="inlineStr">
        <is>
          <t>None</t>
        </is>
      </c>
    </row>
    <row r="46" ht="106" customHeight="1">
      <c r="A46" s="37" t="inlineStr">
        <is>
          <t>A_PSY02</t>
        </is>
      </c>
      <c r="B46" s="37" t="inlineStr">
        <is>
          <t>PSY02</t>
        </is>
      </c>
      <c r="C46" s="37" t="inlineStr">
        <is>
          <t>Use PSY02_0 / _1 / _2 / _3 / _DK in Answer Outcomes, then apply Risk Context. Weight is not the risk rating.</t>
        </is>
      </c>
      <c r="D46" s="37" t="inlineStr">
        <is>
          <t>Control the cause, not only the consequences</t>
        </is>
      </c>
      <c r="E46" s="37" t="inlineStr">
        <is>
          <t>Support after a problem does not replace controls addressing its work-related cause. Missing ownership can leave recognised risks unmanaged.</t>
        </is>
      </c>
      <c r="F46" s="37" t="inlineStr">
        <is>
          <t>Select the highest-priority work-related risk, agree a practical change to reduce exposure, assign an owner and set a review of effectiveness.</t>
        </is>
      </c>
      <c r="G46" s="37" t="inlineStr">
        <is>
          <t>A control record showing the change made and evidence about whether it is working.</t>
        </is>
      </c>
      <c r="H46" s="37" t="inlineStr">
        <is>
          <t>Business leader / safety lead</t>
        </is>
      </c>
      <c r="I46" s="37" t="inlineStr">
        <is>
          <t>Risk Method timing is the initial response target; actual duties and earlier events take precedence. Recheck: A changed hazard, ineffective control or recurrence of harm.</t>
        </is>
      </c>
      <c r="J46" s="37" t="inlineStr">
        <is>
          <t>A concise prevention and risk record, employee consultation and a credible alternative reporting route can be proportionate.</t>
        </is>
      </c>
      <c r="K46" s="37" t="inlineStr">
        <is>
          <t>Check work-design controls, manager accountability, reporting independence and monitoring across locations and workforce groups.</t>
        </is>
      </c>
      <c r="L46" s="37" t="inlineStr">
        <is>
          <t>Psychosocial/positive-duty assessment and prevention planning, with specialist WHS/legal input where appropriate.</t>
        </is>
      </c>
      <c r="M46" s="37" t="inlineStr">
        <is>
          <t>PSYCHOSOCIAL</t>
        </is>
      </c>
      <c r="N46" s="37" t="inlineStr">
        <is>
          <t>S11;S12</t>
        </is>
      </c>
      <c r="O46"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P46" s="48" t="n">
        <v>3</v>
      </c>
      <c r="Q46" s="37" t="inlineStr">
        <is>
          <t>Select proportionate changes to the work, staffing, supervision or other source of exposure and assign responsibility.</t>
        </is>
      </c>
      <c r="R46" s="37" t="inlineStr">
        <is>
          <t>Check with affected workers and operational evidence whether the control works; revise it where exposure remains.</t>
        </is>
      </c>
      <c r="S46" s="37" t="inlineStr">
        <is>
          <t>Using resilience training or an EAP as the main response to an excessive workload or unsafe work design.</t>
        </is>
      </c>
      <c r="T46" s="37" t="inlineStr">
        <is>
          <t>A changed hazard, ineffective control or recurrence of harm.</t>
        </is>
      </c>
      <c r="U46" s="37" t="inlineStr">
        <is>
          <t>PSY01</t>
        </is>
      </c>
    </row>
    <row r="47" ht="76" customHeight="1">
      <c r="A47" s="38" t="inlineStr">
        <is>
          <t>A_PSY03</t>
        </is>
      </c>
      <c r="B47" s="38" t="inlineStr">
        <is>
          <t>PSY03</t>
        </is>
      </c>
      <c r="C47" s="38" t="inlineStr">
        <is>
          <t>Use PSY03_0 / _1 / _2 / _3 / _DK in Answer Outcomes, then apply Risk Context. Weight is not the risk rating.</t>
        </is>
      </c>
      <c r="D47" s="38" t="inlineStr">
        <is>
          <t>Make prevention visible in the way the business operates</t>
        </is>
      </c>
      <c r="E47" s="38" t="inlineStr">
        <is>
          <t>A policy or training session alone may not address where sex-related unlawful conduct could occur or how leaders prevent it.</t>
        </is>
      </c>
      <c r="F47" s="38" t="inlineStr">
        <is>
          <t>Review your approach against the AHRC standards, identify risks in your work settings and record proportionate preventative actions with leadership ownership.</t>
        </is>
      </c>
      <c r="G47" s="38" t="inlineStr">
        <is>
          <t>A prevention plan and implementation evidence covering the relevant AHRC standards, scaled to the business.</t>
        </is>
      </c>
      <c r="H47" s="38" t="inlineStr">
        <is>
          <t>Business leader / safety lead</t>
        </is>
      </c>
      <c r="I47" s="38" t="inlineStr">
        <is>
          <t>Risk Method timing is the initial response target; actual duties and earlier events take precedence. Recheck: Changed work, reported conduct, ineffective controls or a scheduled prevention review.</t>
        </is>
      </c>
      <c r="J47" s="38" t="inlineStr">
        <is>
          <t>A concise prevention and risk record, employee consultation and a credible alternative reporting route can be proportionate.</t>
        </is>
      </c>
      <c r="K47" s="38" t="inlineStr">
        <is>
          <t>Check work-design controls, manager accountability, reporting independence and monitoring across locations and workforce groups.</t>
        </is>
      </c>
      <c r="L47" s="38" t="inlineStr">
        <is>
          <t>Psychosocial/positive-duty assessment and prevention planning, with specialist WHS/legal input where appropriate.</t>
        </is>
      </c>
      <c r="M47" s="38" t="inlineStr">
        <is>
          <t>RESPECT</t>
        </is>
      </c>
      <c r="N47" s="38" t="inlineStr">
        <is>
          <t>S10</t>
        </is>
      </c>
      <c r="O47" s="38" t="inlineStr">
        <is>
          <t>https://humanrights.gov.au/resource-hub/resources-for-organisations-businesses/positive-duty-pdfs/guidelines-for-complying-with-the-positive-duty-under-the-sex-discrimination-act-1984-cth</t>
        </is>
      </c>
      <c r="P47" s="49" t="n">
        <v>3</v>
      </c>
      <c r="Q47" s="38" t="inlineStr">
        <is>
          <t>Review relevant work situations and power imbalances, assign leadership accountability and implement proportionate prevention and reporting measures.</t>
        </is>
      </c>
      <c r="R47" s="38" t="inlineStr">
        <is>
          <t>Review whether measures are used and effective, including risks involving customers, contractors or influential employees.</t>
        </is>
      </c>
      <c r="S47" s="38" t="inlineStr">
        <is>
          <t>Assuming no complaint means prevention is working, or treating positive duty as a generic bullying policy.</t>
        </is>
      </c>
      <c r="T47" s="38" t="inlineStr">
        <is>
          <t>Changed work, reported conduct, ineffective controls or a scheduled prevention review.</t>
        </is>
      </c>
      <c r="U47" s="38" t="inlineStr">
        <is>
          <t>PSY01;PSY04</t>
        </is>
      </c>
    </row>
    <row r="48" ht="121" customHeight="1">
      <c r="A48" s="37" t="inlineStr">
        <is>
          <t>A_PSY04</t>
        </is>
      </c>
      <c r="B48" s="37" t="inlineStr">
        <is>
          <t>PSY04</t>
        </is>
      </c>
      <c r="C48" s="37" t="inlineStr">
        <is>
          <t>Use PSY04_0 / _1 / _2 / _3 / _DK in Answer Outcomes, then apply Risk Context. Weight is not the risk rating.</t>
        </is>
      </c>
      <c r="D48" s="37" t="inlineStr">
        <is>
          <t>Make the reporting route work when power is involved</t>
        </is>
      </c>
      <c r="E48" s="37" t="inlineStr">
        <is>
          <t>A reporting route can fail precisely when the concern involves the person controlling it, leaving the business without a credible way to hear and address the issue.</t>
        </is>
      </c>
      <c r="F48" s="37" t="inlineStr">
        <is>
          <t>Identify who could receive a concern when the owner, manager or usual contact is involved, and whether that person has the authority and independence needed to arrange an appropriate response.</t>
        </is>
      </c>
      <c r="G48" s="37" t="inlineStr">
        <is>
          <t>Staff can identify and use a credible alternative route when the normal contact is involved, the recipient can arrange an appropriate response, and confidentiality and protection-from-retaliation safeguards have been tested.</t>
        </is>
      </c>
      <c r="H48" s="37" t="inlineStr">
        <is>
          <t>Business leader / safety lead</t>
        </is>
      </c>
      <c r="I48" s="37" t="inlineStr">
        <is>
          <t>Risk Method timing is the initial response target; actual duties and earlier events take precedence. Recheck: Changed ownership or reporting contacts, a conflict or concern about retaliation.</t>
        </is>
      </c>
      <c r="J48" s="37" t="inlineStr">
        <is>
          <t>A concise prevention and risk record, employee consultation and a credible alternative reporting route can be proportionate.</t>
        </is>
      </c>
      <c r="K48" s="37" t="inlineStr">
        <is>
          <t>Check work-design controls, manager accountability, reporting independence and monitoring across locations and workforce groups.</t>
        </is>
      </c>
      <c r="L48" s="37" t="inlineStr">
        <is>
          <t>Psychosocial/positive-duty assessment and prevention planning, with specialist WHS/legal input where appropriate.</t>
        </is>
      </c>
      <c r="M48" s="37" t="inlineStr">
        <is>
          <t>RESPECT</t>
        </is>
      </c>
      <c r="N48" s="37" t="inlineStr">
        <is>
          <t>S10;S11</t>
        </is>
      </c>
      <c r="O48"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P48" s="48" t="n">
        <v>3</v>
      </c>
      <c r="Q48" s="37" t="inlineStr">
        <is>
          <t>Name an alternative recipient without a relevant conflict and document escalation, confidentiality boundaries and protection from retaliation.</t>
        </is>
      </c>
      <c r="R48" s="37" t="inlineStr">
        <is>
          <t>Explain the route to staff, test a fictional owner-related concern and check that the recipient can arrange an appropriate response.</t>
        </is>
      </c>
      <c r="S48" s="37" t="inlineStr">
        <is>
          <t>Naming another manager who still has to send every concern directly to the person complained about.</t>
        </is>
      </c>
      <c r="T48" s="37" t="inlineStr">
        <is>
          <t>Changed ownership or reporting contacts, a conflict or concern about retaliation.</t>
        </is>
      </c>
      <c r="U48" s="37" t="inlineStr">
        <is>
          <t>None</t>
        </is>
      </c>
    </row>
    <row r="49" ht="166" customHeight="1">
      <c r="A49" s="38" t="inlineStr">
        <is>
          <t>A_PSY05</t>
        </is>
      </c>
      <c r="B49" s="38" t="inlineStr">
        <is>
          <t>PSY05</t>
        </is>
      </c>
      <c r="C49" s="38" t="inlineStr">
        <is>
          <t>Use PSY05_0 / _1 / _2 / _3 / _DK in Answer Outcomes, then apply Risk Context. Weight is not the risk rating.</t>
        </is>
      </c>
      <c r="D49" s="38" t="inlineStr">
        <is>
          <t>Connect support with a responsible workplace response</t>
        </is>
      </c>
      <c r="E49" s="38" t="inlineStr">
        <is>
          <t>An unclear response can leave wellbeing, safety, confidentiality and fact-finding responsibilities disconnected.</t>
        </is>
      </c>
      <c r="F49" s="38" t="inlineStr">
        <is>
          <t>Test who handles the initial concern, what support is available, how information is protected and who reviews the workplace follow-up.</t>
        </is>
      </c>
      <c r="G49" s="38" t="inlineStr">
        <is>
          <t>A tested response and support pathway with clear roles, escalation and follow-up.</t>
        </is>
      </c>
      <c r="H49" s="38" t="inlineStr">
        <is>
          <t>Business leader / safety lead</t>
        </is>
      </c>
      <c r="I49" s="38" t="inlineStr">
        <is>
          <t>Risk Method timing is the initial response target; actual duties and earlier events take precedence. Recheck: A concern, incident, changed support contact or incomplete follow-through.</t>
        </is>
      </c>
      <c r="J49" s="38" t="inlineStr">
        <is>
          <t>A concise prevention and risk record, employee consultation and a credible alternative reporting route can be proportionate.</t>
        </is>
      </c>
      <c r="K49" s="38" t="inlineStr">
        <is>
          <t>Check work-design controls, manager accountability, reporting independence and monitoring across locations and workforce groups.</t>
        </is>
      </c>
      <c r="L49" s="38" t="inlineStr">
        <is>
          <t>Psychosocial/positive-duty assessment and prevention planning, with specialist WHS/legal input where appropriate.</t>
        </is>
      </c>
      <c r="M49" s="38" t="inlineStr">
        <is>
          <t>RESPECT</t>
        </is>
      </c>
      <c r="N49" s="38" t="inlineStr">
        <is>
          <t>S10;S11;S12</t>
        </is>
      </c>
      <c r="O49"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P49" s="49" t="n">
        <v>3</v>
      </c>
      <c r="Q49" s="38" t="inlineStr">
        <is>
          <t>Agree who assesses immediate safety, offers appropriate support, manages information and arranges fair review of the concern.</t>
        </is>
      </c>
      <c r="R49" s="38" t="inlineStr">
        <is>
          <t>Set follow-up dates with relevant people and check that agreed protective or corrective steps occurred.</t>
        </is>
      </c>
      <c r="S49" s="38" t="inlineStr">
        <is>
          <t>Treating referral to an external support service as the end of the employer's responsibilities.</t>
        </is>
      </c>
      <c r="T49" s="38" t="inlineStr">
        <is>
          <t>A concern, incident, changed support contact or incomplete follow-through.</t>
        </is>
      </c>
      <c r="U49" s="38" t="inlineStr">
        <is>
          <t>PSY04</t>
        </is>
      </c>
    </row>
    <row r="50" ht="76" customHeight="1">
      <c r="A50" s="37" t="inlineStr">
        <is>
          <t>A_B01</t>
        </is>
      </c>
      <c r="B50" s="37" t="inlineStr">
        <is>
          <t>B01</t>
        </is>
      </c>
      <c r="C50" s="37" t="inlineStr">
        <is>
          <t>Use B01_0 / _1 / _2 / _3 / _DK in Answer Outcomes, then apply Risk Context. Weight is not the risk rating.</t>
        </is>
      </c>
      <c r="D50" s="37" t="inlineStr">
        <is>
          <t>Check the basis of the salary arrangement</t>
        </is>
      </c>
      <c r="E50" s="37" t="inlineStr">
        <is>
          <t>An annual salary comparison may not establish the legal basis or the checks required for the particular arrangement.</t>
        </is>
      </c>
      <c r="F50" s="37" t="inlineStr">
        <is>
          <t>Identify the type of arrangement and what it can lawfully cover. Test representative actual pay periods and complete any required reconciliations with appropriate specialist advice.</t>
        </is>
      </c>
      <c r="G50" s="37" t="inlineStr">
        <is>
          <t>The arrangement has been assessed against its applicable legal basis and actual work, required records and payment checks are complete, and discrepancies and related obligations are addressed. Keep unresolved legal-basis or calculation questions open.</t>
        </is>
      </c>
      <c r="H50" s="37" t="inlineStr">
        <is>
          <t>Payroll lead / owner</t>
        </is>
      </c>
      <c r="I50" s="37" t="inlineStr">
        <is>
          <t>Risk Method timing is the initial response target; actual duties and earlier events take precedence. Recheck: Changed salary, hours, covered entitlements or applicable instrument.</t>
        </is>
      </c>
      <c r="J50" s="37" t="inlineStr">
        <is>
          <t>A dated role/pay register, a short sample check and an owner for exceptions can be sufficient evidence of the process.</t>
        </is>
      </c>
      <c r="K50" s="37" t="inlineStr">
        <is>
          <t>Sample different roles, instruments, pay patterns and locations. Record exception escalation and independent review responsibilities.</t>
        </is>
      </c>
      <c r="L50" s="37" t="inlineStr">
        <is>
          <t>Targeted payroll, award/classification or salary-arrangement review, scoped to the flagged population.</t>
        </is>
      </c>
      <c r="M50" s="37" t="inlineStr">
        <is>
          <t>PAY_ASSURANCE</t>
        </is>
      </c>
      <c r="N50" s="37" t="inlineStr">
        <is>
          <t>S06;S07</t>
        </is>
      </c>
      <c r="O50" s="37" t="inlineStr">
        <is>
          <t>https://www.fairwork.gov.au/pay-and-wages/minimum-wages/annualised-salaries
https://www.fairwork.gov.au/newsroom/news/offsetting-and-record-keeping-salaried-employees</t>
        </is>
      </c>
      <c r="P50" s="48" t="n">
        <v>3</v>
      </c>
      <c r="Q50" s="37" t="inlineStr">
        <is>
          <t>Identify the arrangement, covered entitlements and applicable record or payment checks. Test actual work rather than assumed hours.</t>
        </is>
      </c>
      <c r="R50" s="37" t="inlineStr">
        <is>
          <t>Resolve differences and complete any required reconciliations or other checks; retest after the next relevant work-pattern change.</t>
        </is>
      </c>
      <c r="S50" s="37" t="inlineStr">
        <is>
          <t>Assuming a contract clause permits every entitlement to be averaged across a year.</t>
        </is>
      </c>
      <c r="T50" s="37" t="inlineStr">
        <is>
          <t>Changed salary, hours, covered entitlements or applicable instrument.</t>
        </is>
      </c>
      <c r="U50" s="37" t="inlineStr">
        <is>
          <t>PAY01;DAT01</t>
        </is>
      </c>
    </row>
    <row r="51" ht="61" customHeight="1">
      <c r="A51" s="38" t="inlineStr">
        <is>
          <t>A_B02</t>
        </is>
      </c>
      <c r="B51" s="38" t="inlineStr">
        <is>
          <t>B02</t>
        </is>
      </c>
      <c r="C51" s="38" t="inlineStr">
        <is>
          <t>Use B02_0 / _1 / _2 / _3 / _DK in Answer Outcomes, then apply Risk Context. Weight is not the risk rating.</t>
        </is>
      </c>
      <c r="D51" s="38" t="inlineStr">
        <is>
          <t>Update the casual-to-permanent process</t>
        </is>
      </c>
      <c r="E51" s="38" t="inlineStr">
        <is>
          <t>An eligible notice may be mishandled if the business relies on obsolete conversion assumptions or an incorrect small-business exemption.</t>
        </is>
      </c>
      <c r="F51" s="38" t="inlineStr">
        <is>
          <t>Review casual employment patterns and prepare a notice-response checklist using the current employee choice rules. Confirm the relevant small-business status rather than relying on the local team size.</t>
        </is>
      </c>
      <c r="G51" s="38" t="inlineStr">
        <is>
          <t>A current employee-choice process has been checked against the applicable eligibility, consultation and response requirements; any live request has been decided and communicated as required, with implementation recorded.</t>
        </is>
      </c>
      <c r="H51" s="38" t="inlineStr">
        <is>
          <t>Owner / HR lead</t>
        </is>
      </c>
      <c r="I51" s="38" t="inlineStr">
        <is>
          <t>Risk Method timing is the initial response target; actual duties and earlier events take precedence. Recheck: An eligible employee notice or changed pathway requirements.</t>
        </is>
      </c>
      <c r="J51" s="38" t="inlineStr">
        <is>
          <t>A current terms register and a controlled set of suitable templates can be proportionate.</t>
        </is>
      </c>
      <c r="K51" s="38" t="inlineStr">
        <is>
          <t>Use controlled templates, approval limits and version/variation tracking across entities and roles.</t>
        </is>
      </c>
      <c r="L51" s="38" t="inlineStr">
        <is>
          <t>Employment terms and engagement review, with legal referral for issues outside the agreed HR advisory scope.</t>
        </is>
      </c>
      <c r="M51" s="38" t="inlineStr">
        <is>
          <t>TERMS</t>
        </is>
      </c>
      <c r="N51" s="38" t="inlineStr">
        <is>
          <t>S02;S03</t>
        </is>
      </c>
      <c r="O51" s="38" t="inlineStr">
        <is>
          <t>https://www.fairwork.gov.au/taxonomy/term/527
https://www.fairwork.gov.au/starting-employment/types-of-employees/casual-employees/becoming-a-permanent-employee</t>
        </is>
      </c>
      <c r="P51" s="49" t="n">
        <v>3</v>
      </c>
      <c r="Q51" s="38" t="inlineStr">
        <is>
          <t>Check eligibility under the applicable pathway, discuss the notice and prepare the required reasoned response.</t>
        </is>
      </c>
      <c r="R51" s="38" t="inlineStr">
        <is>
          <t>Record the response date and any agreed change in status, then confirm payroll and terms match it.</t>
        </is>
      </c>
      <c r="S51" s="38" t="inlineStr">
        <is>
          <t>Assuming that being a small business removes the pathway entirely.</t>
        </is>
      </c>
      <c r="T51" s="38" t="inlineStr">
        <is>
          <t>An eligible employee notice or changed pathway requirements.</t>
        </is>
      </c>
      <c r="U51" s="38" t="inlineStr">
        <is>
          <t>CON02</t>
        </is>
      </c>
    </row>
    <row r="52" ht="61" customHeight="1">
      <c r="A52" s="37" t="inlineStr">
        <is>
          <t>A_B03</t>
        </is>
      </c>
      <c r="B52" s="37" t="inlineStr">
        <is>
          <t>B03</t>
        </is>
      </c>
      <c r="C52" s="37" t="inlineStr">
        <is>
          <t>Use B03_0 / _1 / _2 / _3 / _DK in Answer Outcomes, then apply Risk Context. Weight is not the risk rating.</t>
        </is>
      </c>
      <c r="D52" s="37" t="inlineStr">
        <is>
          <t>Add the CEIS dates after commencement</t>
        </is>
      </c>
      <c r="E52" s="37" t="inlineStr">
        <is>
          <t>A commencement-only process can miss later statement delivery requirements.</t>
        </is>
      </c>
      <c r="F52" s="37" t="inlineStr">
        <is>
          <t>Add the applicable issue dates to the casual employee register and check delivery for anyone whose date has already passed.</t>
        </is>
      </c>
      <c r="G52" s="37" t="inlineStr">
        <is>
          <t>A current casual register with statement due dates and delivery records.</t>
        </is>
      </c>
      <c r="H52" s="37" t="inlineStr">
        <is>
          <t>Hiring manager / coordinator</t>
        </is>
      </c>
      <c r="I52" s="37" t="inlineStr">
        <is>
          <t>Risk Method timing is the initial response target; actual duties and earlier events take precedence. Recheck: Service milestones or revised CEIS versions.</t>
        </is>
      </c>
      <c r="J52" s="37" t="inlineStr">
        <is>
          <t>A short pre-start and first-week checklist with named follow-up can work well.</t>
        </is>
      </c>
      <c r="K52" s="37" t="inlineStr">
        <is>
          <t>Coordinate manager, payroll, IT and site responsibilities; sample completion and starter understanding.</t>
        </is>
      </c>
      <c r="L52" s="37" t="inlineStr">
        <is>
          <t>Practical onboarding workflow and required-information controls.</t>
        </is>
      </c>
      <c r="M52" s="37" t="inlineStr">
        <is>
          <t>START_SAFE</t>
        </is>
      </c>
      <c r="N52" s="37" t="inlineStr">
        <is>
          <t>S04</t>
        </is>
      </c>
      <c r="O52" s="37" t="inlineStr">
        <is>
          <t>https://www.fairwork.gov.au/employment-conditions/information-statements/casual-employment-information-statement</t>
        </is>
      </c>
      <c r="P52" s="48" t="n">
        <v>2</v>
      </c>
      <c r="Q52" s="37" t="inlineStr">
        <is>
          <t>Set the applicable issue milestones for the employer type and identify the current statement version.</t>
        </is>
      </c>
      <c r="R52" s="37" t="inlineStr">
        <is>
          <t>Check the delivery record for a casual who has reached a relevant milestone and address missed delivery.</t>
        </is>
      </c>
      <c r="S52" s="37" t="inlineStr">
        <is>
          <t>Using one generic annual reminder for every casual without checking the required milestones.</t>
        </is>
      </c>
      <c r="T52" s="37" t="inlineStr">
        <is>
          <t>Service milestones or revised CEIS versions.</t>
        </is>
      </c>
      <c r="U52" s="37" t="inlineStr">
        <is>
          <t>ONB02;CON02</t>
        </is>
      </c>
    </row>
    <row r="53" ht="61" customHeight="1">
      <c r="A53" s="38" t="inlineStr">
        <is>
          <t>A_B04</t>
        </is>
      </c>
      <c r="B53" s="38" t="inlineStr">
        <is>
          <t>B04</t>
        </is>
      </c>
      <c r="C53" s="38" t="inlineStr">
        <is>
          <t>Use B04_0 / _1 / _2 / _3 / _DK in Answer Outcomes, then apply Risk Context. Weight is not the risk rating.</t>
        </is>
      </c>
      <c r="D53" s="38" t="inlineStr">
        <is>
          <t>Check fixed-term contracts before renewal</t>
        </is>
      </c>
      <c r="E53" s="38" t="inlineStr">
        <is>
          <t>A stated end date or funding source does not itself establish that a fixed-term arrangement is permitted.</t>
        </is>
      </c>
      <c r="F53" s="38" t="inlineStr">
        <is>
          <t>Create a register of fixed-term contracts, prior contracts and renewal options. Check the legal basis and current exceptions before each new commitment.</t>
        </is>
      </c>
      <c r="G53" s="38" t="inlineStr">
        <is>
          <t>A documented pre-entry/renewal review and information-statement delivery record.</t>
        </is>
      </c>
      <c r="H53" s="38" t="inlineStr">
        <is>
          <t>Owner / HR lead</t>
        </is>
      </c>
      <c r="I53" s="38" t="inlineStr">
        <is>
          <t>Risk Method timing is the initial response target; actual duties and earlier events take precedence. Recheck: Before every entry, renewal or material change to a fixed-term arrangement.</t>
        </is>
      </c>
      <c r="J53" s="38" t="inlineStr">
        <is>
          <t>A current terms register and a controlled set of suitable templates can be proportionate.</t>
        </is>
      </c>
      <c r="K53" s="38" t="inlineStr">
        <is>
          <t>Use controlled templates, approval limits and version/variation tracking across entities and roles.</t>
        </is>
      </c>
      <c r="L53" s="38" t="inlineStr">
        <is>
          <t>Employment terms and engagement review, with legal referral for issues outside the agreed HR advisory scope.</t>
        </is>
      </c>
      <c r="M53" s="38" t="inlineStr">
        <is>
          <t>TERMS</t>
        </is>
      </c>
      <c r="N53" s="38" t="inlineStr">
        <is>
          <t>S09</t>
        </is>
      </c>
      <c r="O53" s="38" t="inlineStr">
        <is>
          <t>https://www.fairwork.gov.au/starting-employment/types-of-employees/fixed-term-contract-employees</t>
        </is>
      </c>
      <c r="P53" s="49" t="n">
        <v>3</v>
      </c>
      <c r="Q53" s="38" t="inlineStr">
        <is>
          <t>Review length, consecutive contracts, renewal options and evidence for any exception against the current rules.</t>
        </is>
      </c>
      <c r="R53" s="38" t="inlineStr">
        <is>
          <t>Keep the supported decision and required information-statement record before entry or renewal.</t>
        </is>
      </c>
      <c r="S53" s="38" t="inlineStr">
        <is>
          <t>Assuming an exception continues indefinitely after a rule or transitional period changes.</t>
        </is>
      </c>
      <c r="T53" s="38" t="inlineStr">
        <is>
          <t>Before every entry, renewal or material change to a fixed-term arrangement.</t>
        </is>
      </c>
      <c r="U53" s="38" t="inlineStr">
        <is>
          <t>CON02</t>
        </is>
      </c>
    </row>
    <row r="54" ht="91" customHeight="1">
      <c r="A54" s="37" t="inlineStr">
        <is>
          <t>A_B05</t>
        </is>
      </c>
      <c r="B54" s="37" t="inlineStr">
        <is>
          <t>B05</t>
        </is>
      </c>
      <c r="C54" s="37" t="inlineStr">
        <is>
          <t>Use B05_0 / _1 / _2 / _3 / _DK in Answer Outcomes, then apply Risk Context. Weight is not the risk rating.</t>
        </is>
      </c>
      <c r="D54" s="37" t="inlineStr">
        <is>
          <t>Review the relationship behind the contractor label</t>
        </is>
      </c>
      <c r="E54" s="37" t="inlineStr">
        <is>
          <t>The contract label may not settle employment status, and superannuation requires its own assessment.</t>
        </is>
      </c>
      <c r="F54" s="37" t="inlineStr">
        <is>
          <t>Identify contractors who work personally and regularly in the business. Obtain a documented review of the relevant status test and separate super treatment.</t>
        </is>
      </c>
      <c r="G54" s="37" t="inlineStr">
        <is>
          <t>Each materially different arrangement has a current employment-status and separate superannuation assessment. Any necessary contractual, payment or working-practice changes have been implemented and checked; unresolved exceptions remain open.</t>
        </is>
      </c>
      <c r="H54" s="37" t="inlineStr">
        <is>
          <t>Owner / HR lead</t>
        </is>
      </c>
      <c r="I54" s="37" t="inlineStr">
        <is>
          <t>Risk Method timing is the initial response target; actual duties and earlier events take precedence. Recheck: A new contractor arrangement or a material change in the relationship.</t>
        </is>
      </c>
      <c r="J54" s="37" t="inlineStr">
        <is>
          <t>A current terms register and a controlled set of suitable templates can be proportionate.</t>
        </is>
      </c>
      <c r="K54" s="37" t="inlineStr">
        <is>
          <t>Use controlled templates, approval limits and version/variation tracking across entities and roles.</t>
        </is>
      </c>
      <c r="L54" s="37" t="inlineStr">
        <is>
          <t>Employment terms and engagement review, with legal referral for issues outside the agreed HR advisory scope.</t>
        </is>
      </c>
      <c r="M54" s="37" t="inlineStr">
        <is>
          <t>TERMS</t>
        </is>
      </c>
      <c r="N54" s="37" t="inlineStr">
        <is>
          <t>S23;S24</t>
        </is>
      </c>
      <c r="O54" s="37" t="inlineStr">
        <is>
          <t>https://www.fairwork.gov.au/find-help-for/independent-contractors/whole-of-relationship-test
https://www.ato.gov.au/businesses-and-organisations/super-for-employers/work-out-if-you-have-to-pay-super/super-for-independent-contractors</t>
        </is>
      </c>
      <c r="P54" s="48" t="n">
        <v>3</v>
      </c>
      <c r="Q54" s="37" t="inlineStr">
        <is>
          <t>Review the applicable status test, actual work arrangement and separate superannuation position with appropriate expertise.</t>
        </is>
      </c>
      <c r="R54" s="37" t="inlineStr">
        <is>
          <t>Document the reasoning and review any changed practices before continuing to rely on the original conclusion.</t>
        </is>
      </c>
      <c r="S54" s="37" t="inlineStr">
        <is>
          <t>Treating an ABN, insurance certificate or invoice as conclusive.</t>
        </is>
      </c>
      <c r="T54" s="37" t="inlineStr">
        <is>
          <t>A new contractor arrangement or a material change in the relationship.</t>
        </is>
      </c>
      <c r="U54" s="37" t="inlineStr">
        <is>
          <t>CON02</t>
        </is>
      </c>
    </row>
    <row r="55" ht="106" customHeight="1">
      <c r="A55" s="38" t="inlineStr">
        <is>
          <t>A_B06</t>
        </is>
      </c>
      <c r="B55" s="38" t="inlineStr">
        <is>
          <t>B06</t>
        </is>
      </c>
      <c r="C55" s="38" t="inlineStr">
        <is>
          <t>Use B06_0 / _1 / _2 / _3 / _DK in Answer Outcomes, then apply Risk Context. Weight is not the risk rating.</t>
        </is>
      </c>
      <c r="D55" s="38" t="inlineStr">
        <is>
          <t>Check the pay consequence of changed part-time hours</t>
        </is>
      </c>
      <c r="E55" s="38" t="inlineStr">
        <is>
          <t>A change in hours may trigger agreement, record or overtime requirements that ordinary payroll settings do not capture.</t>
        </is>
      </c>
      <c r="F55" s="38" t="inlineStr">
        <is>
          <t>Review recent part-time roster changes against the applicable instrument, employee agreement and actual payroll treatment.</t>
        </is>
      </c>
      <c r="G55" s="38" t="inlineStr">
        <is>
          <t>A change-of-hours check showing required agreement, records and the resulting pay.</t>
        </is>
      </c>
      <c r="H55" s="38" t="inlineStr">
        <is>
          <t>Payroll lead / owner</t>
        </is>
      </c>
      <c r="I55" s="38" t="inlineStr">
        <is>
          <t>Risk Method timing is the initial response target; actual duties and earlier events take precedence. Recheck: Changed hours, a varied roster or an applicable instrument change.</t>
        </is>
      </c>
      <c r="J55" s="38" t="inlineStr">
        <is>
          <t>A dated role/pay register, a short sample check and an owner for exceptions can be sufficient evidence of the process.</t>
        </is>
      </c>
      <c r="K55" s="38" t="inlineStr">
        <is>
          <t>Sample different roles, instruments, pay patterns and locations. Record exception escalation and independent review responsibilities.</t>
        </is>
      </c>
      <c r="L55" s="38" t="inlineStr">
        <is>
          <t>Targeted payroll, award/classification or salary-arrangement review, scoped to the flagged population.</t>
        </is>
      </c>
      <c r="M55" s="38" t="inlineStr">
        <is>
          <t>PAY_ASSURANCE</t>
        </is>
      </c>
      <c r="N55" s="38" t="inlineStr">
        <is>
          <t>S06;S25;S14</t>
        </is>
      </c>
      <c r="O55" s="38" t="inlineStr">
        <is>
          <t>https://www.fairwork.gov.au/pay-and-wages/minimum-wages/annualised-salaries
https://www.fairwork.gov.au/tools-and-resources/best-practice-guides/consultation-and-cooperation-in-the-workplace
https://www.fairwork.gov.au/tools-and-resources/fact-sheets/rights-and-obligations/record-keeping-pay-slips</t>
        </is>
      </c>
      <c r="P55" s="49" t="n">
        <v>3</v>
      </c>
      <c r="Q55" s="38" t="inlineStr">
        <is>
          <t>Check the relevant arrangement and each type of change, including guaranteed hours and applicable payment triggers.</t>
        </is>
      </c>
      <c r="R55" s="38" t="inlineStr">
        <is>
          <t>Review an actual changed-hours period against the agreement and payroll result.</t>
        </is>
      </c>
      <c r="S55" s="38" t="inlineStr">
        <is>
          <t>Assuming every additional part-time hour is ordinary time because the employee agreed to work it.</t>
        </is>
      </c>
      <c r="T55" s="38" t="inlineStr">
        <is>
          <t>Changed hours, a varied roster or an applicable instrument change.</t>
        </is>
      </c>
      <c r="U55" s="38" t="inlineStr">
        <is>
          <t>PAY01;DAT01</t>
        </is>
      </c>
    </row>
    <row r="56" ht="76" customHeight="1">
      <c r="A56" s="37" t="inlineStr">
        <is>
          <t>A_B07</t>
        </is>
      </c>
      <c r="B56" s="37" t="inlineStr">
        <is>
          <t>B07</t>
        </is>
      </c>
      <c r="C56" s="37" t="inlineStr">
        <is>
          <t>Use B07_0 / _1 / _2 / _3 / _DK in Answer Outcomes, then apply Risk Context. Weight is not the risk rating.</t>
        </is>
      </c>
      <c r="D56" s="37" t="inlineStr">
        <is>
          <t>Connect each allowance to its actual trigger</t>
        </is>
      </c>
      <c r="E56" s="37" t="inlineStr">
        <is>
          <t>An entitlement can be missed when a duty, qualification or work-pattern trigger is not communicated to payroll.</t>
        </is>
      </c>
      <c r="F56" s="37" t="inlineStr">
        <is>
          <t>Build a short allowance and loading register from the applicable instruments, including the trigger, amount source, evidence and payroll owner.</t>
        </is>
      </c>
      <c r="G56" s="37" t="inlineStr">
        <is>
          <t>A checked trigger register and a sample of eligible payments or supported non-applicability.</t>
        </is>
      </c>
      <c r="H56" s="37" t="inlineStr">
        <is>
          <t>Payroll lead / owner</t>
        </is>
      </c>
      <c r="I56" s="37" t="inlineStr">
        <is>
          <t>Risk Method timing is the initial response target; actual duties and earlier events take precedence. Recheck: Changed duties, qualifications, work patterns or instrument rates.</t>
        </is>
      </c>
      <c r="J56" s="37" t="inlineStr">
        <is>
          <t>A dated role/pay register, a short sample check and an owner for exceptions can be sufficient evidence of the process.</t>
        </is>
      </c>
      <c r="K56" s="37" t="inlineStr">
        <is>
          <t>Sample different roles, instruments, pay patterns and locations. Record exception escalation and independent review responsibilities.</t>
        </is>
      </c>
      <c r="L56" s="37" t="inlineStr">
        <is>
          <t>Targeted payroll, award/classification or salary-arrangement review, scoped to the flagged population.</t>
        </is>
      </c>
      <c r="M56" s="37" t="inlineStr">
        <is>
          <t>PAY_ASSURANCE</t>
        </is>
      </c>
      <c r="N56" s="37" t="inlineStr">
        <is>
          <t>S06;S07</t>
        </is>
      </c>
      <c r="O56" s="37" t="inlineStr">
        <is>
          <t>https://www.fairwork.gov.au/pay-and-wages/minimum-wages/annualised-salaries
https://www.fairwork.gov.au/newsroom/news/offsetting-and-record-keeping-salaried-employees</t>
        </is>
      </c>
      <c r="P56" s="48" t="n">
        <v>3</v>
      </c>
      <c r="Q56" s="37" t="inlineStr">
        <is>
          <t>Map relevant triggers and who confirms eligibility; check any proposed inclusion in a salary or flat rate separately.</t>
        </is>
      </c>
      <c r="R56" s="37" t="inlineStr">
        <is>
          <t>Review a recent employee change and confirm the resulting allowance or loading was correctly applied.</t>
        </is>
      </c>
      <c r="S56" s="37" t="inlineStr">
        <is>
          <t>Paying familiar allowances while assuming they cover every required item.</t>
        </is>
      </c>
      <c r="T56" s="37" t="inlineStr">
        <is>
          <t>Changed duties, qualifications, work patterns or instrument rates.</t>
        </is>
      </c>
      <c r="U56" s="37" t="inlineStr">
        <is>
          <t>PAY01</t>
        </is>
      </c>
    </row>
    <row r="57" ht="61" customHeight="1">
      <c r="A57" s="38" t="inlineStr">
        <is>
          <t>A_B08</t>
        </is>
      </c>
      <c r="B57" s="38" t="inlineStr">
        <is>
          <t>B08</t>
        </is>
      </c>
      <c r="C57" s="38" t="inlineStr">
        <is>
          <t>Use B08_0 / _1 / _2 / _3 / _DK in Answer Outcomes, then apply Risk Context. Weight is not the risk rating.</t>
        </is>
      </c>
      <c r="D57" s="38" t="inlineStr">
        <is>
          <t>Check authority before deducting pay</t>
        </is>
      </c>
      <c r="E57" s="38" t="inlineStr">
        <is>
          <t>Employee agreement does not make every deduction permissible. A deduction may reduce pay without a sufficient lawful basis.</t>
        </is>
      </c>
      <c r="F57" s="38" t="inlineStr">
        <is>
          <t>Review proposed deductions and recent recovery arrangements against the relevant legal basis. Seek advice where the deduction benefits the employer or is disputed.</t>
        </is>
      </c>
      <c r="G57" s="38" t="inlineStr">
        <is>
          <t>A deduction-specific authority and agreement record, with the calculation checked.</t>
        </is>
      </c>
      <c r="H57" s="38" t="inlineStr">
        <is>
          <t>Payroll lead / owner</t>
        </is>
      </c>
      <c r="I57" s="38" t="inlineStr">
        <is>
          <t>Risk Method timing is the initial response target; actual duties and earlier events take precedence. Recheck: Every new or changed non-statutory deduction.</t>
        </is>
      </c>
      <c r="J57" s="38" t="inlineStr">
        <is>
          <t>A dated role/pay register, a short sample check and an owner for exceptions can be sufficient evidence of the process.</t>
        </is>
      </c>
      <c r="K57" s="38" t="inlineStr">
        <is>
          <t>Sample different roles, instruments, pay patterns and locations. Record exception escalation and independent review responsibilities.</t>
        </is>
      </c>
      <c r="L57" s="38" t="inlineStr">
        <is>
          <t>Targeted payroll, award/classification or salary-arrangement review, scoped to the flagged population.</t>
        </is>
      </c>
      <c r="M57" s="38" t="inlineStr">
        <is>
          <t>PAY_ASSURANCE</t>
        </is>
      </c>
      <c r="N57" s="38" t="inlineStr">
        <is>
          <t>S08</t>
        </is>
      </c>
      <c r="O57" s="38" t="inlineStr">
        <is>
          <t>https://www.fairwork.gov.au/pay-and-wages/deductions-and-related-issues/deducting-pay</t>
        </is>
      </c>
      <c r="P57" s="49" t="n">
        <v>3</v>
      </c>
      <c r="Q57" s="38" t="inlineStr">
        <is>
          <t>Identify the specific legal basis and required conditions before processing; obtain advice where permission is unclear.</t>
        </is>
      </c>
      <c r="R57" s="38" t="inlineStr">
        <is>
          <t>Keep the authority and calculation trail and inspect the resulting pay record.</t>
        </is>
      </c>
      <c r="S57" s="38" t="inlineStr">
        <is>
          <t>Relying on a broad contract clause or treating an overpayment as automatic authority to deduct.</t>
        </is>
      </c>
      <c r="T57" s="38" t="inlineStr">
        <is>
          <t>Every new or changed non-statutory deduction.</t>
        </is>
      </c>
      <c r="U57" s="38" t="inlineStr">
        <is>
          <t>PAY01</t>
        </is>
      </c>
    </row>
    <row r="58" ht="61" customHeight="1">
      <c r="A58" s="37" t="inlineStr">
        <is>
          <t>A_B09</t>
        </is>
      </c>
      <c r="B58" s="37" t="inlineStr">
        <is>
          <t>B09</t>
        </is>
      </c>
      <c r="C58" s="37" t="inlineStr">
        <is>
          <t>Use B09_0 / _1 / _2 / _3 / _DK in Answer Outcomes, then apply Risk Context. Weight is not the risk rating.</t>
        </is>
      </c>
      <c r="D58" s="37" t="inlineStr">
        <is>
          <t>Resolve shutdown arrangements before notice is due</t>
        </is>
      </c>
      <c r="E58" s="37" t="inlineStr">
        <is>
          <t>A shutdown arrangement can affect leave, notice and pay differently for employees with different balances or coverage.</t>
        </is>
      </c>
      <c r="F58" s="37" t="inlineStr">
        <is>
          <t>Check the shutdown clause and notice deadline, then identify affected employees and any balance shortfalls requiring a lawful alternative.</t>
        </is>
      </c>
      <c r="G58" s="37" t="inlineStr">
        <is>
          <t>A shutdown plan with the applicable authority, notice and individual arrangements.</t>
        </is>
      </c>
      <c r="H58" s="37" t="inlineStr">
        <is>
          <t>Payroll lead / owner</t>
        </is>
      </c>
      <c r="I58" s="37" t="inlineStr">
        <is>
          <t>Risk Method timing is the initial response target; actual duties and earlier events take precedence. Recheck: Each planned shutdown or changed instrument provision.</t>
        </is>
      </c>
      <c r="J58" s="37" t="inlineStr">
        <is>
          <t>A dated role/pay register, a short sample check and an owner for exceptions can be sufficient evidence of the process.</t>
        </is>
      </c>
      <c r="K58" s="37" t="inlineStr">
        <is>
          <t>Sample different roles, instruments, pay patterns and locations. Record exception escalation and independent review responsibilities.</t>
        </is>
      </c>
      <c r="L58" s="37" t="inlineStr">
        <is>
          <t>Targeted payroll, award/classification or salary-arrangement review, scoped to the flagged population.</t>
        </is>
      </c>
      <c r="M58" s="37" t="inlineStr">
        <is>
          <t>LEAVE</t>
        </is>
      </c>
      <c r="N58" s="37" t="inlineStr">
        <is>
          <t>S29</t>
        </is>
      </c>
      <c r="O58" s="37" t="inlineStr">
        <is>
          <t>https://www.fairwork.gov.au/leave/annual-leave/directing-an-employee-to-take-annual-leave/direction-to-take-annual-leave-during-a-shut-down</t>
        </is>
      </c>
      <c r="P58" s="48" t="n">
        <v>3</v>
      </c>
      <c r="Q58" s="37" t="inlineStr">
        <is>
          <t>Check the applicable instrument and proposed direction, including lawful options for insufficient leave balances.</t>
        </is>
      </c>
      <c r="R58" s="37" t="inlineStr">
        <is>
          <t>Confirm communication, notice and each affected person's arrangement before the shutdown starts.</t>
        </is>
      </c>
      <c r="S58" s="37" t="inlineStr">
        <is>
          <t>Assuming employees without sufficient leave can simply be placed on unpaid leave.</t>
        </is>
      </c>
      <c r="T58" s="37" t="inlineStr">
        <is>
          <t>Each planned shutdown or changed instrument provision.</t>
        </is>
      </c>
      <c r="U58" s="37" t="inlineStr">
        <is>
          <t>PAY01;PAY03</t>
        </is>
      </c>
    </row>
    <row r="59" ht="61" customHeight="1">
      <c r="A59" s="38" t="inlineStr">
        <is>
          <t>A_B10</t>
        </is>
      </c>
      <c r="B59" s="38" t="inlineStr">
        <is>
          <t>B10</t>
        </is>
      </c>
      <c r="C59" s="38" t="inlineStr">
        <is>
          <t>Use B10_0 / _1 / _2 / _3 / _DK in Answer Outcomes, then apply Risk Context. Weight is not the risk rating.</t>
        </is>
      </c>
      <c r="D59" s="38" t="inlineStr">
        <is>
          <t>Treat every leave cash-out as a separate decision</t>
        </is>
      </c>
      <c r="E59" s="38" t="inlineStr">
        <is>
          <t>An informal cash-out can miss restrictions, remaining-balance conditions or the correct payment for the employee.</t>
        </is>
      </c>
      <c r="F59" s="38" t="inlineStr">
        <is>
          <t>Check the relevant instrument before approval, including earlier cash-outs where a rolling limit applies, and document the specific agreement.</t>
        </is>
      </c>
      <c r="G59" s="38" t="inlineStr">
        <is>
          <t>An individually checked agreement, remaining balance and correct payment calculation.</t>
        </is>
      </c>
      <c r="H59" s="38" t="inlineStr">
        <is>
          <t>Payroll lead / owner</t>
        </is>
      </c>
      <c r="I59" s="38" t="inlineStr">
        <is>
          <t>Risk Method timing is the initial response target; actual duties and earlier events take precedence. Recheck: Every cash-out request.</t>
        </is>
      </c>
      <c r="J59" s="38" t="inlineStr">
        <is>
          <t>A dated role/pay register, a short sample check and an owner for exceptions can be sufficient evidence of the process.</t>
        </is>
      </c>
      <c r="K59" s="38" t="inlineStr">
        <is>
          <t>Sample different roles, instruments, pay patterns and locations. Record exception escalation and independent review responsibilities.</t>
        </is>
      </c>
      <c r="L59" s="38" t="inlineStr">
        <is>
          <t>Targeted payroll, award/classification or salary-arrangement review, scoped to the flagged population.</t>
        </is>
      </c>
      <c r="M59" s="38" t="inlineStr">
        <is>
          <t>LEAVE</t>
        </is>
      </c>
      <c r="N59" s="38" t="inlineStr">
        <is>
          <t>S28</t>
        </is>
      </c>
      <c r="O59" s="38" t="inlineStr">
        <is>
          <t>https://www.fairwork.gov.au/leave/annual-leave/cashing-out-annual-leave</t>
        </is>
      </c>
      <c r="P59" s="49" t="n">
        <v>3</v>
      </c>
      <c r="Q59" s="38" t="inlineStr">
        <is>
          <t>Check the particular request against the applicable conditions and prepare a separate agreement where required.</t>
        </is>
      </c>
      <c r="R59" s="38" t="inlineStr">
        <is>
          <t>Verify the payment and remaining leave balance, retaining the supporting calculation.</t>
        </is>
      </c>
      <c r="S59" s="38" t="inlineStr">
        <is>
          <t>Applying a rule from one award to the entire workforce.</t>
        </is>
      </c>
      <c r="T59" s="38" t="inlineStr">
        <is>
          <t>Every cash-out request.</t>
        </is>
      </c>
      <c r="U59" s="38" t="inlineStr">
        <is>
          <t>PAY01;PAY03</t>
        </is>
      </c>
    </row>
    <row r="60" ht="61" customHeight="1">
      <c r="A60" s="37" t="inlineStr">
        <is>
          <t>A_B11</t>
        </is>
      </c>
      <c r="B60" s="37" t="inlineStr">
        <is>
          <t>B11</t>
        </is>
      </c>
      <c r="C60" s="37" t="inlineStr">
        <is>
          <t>Use B11_0 / _1 / _2 / _3 / _DK in Answer Outcomes, then apply Risk Context. Weight is not the risk rating.</t>
        </is>
      </c>
      <c r="D60" s="37" t="inlineStr">
        <is>
          <t>Check the applicable scheme, not a general industry label</t>
        </is>
      </c>
      <c r="E60" s="37" t="inlineStr">
        <is>
          <t>An unsupported coverage assumption can leave registration, returns or contributions unresolved.</t>
        </is>
      </c>
      <c r="F60" s="37" t="inlineStr">
        <is>
          <t>Check each work location and covered activity with the relevant scheme authority. Record the coverage decision and any registration or reporting actions.</t>
        </is>
      </c>
      <c r="G60" s="37" t="inlineStr">
        <is>
          <t>A jurisdiction-specific coverage record and evidence of required registration, returns and contributions.</t>
        </is>
      </c>
      <c r="H60" s="37" t="inlineStr">
        <is>
          <t>Payroll lead / owner</t>
        </is>
      </c>
      <c r="I60" s="37" t="inlineStr">
        <is>
          <t>Risk Method timing is the initial response target; actual duties and earlier events take precedence. Recheck: Changed activities, locations, scheme rules or covered workers.</t>
        </is>
      </c>
      <c r="J60" s="37" t="inlineStr">
        <is>
          <t>A dated role/pay register, a short sample check and an owner for exceptions can be sufficient evidence of the process.</t>
        </is>
      </c>
      <c r="K60" s="37" t="inlineStr">
        <is>
          <t>Sample different roles, instruments, pay patterns and locations. Record exception escalation and independent review responsibilities.</t>
        </is>
      </c>
      <c r="L60" s="37" t="inlineStr">
        <is>
          <t>Targeted payroll, award/classification or salary-arrangement review, scoped to the flagged population.</t>
        </is>
      </c>
      <c r="M60" s="37" t="inlineStr">
        <is>
          <t>LEAVE</t>
        </is>
      </c>
      <c r="N60" s="37" t="inlineStr">
        <is>
          <t>S31</t>
        </is>
      </c>
      <c r="O60" s="37" t="inlineStr">
        <is>
          <t>https://www.nsw.gov.au/employment/rights-responsibilities/portable-long-service/csi-long-service-leave-scheme/employer-obligations</t>
        </is>
      </c>
      <c r="P60" s="48" t="n">
        <v>3</v>
      </c>
      <c r="Q60" s="37" t="inlineStr">
        <is>
          <t>Obtain a supported industry and jurisdiction coverage decision and identify applicable scheme tasks.</t>
        </is>
      </c>
      <c r="R60" s="37" t="inlineStr">
        <is>
          <t>Reconcile required registrations, returns and contributions with workforce data, while maintaining ordinary leave obligations where applicable.</t>
        </is>
      </c>
      <c r="S60" s="37" t="inlineStr">
        <is>
          <t>Assuming a portable scheme replaces every ordinary long-service-leave obligation.</t>
        </is>
      </c>
      <c r="T60" s="37" t="inlineStr">
        <is>
          <t>Changed activities, locations, scheme rules or covered workers.</t>
        </is>
      </c>
      <c r="U60" s="37" t="inlineStr">
        <is>
          <t>PAY01;PAY03</t>
        </is>
      </c>
    </row>
    <row r="61" ht="61" customHeight="1">
      <c r="A61" s="38" t="inlineStr">
        <is>
          <t>A_B12</t>
        </is>
      </c>
      <c r="B61" s="38" t="inlineStr">
        <is>
          <t>B12</t>
        </is>
      </c>
      <c r="C61" s="38" t="inlineStr">
        <is>
          <t>Use B12_0 / _1 / _2 / _3 / _DK in Answer Outcomes, then apply Risk Context. Weight is not the risk rating.</t>
        </is>
      </c>
      <c r="D61" s="38" t="inlineStr">
        <is>
          <t>Confirm the flexibility arrangement is the right legal mechanism</t>
        </is>
      </c>
      <c r="E61" s="38" t="inlineStr">
        <is>
          <t>Consent alone may not satisfy an IFA's permitted scope, documentation and better-off-overall requirements.</t>
        </is>
      </c>
      <c r="F61" s="38" t="inlineStr">
        <is>
          <t>Identify what each IFA varies and review its basis and effect against the relevant instrument. Keep the employee's genuine agreement and comparison on file.</t>
        </is>
      </c>
      <c r="G61" s="38" t="inlineStr">
        <is>
          <t>A reviewed IFA, comparison and record of agreement, with a review trigger.</t>
        </is>
      </c>
      <c r="H61" s="38" t="inlineStr">
        <is>
          <t>Owner / HR lead</t>
        </is>
      </c>
      <c r="I61" s="38" t="inlineStr">
        <is>
          <t>Risk Method timing is the initial response target; actual duties and earlier events take precedence. Recheck: New IFAs or changed pay, hours, circumstances or instrument terms.</t>
        </is>
      </c>
      <c r="J61" s="38" t="inlineStr">
        <is>
          <t>A current terms register and a controlled set of suitable templates can be proportionate.</t>
        </is>
      </c>
      <c r="K61" s="38" t="inlineStr">
        <is>
          <t>Use controlled templates, approval limits and version/variation tracking across entities and roles.</t>
        </is>
      </c>
      <c r="L61" s="38" t="inlineStr">
        <is>
          <t>Employment terms and engagement review, with legal referral for issues outside the agreed HR advisory scope.</t>
        </is>
      </c>
      <c r="M61" s="38" t="inlineStr">
        <is>
          <t>TERMS</t>
        </is>
      </c>
      <c r="N61" s="38" t="inlineStr">
        <is>
          <t>S30</t>
        </is>
      </c>
      <c r="O61" s="38" t="inlineStr">
        <is>
          <t>https://www.fairwork.gov.au/employment-conditions/flexibility-in-the-workplace/individual-flexibility-arrangements</t>
        </is>
      </c>
      <c r="P61" s="49" t="n">
        <v>3</v>
      </c>
      <c r="Q61" s="38" t="inlineStr">
        <is>
          <t>Check the specific terms being varied and the employee's position under the applicable instrument.</t>
        </is>
      </c>
      <c r="R61" s="38" t="inlineStr">
        <is>
          <t>Retain the supported comparison and required agreement, and review when relevant circumstances change.</t>
        </is>
      </c>
      <c r="S61" s="38" t="inlineStr">
        <is>
          <t>Calling any flexible roster or work-from-home agreement an IFA.</t>
        </is>
      </c>
      <c r="T61" s="38" t="inlineStr">
        <is>
          <t>New IFAs or changed pay, hours, circumstances or instrument terms.</t>
        </is>
      </c>
      <c r="U61" s="38" t="inlineStr">
        <is>
          <t>PAY01;B01</t>
        </is>
      </c>
    </row>
    <row r="62" ht="91" customHeight="1">
      <c r="A62" s="37" t="inlineStr">
        <is>
          <t>A_B13</t>
        </is>
      </c>
      <c r="B62" s="37" t="inlineStr">
        <is>
          <t>B13</t>
        </is>
      </c>
      <c r="C62" s="37" t="inlineStr">
        <is>
          <t>Use B13_0 / _1 / _2 / _3 / _DK in Answer Outcomes, then apply Risk Context. Weight is not the risk rating.</t>
        </is>
      </c>
      <c r="D62" s="37" t="inlineStr">
        <is>
          <t>Keep required credentials current</t>
        </is>
      </c>
      <c r="E62" s="37" t="inlineStr">
        <is>
          <t>Expired or inappropriate credentials may permit work that should not proceed without a current authorisation.</t>
        </is>
      </c>
      <c r="F62" s="37" t="inlineStr">
        <is>
          <t>List the credentials required by each relevant role, verify current evidence and set an escalation before expiry or restriction.</t>
        </is>
      </c>
      <c r="G62" s="37" t="inlineStr">
        <is>
          <t>A current credential register and clear controls preventing unauthorised work.</t>
        </is>
      </c>
      <c r="H62" s="37" t="inlineStr">
        <is>
          <t>Hiring manager / coordinator</t>
        </is>
      </c>
      <c r="I62" s="37" t="inlineStr">
        <is>
          <t>Risk Method timing is the initial response target; actual duties and earlier events take precedence. Recheck: Before relevant work and on expiry, restriction or suspension.</t>
        </is>
      </c>
      <c r="J62" s="37" t="inlineStr">
        <is>
          <t>A short pre-start and first-week checklist with named follow-up can work well.</t>
        </is>
      </c>
      <c r="K62" s="37" t="inlineStr">
        <is>
          <t>Coordinate manager, payroll, IT and site responsibilities; sample completion and starter understanding.</t>
        </is>
      </c>
      <c r="L62" s="37" t="inlineStr">
        <is>
          <t>Practical onboarding workflow and required-information controls.</t>
        </is>
      </c>
      <c r="M62" s="37" t="inlineStr">
        <is>
          <t>START_SAFE</t>
        </is>
      </c>
      <c r="N62" s="37" t="inlineStr">
        <is>
          <t>S13;S32</t>
        </is>
      </c>
      <c r="O62" s="37" t="inlineStr">
        <is>
          <t>https://www.safeworkaustralia.gov.au/safety-topic/managing-health-and-safety/identify-assess-and-control-hazards/managing-risks
https://immi.homeaffairs.gov.au/visa-conditions-subsite/Pages/Check-conditions-online-vevo.aspx</t>
        </is>
      </c>
      <c r="P62" s="48" t="n">
        <v>3</v>
      </c>
      <c r="Q62" s="37" t="inlineStr">
        <is>
          <t>Verify relevant credentials and task restrictions, assign monitoring responsibility and define what happens on expiry or suspension.</t>
        </is>
      </c>
      <c r="R62" s="37" t="inlineStr">
        <is>
          <t>Test one upcoming expiry and confirm work allocation prevents an unauthorised task.</t>
        </is>
      </c>
      <c r="S62" s="37" t="inlineStr">
        <is>
          <t>Treating a reminder email as sufficient without checking the response to expiry.</t>
        </is>
      </c>
      <c r="T62" s="37" t="inlineStr">
        <is>
          <t>Before relevant work and on expiry, restriction or suspension.</t>
        </is>
      </c>
      <c r="U62" s="37" t="inlineStr">
        <is>
          <t>ONB01</t>
        </is>
      </c>
    </row>
    <row r="63" ht="121" customHeight="1">
      <c r="A63" s="38" t="inlineStr">
        <is>
          <t>A_B14</t>
        </is>
      </c>
      <c r="B63" s="38" t="inlineStr">
        <is>
          <t>B14</t>
        </is>
      </c>
      <c r="C63" s="38" t="inlineStr">
        <is>
          <t>Use B14_0 / _1 / _2 / _3 / _DK in Answer Outcomes, then apply Risk Context. Weight is not the risk rating.</t>
        </is>
      </c>
      <c r="D63" s="38" t="inlineStr">
        <is>
          <t>Keep responsibility for technology-assisted people decisions</t>
        </is>
      </c>
      <c r="E63" s="38" t="inlineStr">
        <is>
          <t>Unchecked outputs can affect applicants or employees without an adequate basis, appropriate data handling or a meaningful review route.</t>
        </is>
      </c>
      <c r="F63" s="38" t="inlineStr">
        <is>
          <t>List the tools, decisions and personal information involved. Review human oversight, provider access and applicable privacy-policy disclosures before the relevant deadline.</t>
        </is>
      </c>
      <c r="G63"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H63" s="38" t="inlineStr">
        <is>
          <t>Payroll / systems lead</t>
        </is>
      </c>
      <c r="I63" s="38" t="inlineStr">
        <is>
          <t>Risk Method timing is the initial response target; actual duties and earlier events take precedence. Recheck: A new tool, changed use, material error or applicable law change.</t>
        </is>
      </c>
      <c r="J63" s="38" t="inlineStr">
        <is>
          <t>A secure, organised repository with controlled access and tested recovery can be sufficient; a particular HR system is not required.</t>
        </is>
      </c>
      <c r="K63" s="38" t="inlineStr">
        <is>
          <t>Review role-based access, supplier arrangements, retention, logs and recovery across the employee lifecycle.</t>
        </is>
      </c>
      <c r="L63" s="38" t="inlineStr">
        <is>
          <t>Employment-record process review and coordination with privacy/cyber specialists where necessary.</t>
        </is>
      </c>
      <c r="M63" s="38" t="inlineStr">
        <is>
          <t>INFORMATION</t>
        </is>
      </c>
      <c r="N63" s="38" t="inlineStr">
        <is>
          <t>S15;S16;S17</t>
        </is>
      </c>
      <c r="O63"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P63" s="49" t="n">
        <v>3</v>
      </c>
      <c r="Q63" s="38" t="inlineStr">
        <is>
          <t>Record the tool, purpose, data and decisions affected. Test meaningful human review, relevant bias and applicable transparency requirements.</t>
        </is>
      </c>
      <c r="R63" s="38" t="inlineStr">
        <is>
          <t>Review a sample decision and test whether an error can be challenged and corrected without relying on the same output again.</t>
        </is>
      </c>
      <c r="S63" s="38" t="inlineStr">
        <is>
          <t>Treating a human clicking approve as evidence of meaningful oversight.</t>
        </is>
      </c>
      <c r="T63" s="38" t="inlineStr">
        <is>
          <t>A new tool, changed use, material error or applicable law change.</t>
        </is>
      </c>
      <c r="U63" s="38" t="inlineStr">
        <is>
          <t>DAT02;REC02</t>
        </is>
      </c>
    </row>
    <row r="64" ht="106" customHeight="1">
      <c r="A64" s="37" t="inlineStr">
        <is>
          <t>A_B15</t>
        </is>
      </c>
      <c r="B64" s="37" t="inlineStr">
        <is>
          <t>B15</t>
        </is>
      </c>
      <c r="C64" s="37" t="inlineStr">
        <is>
          <t>Use B15_0 / _1 / _2 / _3 / _DK in Answer Outcomes, then apply Risk Context. Weight is not the risk rating.</t>
        </is>
      </c>
      <c r="D64" s="37" t="inlineStr">
        <is>
          <t>Extend safety checks beyond the main workplace</t>
        </is>
      </c>
      <c r="E64" s="37" t="inlineStr">
        <is>
          <t>Reliance on the worker or another site can leave foreseeable isolation, travel, aggression or communication risks unmanaged.</t>
        </is>
      </c>
      <c r="F64" s="37" t="inlineStr">
        <is>
          <t>Review one representative remote, isolated or client-site arrangement with the worker and any other duty holder. Confirm risks, contacts and controls.</t>
        </is>
      </c>
      <c r="G64" s="37" t="inlineStr">
        <is>
          <t>A documented work-setting review and tested communication/escalation arrangement.</t>
        </is>
      </c>
      <c r="H64" s="37" t="inlineStr">
        <is>
          <t>Safety lead / owner</t>
        </is>
      </c>
      <c r="I64" s="37" t="inlineStr">
        <is>
          <t>Risk Method timing is the initial response target; actual duties and earlier events take precedence. Recheck: New work settings, host arrangements or a failed contact procedure.</t>
        </is>
      </c>
      <c r="J64" s="37" t="inlineStr">
        <is>
          <t>Keep a usable risk/control record and test emergency and injury contacts for the actual work.</t>
        </is>
      </c>
      <c r="K64" s="37" t="inlineStr">
        <is>
          <t>Test different tasks, locations and duty-holder interfaces; use competent specialist input where needed.</t>
        </is>
      </c>
      <c r="L64" s="37" t="inlineStr">
        <is>
          <t>HR/return-to-work coordination and referral to a competent WHS or insurance specialist where needed.</t>
        </is>
      </c>
      <c r="M64" s="37" t="inlineStr">
        <is>
          <t>SAFETY</t>
        </is>
      </c>
      <c r="N64" s="37" t="inlineStr">
        <is>
          <t>S13;S11</t>
        </is>
      </c>
      <c r="O64" s="37" t="inlineStr">
        <is>
          <t>https://www.safeworkaustralia.gov.au/safety-topic/managing-health-and-safety/identify-assess-and-control-hazards/managing-risks
https://www.safeworkaustralia.gov.au/safety-topic/managing-health-and-safety/mental-health/managing-risks/identifying-assessing-controlling-and-reviewing</t>
        </is>
      </c>
      <c r="P64" s="48" t="n">
        <v>3</v>
      </c>
      <c r="Q64" s="37" t="inlineStr">
        <is>
          <t>Agree site-specific controls, responsibilities and communication with relevant workers and other duty holders.</t>
        </is>
      </c>
      <c r="R64" s="37" t="inlineStr">
        <is>
          <t>Test the check-in or emergency arrangement and reassess tasks or settings not yet covered.</t>
        </is>
      </c>
      <c r="S64" s="37" t="inlineStr">
        <is>
          <t>Assuming the host workplace automatically manages every duty for the employer.</t>
        </is>
      </c>
      <c r="T64" s="37" t="inlineStr">
        <is>
          <t>New work settings, host arrangements or a failed contact procedure.</t>
        </is>
      </c>
      <c r="U64" s="37" t="inlineStr">
        <is>
          <t>WHS01;WHS02</t>
        </is>
      </c>
    </row>
    <row r="65" ht="76" customHeight="1">
      <c r="A65" s="38" t="inlineStr">
        <is>
          <t>A_B16</t>
        </is>
      </c>
      <c r="B65" s="38" t="inlineStr">
        <is>
          <t>B16</t>
        </is>
      </c>
      <c r="C65" s="38" t="inlineStr">
        <is>
          <t>Use B16_0 / _1 / _2 / _3 / _DK in Answer Outcomes, then apply Risk Context. Weight is not the risk rating.</t>
        </is>
      </c>
      <c r="D65" s="38" t="inlineStr">
        <is>
          <t>Check the reporting scope at organisation and group level</t>
        </is>
      </c>
      <c r="E65" s="38" t="inlineStr">
        <is>
          <t>An incorrect group or eligibility assumption can leave a reporting obligation without a responsible owner.</t>
        </is>
      </c>
      <c r="F65" s="38" t="inlineStr">
        <is>
          <t>Confirm eligibility, past reporting status and relevant group structure with current WGEA guidance. Allocate reporting responsibilities and key dates.</t>
        </is>
      </c>
      <c r="G65" s="38" t="inlineStr">
        <is>
          <t>An eligibility and reporting-scope record, with evidence of any required lodgement and follow-up.</t>
        </is>
      </c>
      <c r="H65" s="38" t="inlineStr">
        <is>
          <t>Business leader</t>
        </is>
      </c>
      <c r="I65" s="38" t="inlineStr">
        <is>
          <t>Risk Method timing is the initial response target; actual duties and earlier events take precedence. Recheck: Changed headcount, corporate structure, reporting history or reporting rules.</t>
        </is>
      </c>
      <c r="J65" s="38" t="inlineStr">
        <is>
          <t>Use direct conversations with a safe alternative for sensitive issues. Do not promise anonymity where individuals can be inferred.</t>
        </is>
      </c>
      <c r="K65" s="38" t="inlineStr">
        <is>
          <t>Combine employee listening with manager/site patterns and visible follow-through; protect confidentiality in small subgroups.</t>
        </is>
      </c>
      <c r="L65" s="38" t="inlineStr">
        <is>
          <t>Employee listening, retention diagnosis and accountable leadership practices.</t>
        </is>
      </c>
      <c r="M65" s="38" t="inlineStr">
        <is>
          <t>GOVERNANCE</t>
        </is>
      </c>
      <c r="N65" s="38" t="inlineStr">
        <is>
          <t>S18;S19</t>
        </is>
      </c>
      <c r="O65" s="38" t="inlineStr">
        <is>
          <t>https://www.wgea.gov.au/reporting/reporting-guide/eligibility
https://www.wgea.gov.au/reporting/reporting-guide/corporate-structures</t>
        </is>
      </c>
      <c r="P65" s="49" t="n">
        <v>2</v>
      </c>
      <c r="Q65" s="38" t="inlineStr">
        <is>
          <t>Confirm the organisation and group scope using the relevant reporting rules and history.</t>
        </is>
      </c>
      <c r="R65" s="38" t="inlineStr">
        <is>
          <t>Allocate required submissions and follow-up actions and retain evidence of completion.</t>
        </is>
      </c>
      <c r="S65" s="38" t="inlineStr">
        <is>
          <t>Using the Fair Work small-business count as the reporting eligibility test.</t>
        </is>
      </c>
      <c r="T65" s="38" t="inlineStr">
        <is>
          <t>Changed headcount, corporate structure, reporting history or reporting rules.</t>
        </is>
      </c>
      <c r="U65" s="38" t="inlineStr">
        <is>
          <t>None</t>
        </is>
      </c>
    </row>
    <row r="66" ht="91" customHeight="1">
      <c r="A66" s="37" t="inlineStr">
        <is>
          <t>A_B17</t>
        </is>
      </c>
      <c r="B66" s="37" t="inlineStr">
        <is>
          <t>B17</t>
        </is>
      </c>
      <c r="C66" s="37" t="inlineStr">
        <is>
          <t>Use B17_0 / _1 / _2 / _3 / _DK in Answer Outcomes, then apply Risk Context. Weight is not the risk rating.</t>
        </is>
      </c>
      <c r="D66" s="37" t="inlineStr">
        <is>
          <t>Test the redundancy process, not only the payment</t>
        </is>
      </c>
      <c r="E66" s="37" t="inlineStr">
        <is>
          <t>A payment calculation does not establish a genuine redundancy or a sound selection, consultation and redeployment process.</t>
        </is>
      </c>
      <c r="F66" s="37" t="inlineStr">
        <is>
          <t>Obtain a pre-decision review of the proposed structure, rationale, consultation and redeployment steps, and applicable payments.</t>
        </is>
      </c>
      <c r="G66" s="37" t="inlineStr">
        <is>
          <t>A supported redundancy plan and decision record prepared at the appropriate stage of the process.</t>
        </is>
      </c>
      <c r="H66" s="37" t="inlineStr">
        <is>
          <t>Owner / HR lead</t>
        </is>
      </c>
      <c r="I66" s="37" t="inlineStr">
        <is>
          <t>Risk Method timing is the initial response target; actual duties and earlier events take precedence. Recheck: Any proposed role removal or material restructure.</t>
        </is>
      </c>
      <c r="J66" s="37" t="inlineStr">
        <is>
          <t>A short pre-decision and departure checklist with advice for a live high-risk matter can be proportionate.</t>
        </is>
      </c>
      <c r="K66" s="37" t="inlineStr">
        <is>
          <t>Separate decision approval, payroll checking, system access and handover ownership; test that the handovers work.</t>
        </is>
      </c>
      <c r="L66" s="37" t="inlineStr">
        <is>
          <t>Pre-decision HR review, final-pay coordination and legal referral where the matter requires it.</t>
        </is>
      </c>
      <c r="M66" s="37" t="inlineStr">
        <is>
          <t>FAIR_DECISIONS</t>
        </is>
      </c>
      <c r="N66" s="37" t="inlineStr">
        <is>
          <t>S02;S25;S26</t>
        </is>
      </c>
      <c r="O66" s="37" t="inlineStr">
        <is>
          <t>https://www.fairwork.gov.au/taxonomy/term/527
https://www.fairwork.gov.au/tools-and-resources/best-practice-guides/consultation-and-cooperation-in-the-workplace
https://www.fairwork.gov.au/tools-and-resources/fact-sheets/minimum-workplace-entitlements/ending-employment</t>
        </is>
      </c>
      <c r="P66" s="48" t="n">
        <v>3</v>
      </c>
      <c r="Q66" s="37" t="inlineStr">
        <is>
          <t>Document the operational proposal and check the relevant consultation, selection, redeployment and entitlement requirements.</t>
        </is>
      </c>
      <c r="R66" s="37" t="inlineStr">
        <is>
          <t>Review the decision trail and unresolved alternatives before communicating an employment-ending decision.</t>
        </is>
      </c>
      <c r="S66" s="37" t="inlineStr">
        <is>
          <t>Using redundancy as a substitute for addressing a performance or conduct concern.</t>
        </is>
      </c>
      <c r="T66" s="37" t="inlineStr">
        <is>
          <t>Any proposed role removal or material restructure.</t>
        </is>
      </c>
      <c r="U66" s="37" t="inlineStr">
        <is>
          <t>EXT01;B21</t>
        </is>
      </c>
    </row>
    <row r="67" ht="76" customHeight="1">
      <c r="A67" s="38" t="inlineStr">
        <is>
          <t>A_B18</t>
        </is>
      </c>
      <c r="B67" s="38" t="inlineStr">
        <is>
          <t>B18</t>
        </is>
      </c>
      <c r="C67" s="38" t="inlineStr">
        <is>
          <t>Use B18_0 / _1 / _2 / _3 / _DK in Answer Outcomes, then apply Risk Context. Weight is not the risk rating.</t>
        </is>
      </c>
      <c r="D67" s="38" t="inlineStr">
        <is>
          <t>Test consistency where decisions are made</t>
        </is>
      </c>
      <c r="E67" s="38" t="inlineStr">
        <is>
          <t>A centrally issued policy may produce different decisions if managers interpret or apply it differently.</t>
        </is>
      </c>
      <c r="F67" s="38" t="inlineStr">
        <is>
          <t>Compare recent decisions on one issue, such as probation or flexible work, across managers. Identify unexplained differences and provide targeted guidance.</t>
        </is>
      </c>
      <c r="G67" s="38" t="inlineStr">
        <is>
          <t>A sample of comparable people decisions shows that the agreed criteria are used consistently, relevant differences are explained and identified errors or unfair inconsistencies have been addressed and checked.</t>
        </is>
      </c>
      <c r="H67" s="38" t="inlineStr">
        <is>
          <t>People manager</t>
        </is>
      </c>
      <c r="I67" s="38" t="inlineStr">
        <is>
          <t>Risk Method timing is the initial response target; actual duties and earlier events take precedence. Recheck: New managers, a material policy change or repeated inconsistency.</t>
        </is>
      </c>
      <c r="J67" s="38" t="inlineStr">
        <is>
          <t>Regular recorded check-ins can provide a sound process without a complex annual appraisal system.</t>
        </is>
      </c>
      <c r="K67" s="38" t="inlineStr">
        <is>
          <t>Check consistency between managers and whether evidence, support and review decisions meet agreed standards.</t>
        </is>
      </c>
      <c r="L67" s="38" t="inlineStr">
        <is>
          <t>Manager coaching and a fair performance or conduct process for the identified situation.</t>
        </is>
      </c>
      <c r="M67" s="38" t="inlineStr">
        <is>
          <t>LEADERSHIP</t>
        </is>
      </c>
      <c r="N67" s="38" t="inlineStr">
        <is>
          <t>S27;S25</t>
        </is>
      </c>
      <c r="O67" s="38" t="inlineStr">
        <is>
          <t>https://www.fairwork.gov.au/sites/default/files/migration/711/managing-underperformance-best-practice-guide.pdf
https://www.fairwork.gov.au/tools-and-resources/best-practice-guides/consultation-and-cooperation-in-the-workplace</t>
        </is>
      </c>
      <c r="P67" s="49" t="n">
        <v>2</v>
      </c>
      <c r="Q67" s="38" t="inlineStr">
        <is>
          <t>Compare a small sample of like decisions and distinguish justified differences from avoidable inconsistency.</t>
        </is>
      </c>
      <c r="R67" s="38" t="inlineStr">
        <is>
          <t>Give targeted guidance and recheck later decisions in the affected teams.</t>
        </is>
      </c>
      <c r="S67" s="38" t="inlineStr">
        <is>
          <t>Assuming equal outcomes are always required despite different facts, or ignoring unexplained variation.</t>
        </is>
      </c>
      <c r="T67" s="38" t="inlineStr">
        <is>
          <t>New managers, a material policy change or repeated inconsistency.</t>
        </is>
      </c>
      <c r="U67" s="38" t="inlineStr">
        <is>
          <t>POL02;CUL04</t>
        </is>
      </c>
    </row>
    <row r="68" ht="121" customHeight="1">
      <c r="A68" s="37" t="inlineStr">
        <is>
          <t>A_B19</t>
        </is>
      </c>
      <c r="B68" s="37" t="inlineStr">
        <is>
          <t>B19</t>
        </is>
      </c>
      <c r="C68" s="37" t="inlineStr">
        <is>
          <t>Use B19_0 / _1 / _2 / _3 / _DK in Answer Outcomes, then apply Risk Context. Weight is not the risk rating.</t>
        </is>
      </c>
      <c r="D68" s="37" t="inlineStr">
        <is>
          <t>Make after-hours expectations explicit</t>
        </is>
      </c>
      <c r="E68" s="37" t="inlineStr">
        <is>
          <t>Unclear availability expectations can create disputes about contact, rest, personal circumstances and payment.</t>
        </is>
      </c>
      <c r="F68" s="37" t="inlineStr">
        <is>
          <t>Agree which situations genuinely require contact, who is available and how availability is recognised. Check the arrangement against applicable rights and pay rules.</t>
        </is>
      </c>
      <c r="G68"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H68" s="37" t="inlineStr">
        <is>
          <t>Owner / HR lead</t>
        </is>
      </c>
      <c r="I68" s="37" t="inlineStr">
        <is>
          <t>Risk Method timing is the initial response target; actual duties and earlier events take precedence. Recheck: Changed contact expectations, duties or an after-hours dispute.</t>
        </is>
      </c>
      <c r="J68" s="37" t="inlineStr">
        <is>
          <t>Use concise policies addressing actual work; do not create a large handbook merely to improve the score.</t>
        </is>
      </c>
      <c r="K68" s="37" t="inlineStr">
        <is>
          <t>Control versions and confirm managers apply the same expectations and request processes across teams.</t>
        </is>
      </c>
      <c r="L68" s="37" t="inlineStr">
        <is>
          <t>Proportionate policy review and manager implementation support.</t>
        </is>
      </c>
      <c r="M68" s="37" t="inlineStr">
        <is>
          <t>FLEXIBILITY</t>
        </is>
      </c>
      <c r="N68" s="37" t="inlineStr">
        <is>
          <t>S43;S20;S11</t>
        </is>
      </c>
      <c r="O68" s="37"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P68" s="48" t="n">
        <v>2</v>
      </c>
      <c r="Q68" s="37" t="inlineStr">
        <is>
          <t>Discuss necessary contact, the relevant circumstances, any on-call or payment arrangement and how refusal will be assessed.</t>
        </is>
      </c>
      <c r="R68" s="37" t="inlineStr">
        <is>
          <t>Check what happens in practice and correct pressure to remain available beyond the agreed and lawful arrangement.</t>
        </is>
      </c>
      <c r="S68" s="37" t="inlineStr">
        <is>
          <t>Treating the right as a total contact ban, or assuming a managerial title removes it.</t>
        </is>
      </c>
      <c r="T68" s="37" t="inlineStr">
        <is>
          <t>Changed contact expectations, duties or an after-hours dispute.</t>
        </is>
      </c>
      <c r="U68" s="37" t="inlineStr">
        <is>
          <t>PAY01;PSY01</t>
        </is>
      </c>
    </row>
    <row r="69" ht="91" customHeight="1">
      <c r="A69" s="38" t="inlineStr">
        <is>
          <t>A_B20</t>
        </is>
      </c>
      <c r="B69" s="38" t="inlineStr">
        <is>
          <t>B20</t>
        </is>
      </c>
      <c r="C69" s="38" t="inlineStr">
        <is>
          <t>Use B20_0 / _1 / _2 / _3 / _DK in Answer Outcomes, then apply Risk Context. Weight is not the risk rating.</t>
        </is>
      </c>
      <c r="D69" s="38" t="inlineStr">
        <is>
          <t>Use the actual agreement, not a generic award checklist</t>
        </is>
      </c>
      <c r="E69" s="38" t="inlineStr">
        <is>
          <t>Maintaining headline rates alone can miss agreement rules governing classifications, allowances and employment decisions.</t>
        </is>
      </c>
      <c r="F69" s="38" t="inlineStr">
        <is>
          <t>Map the applicable agreement and coverage to affected roles, then check key payroll and employment processes against its current operation.</t>
        </is>
      </c>
      <c r="G69" s="38" t="inlineStr">
        <is>
          <t>Applicable agreement obligations are mapped to actual processes, identified differences have been corrected and the affected pay, hours or decision process has been checked again.</t>
        </is>
      </c>
      <c r="H69" s="38" t="inlineStr">
        <is>
          <t>Payroll lead / owner</t>
        </is>
      </c>
      <c r="I69" s="38" t="inlineStr">
        <is>
          <t>Risk Method timing is the initial response target; actual duties and earlier events take precedence. Recheck: Agreement variation, replacement, termination or an operational change.</t>
        </is>
      </c>
      <c r="J69" s="38" t="inlineStr">
        <is>
          <t>A dated role/pay register, a short sample check and an owner for exceptions can be sufficient evidence of the process.</t>
        </is>
      </c>
      <c r="K69" s="38" t="inlineStr">
        <is>
          <t>Sample different roles, instruments, pay patterns and locations. Record exception escalation and independent review responsibilities.</t>
        </is>
      </c>
      <c r="L69" s="38" t="inlineStr">
        <is>
          <t>Targeted payroll, award/classification or salary-arrangement review, scoped to the flagged population.</t>
        </is>
      </c>
      <c r="M69" s="38" t="inlineStr">
        <is>
          <t>PAY_ASSURANCE</t>
        </is>
      </c>
      <c r="N69" s="38" t="inlineStr">
        <is>
          <t>S06;S25;S37</t>
        </is>
      </c>
      <c r="O69" s="38" t="inlineStr">
        <is>
          <t>https://www.fairwork.gov.au/pay-and-wages/minimum-wages/annualised-salaries
https://www.fairwork.gov.au/tools-and-resources/best-practice-guides/consultation-and-cooperation-in-the-workplace
https://www.fwc.gov.au/what-enterprise-agreement</t>
        </is>
      </c>
      <c r="P69" s="49" t="n">
        <v>3</v>
      </c>
      <c r="Q69" s="38" t="inlineStr">
        <is>
          <t>Map the applicable agreement and current obligations to payroll and relevant people processes.</t>
        </is>
      </c>
      <c r="R69" s="38" t="inlineStr">
        <is>
          <t>Check a changed rate and an exception scenario, including how updates reach each responsible person.</t>
        </is>
      </c>
      <c r="S69" s="38" t="inlineStr">
        <is>
          <t>Assuming nominal expiry automatically ends the agreement.</t>
        </is>
      </c>
      <c r="T69" s="38" t="inlineStr">
        <is>
          <t>Agreement variation, replacement, termination or an operational change.</t>
        </is>
      </c>
      <c r="U69" s="38" t="inlineStr">
        <is>
          <t>PAY01</t>
        </is>
      </c>
    </row>
    <row r="70" ht="91" customHeight="1">
      <c r="A70" s="37" t="inlineStr">
        <is>
          <t>A_B21</t>
        </is>
      </c>
      <c r="B70" s="37" t="inlineStr">
        <is>
          <t>B21</t>
        </is>
      </c>
      <c r="C70" s="37" t="inlineStr">
        <is>
          <t>Use B21_0 / _1 / _2 / _3 / _DK in Answer Outcomes, then apply Risk Context. Weight is not the risk rating.</t>
        </is>
      </c>
      <c r="D70" s="37" t="inlineStr">
        <is>
          <t>Build consultation into the change plan</t>
        </is>
      </c>
      <c r="E70" s="37" t="inlineStr">
        <is>
          <t>Late consultation can prevent genuine consideration of employee views and leave required process steps uncompleted.</t>
        </is>
      </c>
      <c r="F70" s="37" t="inlineStr">
        <is>
          <t>For the next material change, identify affected workers and representatives, required information and consultation timing before implementation commitments are made.</t>
        </is>
      </c>
      <c r="G70" s="37" t="inlineStr">
        <is>
          <t>Required information and consultation occurred at the appropriate stage, employee views were genuinely considered, the outcome was communicated and resulting commitments were implemented and checked. Obtain any separately required agreement.</t>
        </is>
      </c>
      <c r="H70" s="37" t="inlineStr">
        <is>
          <t>Owner / HR lead</t>
        </is>
      </c>
      <c r="I70" s="37" t="inlineStr">
        <is>
          <t>Risk Method timing is the initial response target; actual duties and earlier events take precedence. Recheck: A material change to work, rosters, technology or structure.</t>
        </is>
      </c>
      <c r="J70" s="37" t="inlineStr">
        <is>
          <t>Use concise policies addressing actual work; do not create a large handbook merely to improve the score.</t>
        </is>
      </c>
      <c r="K70" s="37" t="inlineStr">
        <is>
          <t>Control versions and confirm managers apply the same expectations and request processes across teams.</t>
        </is>
      </c>
      <c r="L70" s="37" t="inlineStr">
        <is>
          <t>Proportionate policy review and manager implementation support.</t>
        </is>
      </c>
      <c r="M70" s="37" t="inlineStr">
        <is>
          <t>CHANGE</t>
        </is>
      </c>
      <c r="N70" s="37" t="inlineStr">
        <is>
          <t>S25;S11</t>
        </is>
      </c>
      <c r="O70" s="37" t="inlineStr">
        <is>
          <t>https://www.fairwork.gov.au/tools-and-resources/best-practice-guides/consultation-and-cooperation-in-the-workplace
https://www.safeworkaustralia.gov.au/safety-topic/managing-health-and-safety/mental-health/managing-risks/identifying-assessing-controlling-and-reviewing</t>
        </is>
      </c>
      <c r="P70" s="48" t="n">
        <v>3</v>
      </c>
      <c r="Q70" s="37" t="inlineStr">
        <is>
          <t>Identify the applicable trigger, timing and affected employees or representatives, then provide the necessary information and opportunity for input.</t>
        </is>
      </c>
      <c r="R70" s="37" t="inlineStr">
        <is>
          <t>Record how views were considered before the relevant step is finalised, and check any separate consent requirements.</t>
        </is>
      </c>
      <c r="S70" s="37" t="inlineStr">
        <is>
          <t>Calling a finished-decision announcement consultation, or assuming consultation always means negotiation.</t>
        </is>
      </c>
      <c r="T70" s="37" t="inlineStr">
        <is>
          <t>A material change to work, rosters, technology or structure.</t>
        </is>
      </c>
      <c r="U70" s="37" t="inlineStr">
        <is>
          <t>POL01</t>
        </is>
      </c>
    </row>
    <row r="71" ht="76" customHeight="1">
      <c r="A71" s="38" t="inlineStr">
        <is>
          <t>A_B22</t>
        </is>
      </c>
      <c r="B71" s="38" t="inlineStr">
        <is>
          <t>B22</t>
        </is>
      </c>
      <c r="C71" s="38" t="inlineStr">
        <is>
          <t>Use B22_0 / _1 / _2 / _3 / _DK in Answer Outcomes, then apply Risk Context. Weight is not the risk rating.</t>
        </is>
      </c>
      <c r="D71" s="38" t="inlineStr">
        <is>
          <t>Keep special-rate eligibility and progression current</t>
        </is>
      </c>
      <c r="E71" s="38" t="inlineStr">
        <is>
          <t>A reduced or starting rate may cease to be appropriate when age, duties, competency or training conditions change.</t>
        </is>
      </c>
      <c r="F71" s="38" t="inlineStr">
        <is>
          <t>Check each affected employee's training arrangement, duties and progression dates against current requirements and payroll settings.</t>
        </is>
      </c>
      <c r="G71" s="38" t="inlineStr">
        <is>
          <t>An eligibility and progression register with current evidence and payroll updates.</t>
        </is>
      </c>
      <c r="H71" s="38" t="inlineStr">
        <is>
          <t>Payroll lead / owner</t>
        </is>
      </c>
      <c r="I71" s="38" t="inlineStr">
        <is>
          <t>Risk Method timing is the initial response target; actual duties and earlier events take precedence. Recheck: An age, competency, duties or training milestone.</t>
        </is>
      </c>
      <c r="J71" s="38" t="inlineStr">
        <is>
          <t>A dated role/pay register, a short sample check and an owner for exceptions can be sufficient evidence of the process.</t>
        </is>
      </c>
      <c r="K71" s="38" t="inlineStr">
        <is>
          <t>Sample different roles, instruments, pay patterns and locations. Record exception escalation and independent review responsibilities.</t>
        </is>
      </c>
      <c r="L71" s="38" t="inlineStr">
        <is>
          <t>Targeted payroll, award/classification or salary-arrangement review, scoped to the flagged population.</t>
        </is>
      </c>
      <c r="M71" s="38" t="inlineStr">
        <is>
          <t>PAY_ASSURANCE</t>
        </is>
      </c>
      <c r="N71" s="38" t="inlineStr">
        <is>
          <t>S33;S34</t>
        </is>
      </c>
      <c r="O71" s="38" t="inlineStr">
        <is>
          <t>https://www.fairwork.gov.au/pay-and-wages/minimum-wages/apprentice-and-trainee-pay-rates
https://www.fairwork.gov.au/pay-and-wages/minimum-wages/junior-pay-rates</t>
        </is>
      </c>
      <c r="P71" s="49" t="n">
        <v>3</v>
      </c>
      <c r="Q71" s="38" t="inlineStr">
        <is>
          <t>Verify the applicable basis and progression triggers for each affected arrangement.</t>
        </is>
      </c>
      <c r="R71" s="38" t="inlineStr">
        <is>
          <t>Test a recent milestone and set responsibility for future changes in payroll and records.</t>
        </is>
      </c>
      <c r="S71" s="38" t="inlineStr">
        <is>
          <t>Using a lower rate solely because someone is young or learning a role.</t>
        </is>
      </c>
      <c r="T71" s="38" t="inlineStr">
        <is>
          <t>An age, competency, duties or training milestone.</t>
        </is>
      </c>
      <c r="U71" s="38" t="inlineStr">
        <is>
          <t>PAY01</t>
        </is>
      </c>
    </row>
    <row r="72" ht="121" customHeight="1">
      <c r="A72" s="37" t="inlineStr">
        <is>
          <t>A_B23</t>
        </is>
      </c>
      <c r="B72" s="37" t="inlineStr">
        <is>
          <t>B23</t>
        </is>
      </c>
      <c r="C72" s="37" t="inlineStr">
        <is>
          <t>Use B23_0 / _1 / _2 / _3 / _DK in Answer Outcomes, then apply Risk Context. Weight is not the risk rating.</t>
        </is>
      </c>
      <c r="D72" s="37" t="inlineStr">
        <is>
          <t>Resolve the shortfall and prevent its recurrence</t>
        </is>
      </c>
      <c r="E72" s="37" t="inlineStr">
        <is>
          <t>Fixing only the next payment can leave earlier entitlements unpaid or the same error affecting other people.</t>
        </is>
      </c>
      <c r="F72" s="37" t="inlineStr">
        <is>
          <t>Preserve the relevant pay and work records, allocate an owner and confirm what has been reported before deciding the scope of review.</t>
        </is>
      </c>
      <c r="G72" s="37" t="inlineStr">
        <is>
          <t>A documented scope and calculation, correction and communication record, related obligation checks and a successful follow-up payroll test.</t>
        </is>
      </c>
      <c r="H72" s="37" t="inlineStr">
        <is>
          <t>Payroll lead / owner</t>
        </is>
      </c>
      <c r="I72" s="37" t="inlineStr">
        <is>
          <t>Risk Method timing is the initial response target; actual duties and earlier events take precedence. Recheck: Any suspected or identified shortfall and completion of its correction.</t>
        </is>
      </c>
      <c r="J72" s="37" t="inlineStr">
        <is>
          <t>Use a concise record with a named owner and a practical check. The outcome matters more than the size of the document.</t>
        </is>
      </c>
      <c r="K72" s="37" t="inlineStr">
        <is>
          <t>Check each materially different work arrangement, team or location and specify handovers and escalation.</t>
        </is>
      </c>
      <c r="L72" s="37" t="inlineStr">
        <is>
          <t>A targeted review of the flagged issue, practical implementation support and specialist referral where necessary.</t>
        </is>
      </c>
      <c r="M72" s="37" t="inlineStr">
        <is>
          <t>PAY_REMEDIATION</t>
        </is>
      </c>
      <c r="N72" s="37" t="inlineStr">
        <is>
          <t>S40;S05;S14</t>
        </is>
      </c>
      <c r="O72" s="37"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P72" s="48" t="n">
        <v>3</v>
      </c>
      <c r="Q72" s="37" t="inlineStr">
        <is>
          <t>Establish the affected rule, period and population; calculate the correction and related obligations and communicate appropriately.</t>
        </is>
      </c>
      <c r="R72" s="37" t="inlineStr">
        <is>
          <t>Complete and record the correction, repair the cause and test a later affected pay cycle.</t>
        </is>
      </c>
      <c r="S72" s="37" t="inlineStr">
        <is>
          <t>Treating a changed payroll setting as evidence that past underpayments have been resolved.</t>
        </is>
      </c>
      <c r="T72" s="37" t="inlineStr">
        <is>
          <t>Any suspected or identified shortfall and completion of its correction.</t>
        </is>
      </c>
      <c r="U72" s="37" t="inlineStr">
        <is>
          <t>PAY01;PAY02;DAT01</t>
        </is>
      </c>
    </row>
    <row r="73" ht="151" customHeight="1">
      <c r="A73" s="38" t="inlineStr">
        <is>
          <t>A_B24</t>
        </is>
      </c>
      <c r="B73" s="38" t="inlineStr">
        <is>
          <t>B24</t>
        </is>
      </c>
      <c r="C73" s="38" t="inlineStr">
        <is>
          <t>Use B24_0 / _1 / _2 / _3 / _DK in Answer Outcomes, then apply Risk Context. Weight is not the risk rating.</t>
        </is>
      </c>
      <c r="D73" s="38" t="inlineStr">
        <is>
          <t>Remove the work barrier through a considered adjustment</t>
        </is>
      </c>
      <c r="E73" s="38" t="inlineStr">
        <is>
          <t>A standard process may disadvantage a person where a workplace adjustment should be considered before a decision or task proceeds.</t>
        </is>
      </c>
      <c r="F73" s="38" t="inlineStr">
        <is>
          <t>Arrange a private discussion about the work-related barrier and the outcome needed. Seek only information relevant to assessing the adjustment.</t>
        </is>
      </c>
      <c r="G73" s="38" t="inlineStr">
        <is>
          <t>A proportionate record of the barrier, options considered, decision and implementation, with a review of effectiveness and restricted information access.</t>
        </is>
      </c>
      <c r="H73" s="38" t="inlineStr">
        <is>
          <t>Owner / HR lead with the employee</t>
        </is>
      </c>
      <c r="I73" s="38" t="inlineStr">
        <is>
          <t>Risk Method timing is the initial response target; actual duties and earlier events take precedence. Recheck: An adjustment request, identified barrier or changed requirements.</t>
        </is>
      </c>
      <c r="J73" s="38" t="inlineStr">
        <is>
          <t>Use a concise record with a named owner and a practical check. The outcome matters more than the size of the document.</t>
        </is>
      </c>
      <c r="K73" s="38" t="inlineStr">
        <is>
          <t>Check each materially different work arrangement, team or location and specify handovers and escalation.</t>
        </is>
      </c>
      <c r="L73" s="38" t="inlineStr">
        <is>
          <t>A targeted review of the flagged issue, practical implementation support and specialist referral where necessary.</t>
        </is>
      </c>
      <c r="M73" s="38" t="inlineStr">
        <is>
          <t>ADJUSTMENTS</t>
        </is>
      </c>
      <c r="N73" s="38" t="inlineStr">
        <is>
          <t>S41;S15;S22</t>
        </is>
      </c>
      <c r="O73" s="38"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P73" s="49" t="n">
        <v>3</v>
      </c>
      <c r="Q73" s="38" t="inlineStr">
        <is>
          <t>Discuss the work-related barrier, essential job requirements and practical adjustment options with the person, seeking relevant advice where needed.</t>
        </is>
      </c>
      <c r="R73" s="38" t="inlineStr">
        <is>
          <t>Record the decision and reasoning, implement agreed measures and review whether the barrier has been addressed.</t>
        </is>
      </c>
      <c r="S73" s="38" t="inlineStr">
        <is>
          <t>Seeking more medical detail than needed or assuming an adjustment is impossible without considering options.</t>
        </is>
      </c>
      <c r="T73" s="38" t="inlineStr">
        <is>
          <t>An adjustment request, identified barrier or changed requirements.</t>
        </is>
      </c>
      <c r="U73" s="38" t="inlineStr">
        <is>
          <t>POL03;DAT02</t>
        </is>
      </c>
    </row>
    <row r="74" ht="106" customHeight="1">
      <c r="A74" s="37" t="inlineStr">
        <is>
          <t>A_B25</t>
        </is>
      </c>
      <c r="B74" s="37" t="inlineStr">
        <is>
          <t>B25</t>
        </is>
      </c>
      <c r="C74" s="37" t="inlineStr">
        <is>
          <t>Use B25_0 / _1 / _2 / _3 / _DK in Answer Outcomes, then apply Risk Context. Weight is not the risk rating.</t>
        </is>
      </c>
      <c r="D74" s="37" t="inlineStr">
        <is>
          <t>Close the gaps between organisations sharing the work</t>
        </is>
      </c>
      <c r="E74" s="37" t="inlineStr">
        <is>
          <t>A worker can fall between organisations when each assumes the other manages induction, supervision, hazards or incident response.</t>
        </is>
      </c>
      <c r="F74" s="37" t="inlineStr">
        <is>
          <t>List the shared tasks and responsible organisations, then check with the worker where induction, supervision or reporting responsibilities are unclear.</t>
        </is>
      </c>
      <c r="G74" s="37" t="inlineStr">
        <is>
          <t>An agreed responsibility record, worker induction and consultation evidence, task-specific controls and a tested incident handover.</t>
        </is>
      </c>
      <c r="H74" s="37" t="inlineStr">
        <is>
          <t>Operational lead with the other duty holder</t>
        </is>
      </c>
      <c r="I74" s="37" t="inlineStr">
        <is>
          <t>Risk Method timing is the initial response target; actual duties and earlier events take precedence. Recheck: A new placement, changed task, site or shared-work arrangement.</t>
        </is>
      </c>
      <c r="J74" s="37" t="inlineStr">
        <is>
          <t>Use a concise record with a named owner and a practical check. The outcome matters more than the size of the document.</t>
        </is>
      </c>
      <c r="K74" s="37" t="inlineStr">
        <is>
          <t>Check each materially different work arrangement, team or location and specify handovers and escalation.</t>
        </is>
      </c>
      <c r="L74" s="37" t="inlineStr">
        <is>
          <t>A targeted review of the flagged issue, practical implementation support and specialist referral where necessary.</t>
        </is>
      </c>
      <c r="M74" s="37" t="inlineStr">
        <is>
          <t>SHARED_SAFETY</t>
        </is>
      </c>
      <c r="N74" s="37" t="inlineStr">
        <is>
          <t>S42;S13;S38</t>
        </is>
      </c>
      <c r="O74" s="37" t="inlineStr">
        <is>
          <t>https://www.safeworkaustralia.gov.au/safety-topic/managing-health-and-safety/labour-hire/whs-duties
https://www.safeworkaustralia.gov.au/safety-topic/managing-health-and-safety/identify-assess-and-control-hazards/managing-risks
https://www.safeworkaustralia.gov.au/workers-compensation</t>
        </is>
      </c>
      <c r="P74" s="48" t="n">
        <v>3</v>
      </c>
      <c r="Q74" s="37" t="inlineStr">
        <is>
          <t>Agree who performs each safety task with the other duty holder and the worker, without treating the arrangement as a transfer of legal duties.</t>
        </is>
      </c>
      <c r="R74" s="37" t="inlineStr">
        <is>
          <t>Check the induction, actual task allocation, controls and incident handover before relying on the arrangement.</t>
        </is>
      </c>
      <c r="S74" s="37" t="inlineStr">
        <is>
          <t>Assuming the labour-hire provider or host carries every duty because of the contract.</t>
        </is>
      </c>
      <c r="T74" s="37" t="inlineStr">
        <is>
          <t>A new placement, changed task, site or shared-work arrangement.</t>
        </is>
      </c>
      <c r="U74" s="37" t="inlineStr">
        <is>
          <t>WHS01;WHS02;B13</t>
        </is>
      </c>
    </row>
  </sheetData>
  <autoFilter ref="A5:U74"/>
  <mergeCells count="3">
    <mergeCell ref="A1:U1"/>
    <mergeCell ref="A3:U3"/>
    <mergeCell ref="A2:U2"/>
  </mergeCells>
  <printOptions horizontalCentered="0"/>
  <pageMargins left="0.7" right="0.7" top="0.75" bottom="0.75" header="0.3" footer="0.3"/>
  <pageSetup orientation="landscape" paperSize="8" fitToHeight="0" fitToWidth="1"/>
</worksheet>
</file>

<file path=xl/worksheets/sheet6.xml><?xml version="1.0" encoding="utf-8"?>
<worksheet xmlns="http://schemas.openxmlformats.org/spreadsheetml/2006/main">
  <sheetPr>
    <tabColor rgb="0008685F"/>
    <outlinePr summaryBelow="1" summaryRight="0"/>
    <pageSetUpPr fitToPage="1"/>
  </sheetPr>
  <dimension ref="A1:Z350"/>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3" customWidth="1" min="2" max="2"/>
    <col width="12" customWidth="1" min="3" max="3"/>
    <col width="84" customWidth="1" min="4" max="4"/>
    <col width="57" customWidth="1" min="5" max="5"/>
    <col width="91" customWidth="1" min="6" max="6"/>
    <col width="91" customWidth="1" min="7" max="7"/>
    <col width="29" customWidth="1" min="8" max="8"/>
    <col width="13" customWidth="1" min="9" max="9"/>
    <col width="12" customWidth="1" min="10" max="10"/>
    <col width="13" customWidth="1" min="11" max="11"/>
    <col width="95" customWidth="1" min="12" max="12"/>
    <col width="110" customWidth="1" min="13" max="13"/>
    <col width="110" customWidth="1" min="14" max="14"/>
    <col width="105" customWidth="1" min="15" max="15"/>
    <col width="91" customWidth="1" min="16" max="16"/>
    <col width="115" customWidth="1" min="17" max="17"/>
    <col width="95" customWidth="1" min="18" max="18"/>
    <col width="66" customWidth="1" min="19" max="19"/>
    <col width="30" customWidth="1" min="20" max="20"/>
    <col width="70" customWidth="1" min="21" max="21"/>
    <col width="26" customWidth="1" min="22" max="22"/>
    <col width="17" customWidth="1" min="23" max="23"/>
    <col width="20" customWidth="1" min="24" max="24"/>
    <col width="63" customWidth="1" min="25" max="25"/>
    <col width="88" customWidth="1" min="26" max="26"/>
  </cols>
  <sheetData>
    <row r="1" ht="38" customHeight="1">
      <c r="A1" s="33" t="inlineStr">
        <is>
          <t>Answer outcomes | risk, reasoning and next steps</t>
        </is>
      </c>
    </row>
    <row r="2" ht="42" customHeight="1">
      <c r="A2" s="34" t="inlineStr">
        <is>
          <t>345 complete answer pathways. No answer receives a compliance certificate. Unknowns produce verification tasks; a strong answer produces maintenance, not an invented problem. Apply live-matter overrides after this lookup.</t>
        </is>
      </c>
    </row>
    <row r="3" ht="22" customHeight="1">
      <c r="A3" s="35" t="inlineStr">
        <is>
          <t>DREAMSTONEHR | PROPOSED V3.0 | 10 OCTOBER 2026</t>
        </is>
      </c>
    </row>
    <row r="4" ht="12" customHeight="1"/>
    <row r="5" ht="43" customHeight="1">
      <c r="A5" s="36" t="inlineStr">
        <is>
          <t>Outcome ID</t>
        </is>
      </c>
      <c r="B5" s="36" t="inlineStr">
        <is>
          <t>Question ID</t>
        </is>
      </c>
      <c r="C5" s="36" t="inlineStr">
        <is>
          <t>Response code</t>
        </is>
      </c>
      <c r="D5" s="36" t="inlineStr">
        <is>
          <t>Selected response</t>
        </is>
      </c>
      <c r="E5" s="36" t="inlineStr">
        <is>
          <t>Finding headline</t>
        </is>
      </c>
      <c r="F5" s="36" t="inlineStr">
        <is>
          <t>What this answer establishes</t>
        </is>
      </c>
      <c r="G5" s="36" t="inlineStr">
        <is>
          <t>Why it matters</t>
        </is>
      </c>
      <c r="H5" s="36" t="inlineStr">
        <is>
          <t>Risk type</t>
        </is>
      </c>
      <c r="I5" s="36" t="inlineStr">
        <is>
          <t>Consequence class</t>
        </is>
      </c>
      <c r="J5" s="36" t="inlineStr">
        <is>
          <t>Base risk rank</t>
        </is>
      </c>
      <c r="K5" s="36" t="inlineStr">
        <is>
          <t>Base priority rank</t>
        </is>
      </c>
      <c r="L5" s="36" t="inlineStr">
        <is>
          <t>Why this rating</t>
        </is>
      </c>
      <c r="M5" s="36" t="inlineStr">
        <is>
          <t>First action</t>
        </is>
      </c>
      <c r="N5" s="36" t="inlineStr">
        <is>
          <t>Then implement</t>
        </is>
      </c>
      <c r="O5" s="36" t="inlineStr">
        <is>
          <t>Then verify</t>
        </is>
      </c>
      <c r="P5" s="36" t="inlineStr">
        <is>
          <t>Timing rule</t>
        </is>
      </c>
      <c r="Q5" s="36" t="inlineStr">
        <is>
          <t>Completion evidence</t>
        </is>
      </c>
      <c r="R5" s="36" t="inlineStr">
        <is>
          <t>Evidence to inspect</t>
        </is>
      </c>
      <c r="S5" s="36" t="inlineStr">
        <is>
          <t>Recheck trigger</t>
        </is>
      </c>
      <c r="T5" s="36" t="inlineStr">
        <is>
          <t>Suggested owner</t>
        </is>
      </c>
      <c r="U5" s="36" t="inlineStr">
        <is>
          <t>Optional support</t>
        </is>
      </c>
      <c r="V5" s="36" t="inlineStr">
        <is>
          <t>Action family</t>
        </is>
      </c>
      <c r="W5" s="36" t="inlineStr">
        <is>
          <t>Action ID</t>
        </is>
      </c>
      <c r="X5" s="36" t="inlineStr">
        <is>
          <t>Source IDs</t>
        </is>
      </c>
      <c r="Y5" s="36" t="inlineStr">
        <is>
          <t>Primary source URLs</t>
        </is>
      </c>
      <c r="Z5" s="36" t="inlineStr">
        <is>
          <t>Common trap</t>
        </is>
      </c>
    </row>
    <row r="6" ht="76" customHeight="1">
      <c r="A6" s="37" t="inlineStr">
        <is>
          <t>PAY01_0</t>
        </is>
      </c>
      <c r="B6" s="37" t="inlineStr">
        <is>
          <t>PAY01</t>
        </is>
      </c>
      <c r="C6" s="48" t="n">
        <v>0</v>
      </c>
      <c r="D6" s="37" t="inlineStr">
        <is>
          <t>We have not checked which rules apply to our roles.</t>
        </is>
      </c>
      <c r="E6" s="37" t="inlineStr">
        <is>
          <t>Establish the rules behind your pay decisions</t>
        </is>
      </c>
      <c r="F6" s="37" t="inlineStr">
        <is>
          <t>The selected response reports a missing or unestablished element. Confirm the affected arrangements before drawing a conclusion about any actual breach or harm.</t>
        </is>
      </c>
      <c r="G6" s="37" t="inlineStr">
        <is>
          <t>An incorrect coverage or classification decision can affect pay, leave and working conditions every time the role is paid.</t>
        </is>
      </c>
      <c r="H6" s="37" t="inlineStr">
        <is>
          <t>Pay and employment rights</t>
        </is>
      </c>
      <c r="I6" s="48" t="n">
        <v>3</v>
      </c>
      <c r="J6" s="48" t="n">
        <v>3</v>
      </c>
      <c r="K6" s="48" t="n">
        <v>3</v>
      </c>
      <c r="L6" s="37" t="inlineStr">
        <is>
          <t>High provisional concern: an essential element remains unresolved. An incorrect coverage or classification decision can affect pay, leave and working conditions every time the role is paid.</t>
        </is>
      </c>
      <c r="M6" s="37" t="inlineStr">
        <is>
          <t>List each distinct role, actual duties, employment type, instrument and classification. Resolve uncertain roles before relying on the payroll settings.</t>
        </is>
      </c>
      <c r="N6" s="37" t="inlineStr">
        <is>
          <t>Compare actual duties with the relevant coverage and classification provisions. Record the reasoning and refer unresolved cases for competent review.</t>
        </is>
      </c>
      <c r="O6" s="37" t="inlineStr">
        <is>
          <t>Check that the approved outcome matches payroll and contract records. Review comparable roles if one classification was wrong.</t>
        </is>
      </c>
      <c r="P6" s="37" t="inlineStr">
        <is>
          <t>Review or verify within two business days and before the next affected event if earlier. Do not wait where a duty or current harm requires earlier action.</t>
        </is>
      </c>
      <c r="Q6" s="37" t="inlineStr">
        <is>
          <t>A dated coverage and classification record with reasons for every distinct role, appropriate review of uncertain classifications, and resulting payroll changes checked. An unresolved classification remains an open task. Confirm that the change works in practice, not only that a document exists.</t>
        </is>
      </c>
      <c r="R6" s="37" t="inlineStr">
        <is>
          <t>A dated coverage and classification record with reasons for every distinct role, appropriate review of uncertain classifications, and resulting payroll changes checked. An unresolved classification remains an open task.</t>
        </is>
      </c>
      <c r="S6" s="37" t="inlineStr">
        <is>
          <t>A changed role, new instrument or classification change.</t>
        </is>
      </c>
      <c r="T6" s="37" t="inlineStr">
        <is>
          <t>Payroll lead / owner</t>
        </is>
      </c>
      <c r="U6" s="37" t="inlineStr">
        <is>
          <t>Targeted payroll, award/classification or salary-arrangement review, scoped to the flagged population.</t>
        </is>
      </c>
      <c r="V6" s="37" t="inlineStr">
        <is>
          <t>PAY_ASSURANCE</t>
        </is>
      </c>
      <c r="W6" s="37" t="inlineStr">
        <is>
          <t>A_PAY01</t>
        </is>
      </c>
      <c r="X6" s="37" t="inlineStr">
        <is>
          <t>S06;S14;DESIGN</t>
        </is>
      </c>
      <c r="Y6" s="37" t="inlineStr">
        <is>
          <t>https://www.fairwork.gov.au/pay-and-wages/minimum-wages/annualised-salaries
https://www.fairwork.gov.au/tools-and-resources/fact-sheets/rights-and-obligations/record-keeping-pay-slips</t>
        </is>
      </c>
      <c r="Z6" s="37" t="inlineStr">
        <is>
          <t>A familiar job title, an ABN or an above-award salary is not evidence of correct coverage.</t>
        </is>
      </c>
    </row>
    <row r="7" ht="76" customHeight="1">
      <c r="A7" s="38" t="inlineStr">
        <is>
          <t>PAY01_1</t>
        </is>
      </c>
      <c r="B7" s="38" t="inlineStr">
        <is>
          <t>PAY01</t>
        </is>
      </c>
      <c r="C7" s="49" t="n">
        <v>1</v>
      </c>
      <c r="D7" s="38" t="inlineStr">
        <is>
          <t>We rely on job titles, past practice or payroll defaults, without a recorded coverage check.</t>
        </is>
      </c>
      <c r="E7" s="38" t="inlineStr">
        <is>
          <t>Establish the rules behind your pay decisions</t>
        </is>
      </c>
      <c r="F7" s="38" t="inlineStr">
        <is>
          <t>The selected response relies on assumptions, informal decisions or an inconsistent process. The action is to make the relevant check reliable in routine work.</t>
        </is>
      </c>
      <c r="G7" s="38" t="inlineStr">
        <is>
          <t>An incorrect coverage or classification decision can affect pay, leave and working conditions every time the role is paid.</t>
        </is>
      </c>
      <c r="H7" s="38" t="inlineStr">
        <is>
          <t>Pay and employment rights</t>
        </is>
      </c>
      <c r="I7" s="49" t="n">
        <v>3</v>
      </c>
      <c r="J7" s="49" t="n">
        <v>3</v>
      </c>
      <c r="K7" s="49" t="n">
        <v>3</v>
      </c>
      <c r="L7" s="38" t="inlineStr">
        <is>
          <t>High provisional concern: an essential element remains unresolved. An incorrect coverage or classification decision can affect pay, leave and working conditions every time the role is paid.</t>
        </is>
      </c>
      <c r="M7" s="38" t="inlineStr">
        <is>
          <t>Replace the assumption with a current check. List each distinct role, actual duties, employment type, instrument and classification. Resolve uncertain roles before relying on the payroll settings.</t>
        </is>
      </c>
      <c r="N7" s="38" t="inlineStr">
        <is>
          <t>Compare actual duties with the relevant coverage and classification provisions. Record the reasoning and refer unresolved cases for competent review.</t>
        </is>
      </c>
      <c r="O7" s="38" t="inlineStr">
        <is>
          <t>Check that the approved outcome matches payroll and contract records. Review comparable roles if one classification was wrong.</t>
        </is>
      </c>
      <c r="P7" s="38" t="inlineStr">
        <is>
          <t>Review or verify within two business days and before the next affected event if earlier. Do not wait where a duty or current harm requires earlier action.</t>
        </is>
      </c>
      <c r="Q7" s="38" t="inlineStr">
        <is>
          <t>A dated coverage and classification record with reasons for every distinct role, appropriate review of uncertain classifications, and resulting payroll changes checked. An unresolved classification remains an open task. Confirm that the change works in practice, not only that a document exists.</t>
        </is>
      </c>
      <c r="R7" s="38" t="inlineStr">
        <is>
          <t>A dated coverage and classification record with reasons for every distinct role, appropriate review of uncertain classifications, and resulting payroll changes checked. An unresolved classification remains an open task.</t>
        </is>
      </c>
      <c r="S7" s="38" t="inlineStr">
        <is>
          <t>A changed role, new instrument or classification change.</t>
        </is>
      </c>
      <c r="T7" s="38" t="inlineStr">
        <is>
          <t>Payroll lead / owner</t>
        </is>
      </c>
      <c r="U7" s="38" t="inlineStr">
        <is>
          <t>Targeted payroll, award/classification or salary-arrangement review, scoped to the flagged population.</t>
        </is>
      </c>
      <c r="V7" s="38" t="inlineStr">
        <is>
          <t>PAY_ASSURANCE</t>
        </is>
      </c>
      <c r="W7" s="38" t="inlineStr">
        <is>
          <t>A_PAY01</t>
        </is>
      </c>
      <c r="X7" s="38" t="inlineStr">
        <is>
          <t>S06;S14;DESIGN</t>
        </is>
      </c>
      <c r="Y7" s="38" t="inlineStr">
        <is>
          <t>https://www.fairwork.gov.au/pay-and-wages/minimum-wages/annualised-salaries
https://www.fairwork.gov.au/tools-and-resources/fact-sheets/rights-and-obligations/record-keeping-pay-slips</t>
        </is>
      </c>
      <c r="Z7" s="38" t="inlineStr">
        <is>
          <t>A familiar job title, an ABN or an above-award salary is not evidence of correct coverage.</t>
        </is>
      </c>
    </row>
    <row r="8" ht="76" customHeight="1">
      <c r="A8" s="37" t="inlineStr">
        <is>
          <t>PAY01_2</t>
        </is>
      </c>
      <c r="B8" s="37" t="inlineStr">
        <is>
          <t>PAY01</t>
        </is>
      </c>
      <c r="C8" s="48" t="n">
        <v>2</v>
      </c>
      <c r="D8" s="37" t="inlineStr">
        <is>
          <t>We have checked some roles, but changes or exceptions remain unresolved.</t>
        </is>
      </c>
      <c r="E8" s="37" t="inlineStr">
        <is>
          <t>Complete the remaining check: establish the rules behind your pay decisions</t>
        </is>
      </c>
      <c r="F8" s="37" t="inlineStr">
        <is>
          <t>The selected response identifies an incomplete element within an existing practice. Keep what works and target the unresolved part; the stronger elements do not cancel the gap.</t>
        </is>
      </c>
      <c r="G8" s="37" t="inlineStr">
        <is>
          <t>An incorrect coverage or classification decision can affect pay, leave and working conditions every time the role is paid.</t>
        </is>
      </c>
      <c r="H8" s="37" t="inlineStr">
        <is>
          <t>Pay and employment rights</t>
        </is>
      </c>
      <c r="I8" s="48" t="n">
        <v>3</v>
      </c>
      <c r="J8" s="48" t="n">
        <v>3</v>
      </c>
      <c r="K8" s="48" t="n">
        <v>3</v>
      </c>
      <c r="L8" s="37" t="inlineStr">
        <is>
          <t>High provisional concern: an essential element remains unresolved. An incorrect coverage or classification decision can affect pay, leave and working conditions every time the role is paid.</t>
        </is>
      </c>
      <c r="M8" s="37" t="inlineStr">
        <is>
          <t>Focus on the unresolved arrangements or exceptions. List each distinct role, actual duties, employment type, instrument and classification. Resolve uncertain roles before relying on the payroll settings.</t>
        </is>
      </c>
      <c r="N8" s="37" t="inlineStr">
        <is>
          <t>Compare actual duties with the relevant coverage and classification provisions. Record the reasoning and refer unresolved cases for competent review.</t>
        </is>
      </c>
      <c r="O8" s="37" t="inlineStr">
        <is>
          <t>Check that the approved outcome matches payroll and contract records. Review comparable roles if one classification was wrong.</t>
        </is>
      </c>
      <c r="P8" s="37" t="inlineStr">
        <is>
          <t>Review or verify within two business days and before the next affected event if earlier. Do not wait where a duty or current harm requires earlier action.</t>
        </is>
      </c>
      <c r="Q8" s="37" t="inlineStr">
        <is>
          <t>A dated coverage and classification record with reasons for every distinct role, appropriate review of uncertain classifications, and resulting payroll changes checked. An unresolved classification remains an open task. Confirm that the change works in practice, not only that a document exists.</t>
        </is>
      </c>
      <c r="R8" s="37" t="inlineStr">
        <is>
          <t>A dated coverage and classification record with reasons for every distinct role, appropriate review of uncertain classifications, and resulting payroll changes checked. An unresolved classification remains an open task.</t>
        </is>
      </c>
      <c r="S8" s="37" t="inlineStr">
        <is>
          <t>A changed role, new instrument or classification change.</t>
        </is>
      </c>
      <c r="T8" s="37" t="inlineStr">
        <is>
          <t>Payroll lead / owner</t>
        </is>
      </c>
      <c r="U8" s="37" t="inlineStr">
        <is>
          <t>Targeted payroll, award/classification or salary-arrangement review, scoped to the flagged population.</t>
        </is>
      </c>
      <c r="V8" s="37" t="inlineStr">
        <is>
          <t>PAY_ASSURANCE</t>
        </is>
      </c>
      <c r="W8" s="37" t="inlineStr">
        <is>
          <t>A_PAY01</t>
        </is>
      </c>
      <c r="X8" s="37" t="inlineStr">
        <is>
          <t>S06;S14;DESIGN</t>
        </is>
      </c>
      <c r="Y8" s="37" t="inlineStr">
        <is>
          <t>https://www.fairwork.gov.au/pay-and-wages/minimum-wages/annualised-salaries
https://www.fairwork.gov.au/tools-and-resources/fact-sheets/rights-and-obligations/record-keeping-pay-slips</t>
        </is>
      </c>
      <c r="Z8" s="37" t="inlineStr">
        <is>
          <t>A familiar job title, an ABN or an above-award salary is not evidence of correct coverage.</t>
        </is>
      </c>
    </row>
    <row r="9" ht="76" customHeight="1">
      <c r="A9" s="38" t="inlineStr">
        <is>
          <t>PAY01_3</t>
        </is>
      </c>
      <c r="B9" s="38" t="inlineStr">
        <is>
          <t>PAY01</t>
        </is>
      </c>
      <c r="C9" s="49" t="n">
        <v>3</v>
      </c>
      <c r="D9" s="38" t="inlineStr">
        <is>
          <t>We have a current record for every role, including the basis for any award-free classification, and review it when duties change.</t>
        </is>
      </c>
      <c r="E9" s="38" t="inlineStr">
        <is>
          <t>Maintain and test: establish the rules behind your pay decisions</t>
        </is>
      </c>
      <c r="F9" s="38" t="inlineStr">
        <is>
          <t>The selected response reports an established and checked practice. The tool has not inspected the evidence and cannot certify the absence of risk.</t>
        </is>
      </c>
      <c r="G9" s="38" t="inlineStr">
        <is>
          <t>An incorrect coverage or classification decision can affect pay, leave and working conditions every time the role is paid.</t>
        </is>
      </c>
      <c r="H9" s="38" t="inlineStr">
        <is>
          <t>Pay and employment rights</t>
        </is>
      </c>
      <c r="I9" s="49" t="n">
        <v>3</v>
      </c>
      <c r="J9" s="49" t="n">
        <v>1</v>
      </c>
      <c r="K9" s="49" t="n">
        <v>1</v>
      </c>
      <c r="L9" s="38" t="inlineStr">
        <is>
          <t>Lower reported concern, not a finding of no risk. The assumed controls are self-reported; a current incident, contrary evidence or failed control takes precedence.</t>
        </is>
      </c>
      <c r="M9" s="38" t="inlineStr">
        <is>
          <t>Maintain the practice described. At the next relevant review, check that the approved outcome matches payroll and contract records. Review comparable roles if one classification was wrong.</t>
        </is>
      </c>
      <c r="N9" s="38" t="inlineStr">
        <is>
          <t>Check whether changes in work, people or applicable requirements have made the original process less reliable.</t>
        </is>
      </c>
      <c r="O9" s="38" t="inlineStr">
        <is>
          <t>Retain the review outcome and act on any new exception. An unresolved live issue overrides this maintenance pathway.</t>
        </is>
      </c>
      <c r="P9" s="38" t="inlineStr">
        <is>
          <t>Maintain at the stated trigger; for a new low-priority improvement, plan within 90 days.</t>
        </is>
      </c>
      <c r="Q9" s="38" t="inlineStr">
        <is>
          <t>A current example of the practice and a proportionate recheck record. A dated coverage and classification record with reasons for every distinct role, appropriate review of uncertain classifications, and resulting payroll changes checked. An unresolved classification remains an open task.</t>
        </is>
      </c>
      <c r="R9" s="38" t="inlineStr">
        <is>
          <t>A dated coverage and classification record with reasons for every distinct role, appropriate review of uncertain classifications, and resulting payroll changes checked. An unresolved classification remains an open task.</t>
        </is>
      </c>
      <c r="S9" s="38" t="inlineStr">
        <is>
          <t>A changed role, new instrument or classification change.</t>
        </is>
      </c>
      <c r="T9" s="38" t="inlineStr">
        <is>
          <t>Payroll lead / owner</t>
        </is>
      </c>
      <c r="U9" s="38" t="inlineStr">
        <is>
          <t>No further purchase is implied by this result. Seek support only for a material change, unresolved exception or chosen improvement.</t>
        </is>
      </c>
      <c r="V9" s="38" t="inlineStr">
        <is>
          <t>PAY_ASSURANCE</t>
        </is>
      </c>
      <c r="W9" s="38" t="inlineStr">
        <is>
          <t>A_PAY01</t>
        </is>
      </c>
      <c r="X9" s="38" t="inlineStr">
        <is>
          <t>S06;S14;DESIGN</t>
        </is>
      </c>
      <c r="Y9" s="38" t="inlineStr">
        <is>
          <t>https://www.fairwork.gov.au/pay-and-wages/minimum-wages/annualised-salaries
https://www.fairwork.gov.au/tools-and-resources/fact-sheets/rights-and-obligations/record-keeping-pay-slips</t>
        </is>
      </c>
      <c r="Z9" s="38" t="inlineStr">
        <is>
          <t>A familiar job title, an ABN or an above-award salary is not evidence of correct coverage.</t>
        </is>
      </c>
    </row>
    <row r="10" ht="76" customHeight="1">
      <c r="A10" s="37" t="inlineStr">
        <is>
          <t>PAY01_DK</t>
        </is>
      </c>
      <c r="B10" s="37" t="inlineStr">
        <is>
          <t>PAY01</t>
        </is>
      </c>
      <c r="C10" s="37" t="inlineStr">
        <is>
          <t>DK</t>
        </is>
      </c>
      <c r="D10" s="37" t="inlineStr">
        <is>
          <t>I need to confirm this.</t>
        </is>
      </c>
      <c r="E10" s="37" t="inlineStr">
        <is>
          <t>Verify: establish the rules behind your pay decisions</t>
        </is>
      </c>
      <c r="F10" s="37" t="inlineStr">
        <is>
          <t>This answer identifies a knowledge gap. It does not establish that the practice is missing, that harm has occurred or that a legal duty has been breached.</t>
        </is>
      </c>
      <c r="G10" s="37" t="inlineStr">
        <is>
          <t>An incorrect coverage or classification decision can affect pay, leave and working conditions every time the role is paid.</t>
        </is>
      </c>
      <c r="H10" s="37" t="inlineStr">
        <is>
          <t>Pay and employment rights</t>
        </is>
      </c>
      <c r="I10" s="48" t="n">
        <v>3</v>
      </c>
      <c r="J10" s="48" t="n">
        <v>0</v>
      </c>
      <c r="K10" s="48" t="n">
        <v>3</v>
      </c>
      <c r="L10" s="37" t="inlineStr">
        <is>
          <t>The risk is not rated from an unknown answer. Verification is High priority because: An incorrect coverage or classification decision can affect pay, leave and working conditions every time the role is paid.</t>
        </is>
      </c>
      <c r="M10" s="37" t="inlineStr">
        <is>
          <t>Ask the payroll lead / owner to show a current example of the process and the evidence listed below. Confirm the answer before deciding what must be repaired.</t>
        </is>
      </c>
      <c r="N10" s="37" t="inlineStr">
        <is>
          <t>Compare the example with the established-practice description: We have a current record for every role, including the basis for any award-free classification, and review it when duties change.</t>
        </is>
      </c>
      <c r="O10" s="37" t="inlineStr">
        <is>
          <t>Record what was checked, by whom and when. If it remains unclear, keep the verification task open and agree any proportionate interim safeguard.</t>
        </is>
      </c>
      <c r="P10" s="37" t="inlineStr">
        <is>
          <t>Review or verify within two business days and before the next affected event if earlier. Do not wait where a duty or current harm requires earlier action.</t>
        </is>
      </c>
      <c r="Q10" s="37" t="inlineStr">
        <is>
          <t>A dated verification record, the supporting example, an updated answer and any remaining action. No automatic compliance conclusion.</t>
        </is>
      </c>
      <c r="R10" s="37" t="inlineStr">
        <is>
          <t>A dated coverage and classification record with reasons for every distinct role, appropriate review of uncertain classifications, and resulting payroll changes checked. An unresolved classification remains an open task.</t>
        </is>
      </c>
      <c r="S10" s="37" t="inlineStr">
        <is>
          <t>A changed role, new instrument or classification change.</t>
        </is>
      </c>
      <c r="T10" s="37" t="inlineStr">
        <is>
          <t>Payroll lead / owner</t>
        </is>
      </c>
      <c r="U10" s="37" t="inlineStr">
        <is>
          <t>Targeted payroll, award/classification or salary-arrangement review, scoped to the flagged population.</t>
        </is>
      </c>
      <c r="V10" s="37" t="inlineStr">
        <is>
          <t>PAY_ASSURANCE</t>
        </is>
      </c>
      <c r="W10" s="37" t="inlineStr">
        <is>
          <t>A_PAY01</t>
        </is>
      </c>
      <c r="X10" s="37" t="inlineStr">
        <is>
          <t>S06;S14;DESIGN</t>
        </is>
      </c>
      <c r="Y10" s="37" t="inlineStr">
        <is>
          <t>https://www.fairwork.gov.au/pay-and-wages/minimum-wages/annualised-salaries
https://www.fairwork.gov.au/tools-and-resources/fact-sheets/rights-and-obligations/record-keeping-pay-slips</t>
        </is>
      </c>
      <c r="Z10" s="37" t="inlineStr">
        <is>
          <t>A familiar job title, an ABN or an above-award salary is not evidence of correct coverage.</t>
        </is>
      </c>
    </row>
    <row r="11" ht="106" customHeight="1">
      <c r="A11" s="38" t="inlineStr">
        <is>
          <t>PAY02_0</t>
        </is>
      </c>
      <c r="B11" s="38" t="inlineStr">
        <is>
          <t>PAY02</t>
        </is>
      </c>
      <c r="C11" s="49" t="n">
        <v>0</v>
      </c>
      <c r="D11" s="38" t="inlineStr">
        <is>
          <t>We have not checked payroll against actual work and applicable rules.</t>
        </is>
      </c>
      <c r="E11" s="38" t="inlineStr">
        <is>
          <t>Test the payroll result, not just the base rate</t>
        </is>
      </c>
      <c r="F11" s="38" t="inlineStr">
        <is>
          <t>The selected response reports a missing or unestablished element. Confirm the affected arrangements before drawing a conclusion about any actual breach or harm.</t>
        </is>
      </c>
      <c r="G11" s="38" t="inlineStr">
        <is>
          <t>An unchecked pay rule can repeat across pay periods and employees. The initial gap is lack of assurance, not proof of an underpayment.</t>
        </is>
      </c>
      <c r="H11" s="38" t="inlineStr">
        <is>
          <t>Pay and employment rights</t>
        </is>
      </c>
      <c r="I11" s="49" t="n">
        <v>3</v>
      </c>
      <c r="J11" s="49" t="n">
        <v>3</v>
      </c>
      <c r="K11" s="49" t="n">
        <v>3</v>
      </c>
      <c r="L11" s="38" t="inlineStr">
        <is>
          <t>High provisional concern: an essential element remains unresolved. An unchecked pay rule can repeat across pay periods and employees. The initial gap is lack of assurance, not proof of an underpayment.</t>
        </is>
      </c>
      <c r="M11" s="38" t="inlineStr">
        <is>
          <t>Select representative ordinary and exception pay periods and obtain the actual work records, applicable rules and payslips. Define the arrangements being checked before calculating any difference.</t>
        </is>
      </c>
      <c r="N11" s="38" t="inlineStr">
        <is>
          <t>Recalculate selected ordinary and exception pay periods using actual work records. Record differences by entitlement, period and affected arrangement.</t>
        </is>
      </c>
      <c r="O11" s="38" t="inlineStr">
        <is>
          <t>Investigate the cause of each difference, extend the review where appropriate and test the next affected pay run after correction.</t>
        </is>
      </c>
      <c r="P11" s="38" t="inlineStr">
        <is>
          <t>Review or verify within two business days and before the next affected event if earlier. Do not wait where a duty or current harm requires earlier action.</t>
        </is>
      </c>
      <c r="Q11" s="38" t="inlineStr">
        <is>
          <t>A dated pay-check record for each materially different pay arrangement, with discrepancies investigated, required corrections completed and the next affected pay run checked. Keep any unresolved scope or payment issue open. Confirm that the change works in practice, not only that a document exists.</t>
        </is>
      </c>
      <c r="R11" s="38" t="inlineStr">
        <is>
          <t>A dated pay-check record for each materially different pay arrangement, with discrepancies investigated, required corrections completed and the next affected pay run checked. Keep any unresolved scope or payment issue open.</t>
        </is>
      </c>
      <c r="S11" s="38" t="inlineStr">
        <is>
          <t>A pay-rule change, payroll migration, discrepancy or new work pattern.</t>
        </is>
      </c>
      <c r="T11" s="38" t="inlineStr">
        <is>
          <t>Payroll lead / owner</t>
        </is>
      </c>
      <c r="U11" s="38" t="inlineStr">
        <is>
          <t>Targeted payroll, award/classification or salary-arrangement review, scoped to the flagged population.</t>
        </is>
      </c>
      <c r="V11" s="38" t="inlineStr">
        <is>
          <t>PAY_ASSURANCE</t>
        </is>
      </c>
      <c r="W11" s="38" t="inlineStr">
        <is>
          <t>A_PAY02</t>
        </is>
      </c>
      <c r="X11" s="38" t="inlineStr">
        <is>
          <t>S06;S07;S14;DESIGN</t>
        </is>
      </c>
      <c r="Y11" s="38" t="inlineStr">
        <is>
          <t>https://www.fairwork.gov.au/pay-and-wages/minimum-wages/annualised-salaries
https://www.fairwork.gov.au/newsroom/news/offsetting-and-record-keeping-salaried-employees
https://www.fairwork.gov.au/tools-and-resources/fact-sheets/rights-and-obligations/record-keeping-pay-slips</t>
        </is>
      </c>
      <c r="Z11" s="38" t="inlineStr">
        <is>
          <t>A clean payroll report only shows that the system processed its current settings.</t>
        </is>
      </c>
    </row>
    <row r="12" ht="106" customHeight="1">
      <c r="A12" s="37" t="inlineStr">
        <is>
          <t>PAY02_1</t>
        </is>
      </c>
      <c r="B12" s="37" t="inlineStr">
        <is>
          <t>PAY02</t>
        </is>
      </c>
      <c r="C12" s="48" t="n">
        <v>1</v>
      </c>
      <c r="D12" s="37" t="inlineStr">
        <is>
          <t>We assume our software, payroll provider or above-award rates make the payments correct.</t>
        </is>
      </c>
      <c r="E12" s="37" t="inlineStr">
        <is>
          <t>Test the payroll result, not just the base rate</t>
        </is>
      </c>
      <c r="F12" s="37" t="inlineStr">
        <is>
          <t>The selected response relies on assumptions, informal decisions or an inconsistent process. The action is to make the relevant check reliable in routine work.</t>
        </is>
      </c>
      <c r="G12" s="37" t="inlineStr">
        <is>
          <t>An unchecked pay rule can repeat across pay periods and employees. The initial gap is lack of assurance, not proof of an underpayment.</t>
        </is>
      </c>
      <c r="H12" s="37" t="inlineStr">
        <is>
          <t>Pay and employment rights</t>
        </is>
      </c>
      <c r="I12" s="48" t="n">
        <v>3</v>
      </c>
      <c r="J12" s="48" t="n">
        <v>3</v>
      </c>
      <c r="K12" s="48" t="n">
        <v>3</v>
      </c>
      <c r="L12" s="37" t="inlineStr">
        <is>
          <t>High provisional concern: an essential element remains unresolved. An unchecked pay rule can repeat across pay periods and employees. The initial gap is lack of assurance, not proof of an underpayment.</t>
        </is>
      </c>
      <c r="M12" s="37" t="inlineStr">
        <is>
          <t>Replace the assumption with a current check. Select representative ordinary and exception pay periods and obtain the actual work records, applicable rules and payslips. Define the arrangements being checked before calculating any difference.</t>
        </is>
      </c>
      <c r="N12" s="37" t="inlineStr">
        <is>
          <t>Recalculate selected ordinary and exception pay periods using actual work records. Record differences by entitlement, period and affected arrangement.</t>
        </is>
      </c>
      <c r="O12" s="37" t="inlineStr">
        <is>
          <t>Investigate the cause of each difference, extend the review where appropriate and test the next affected pay run after correction.</t>
        </is>
      </c>
      <c r="P12" s="37" t="inlineStr">
        <is>
          <t>Review or verify within two business days and before the next affected event if earlier. Do not wait where a duty or current harm requires earlier action.</t>
        </is>
      </c>
      <c r="Q12" s="37" t="inlineStr">
        <is>
          <t>A dated pay-check record for each materially different pay arrangement, with discrepancies investigated, required corrections completed and the next affected pay run checked. Keep any unresolved scope or payment issue open. Confirm that the change works in practice, not only that a document exists.</t>
        </is>
      </c>
      <c r="R12" s="37" t="inlineStr">
        <is>
          <t>A dated pay-check record for each materially different pay arrangement, with discrepancies investigated, required corrections completed and the next affected pay run checked. Keep any unresolved scope or payment issue open.</t>
        </is>
      </c>
      <c r="S12" s="37" t="inlineStr">
        <is>
          <t>A pay-rule change, payroll migration, discrepancy or new work pattern.</t>
        </is>
      </c>
      <c r="T12" s="37" t="inlineStr">
        <is>
          <t>Payroll lead / owner</t>
        </is>
      </c>
      <c r="U12" s="37" t="inlineStr">
        <is>
          <t>Targeted payroll, award/classification or salary-arrangement review, scoped to the flagged population.</t>
        </is>
      </c>
      <c r="V12" s="37" t="inlineStr">
        <is>
          <t>PAY_ASSURANCE</t>
        </is>
      </c>
      <c r="W12" s="37" t="inlineStr">
        <is>
          <t>A_PAY02</t>
        </is>
      </c>
      <c r="X12" s="37" t="inlineStr">
        <is>
          <t>S06;S07;S14;DESIGN</t>
        </is>
      </c>
      <c r="Y12" s="37" t="inlineStr">
        <is>
          <t>https://www.fairwork.gov.au/pay-and-wages/minimum-wages/annualised-salaries
https://www.fairwork.gov.au/newsroom/news/offsetting-and-record-keeping-salaried-employees
https://www.fairwork.gov.au/tools-and-resources/fact-sheets/rights-and-obligations/record-keeping-pay-slips</t>
        </is>
      </c>
      <c r="Z12" s="37" t="inlineStr">
        <is>
          <t>A clean payroll report only shows that the system processed its current settings.</t>
        </is>
      </c>
    </row>
    <row r="13" ht="106" customHeight="1">
      <c r="A13" s="38" t="inlineStr">
        <is>
          <t>PAY02_2</t>
        </is>
      </c>
      <c r="B13" s="38" t="inlineStr">
        <is>
          <t>PAY02</t>
        </is>
      </c>
      <c r="C13" s="49" t="n">
        <v>2</v>
      </c>
      <c r="D13" s="38" t="inlineStr">
        <is>
          <t>We check base rates, but some working patterns or other entitlements have not been tested.</t>
        </is>
      </c>
      <c r="E13" s="38" t="inlineStr">
        <is>
          <t>Complete the remaining check: test the payroll result, not just the base rate</t>
        </is>
      </c>
      <c r="F13" s="38" t="inlineStr">
        <is>
          <t>The selected response identifies an incomplete element within an existing practice. Keep what works and target the unresolved part; the stronger elements do not cancel the gap.</t>
        </is>
      </c>
      <c r="G13" s="38" t="inlineStr">
        <is>
          <t>An unchecked pay rule can repeat across pay periods and employees. The initial gap is lack of assurance, not proof of an underpayment.</t>
        </is>
      </c>
      <c r="H13" s="38" t="inlineStr">
        <is>
          <t>Pay and employment rights</t>
        </is>
      </c>
      <c r="I13" s="49" t="n">
        <v>3</v>
      </c>
      <c r="J13" s="49" t="n">
        <v>3</v>
      </c>
      <c r="K13" s="49" t="n">
        <v>3</v>
      </c>
      <c r="L13" s="38" t="inlineStr">
        <is>
          <t>High provisional concern: an essential element remains unresolved. An unchecked pay rule can repeat across pay periods and employees. The initial gap is lack of assurance, not proof of an underpayment.</t>
        </is>
      </c>
      <c r="M13" s="38" t="inlineStr">
        <is>
          <t>Focus on the unresolved arrangements or exceptions. Select representative ordinary and exception pay periods and obtain the actual work records, applicable rules and payslips. Define the arrangements being checked before calculating any difference.</t>
        </is>
      </c>
      <c r="N13" s="38" t="inlineStr">
        <is>
          <t>Recalculate selected ordinary and exception pay periods using actual work records. Record differences by entitlement, period and affected arrangement.</t>
        </is>
      </c>
      <c r="O13" s="38" t="inlineStr">
        <is>
          <t>Investigate the cause of each difference, extend the review where appropriate and test the next affected pay run after correction.</t>
        </is>
      </c>
      <c r="P13" s="38" t="inlineStr">
        <is>
          <t>Review or verify within two business days and before the next affected event if earlier. Do not wait where a duty or current harm requires earlier action.</t>
        </is>
      </c>
      <c r="Q13" s="38" t="inlineStr">
        <is>
          <t>A dated pay-check record for each materially different pay arrangement, with discrepancies investigated, required corrections completed and the next affected pay run checked. Keep any unresolved scope or payment issue open. Confirm that the change works in practice, not only that a document exists.</t>
        </is>
      </c>
      <c r="R13" s="38" t="inlineStr">
        <is>
          <t>A dated pay-check record for each materially different pay arrangement, with discrepancies investigated, required corrections completed and the next affected pay run checked. Keep any unresolved scope or payment issue open.</t>
        </is>
      </c>
      <c r="S13" s="38" t="inlineStr">
        <is>
          <t>A pay-rule change, payroll migration, discrepancy or new work pattern.</t>
        </is>
      </c>
      <c r="T13" s="38" t="inlineStr">
        <is>
          <t>Payroll lead / owner</t>
        </is>
      </c>
      <c r="U13" s="38" t="inlineStr">
        <is>
          <t>Targeted payroll, award/classification or salary-arrangement review, scoped to the flagged population.</t>
        </is>
      </c>
      <c r="V13" s="38" t="inlineStr">
        <is>
          <t>PAY_ASSURANCE</t>
        </is>
      </c>
      <c r="W13" s="38" t="inlineStr">
        <is>
          <t>A_PAY02</t>
        </is>
      </c>
      <c r="X13" s="38" t="inlineStr">
        <is>
          <t>S06;S07;S14;DESIGN</t>
        </is>
      </c>
      <c r="Y13" s="38" t="inlineStr">
        <is>
          <t>https://www.fairwork.gov.au/pay-and-wages/minimum-wages/annualised-salaries
https://www.fairwork.gov.au/newsroom/news/offsetting-and-record-keeping-salaried-employees
https://www.fairwork.gov.au/tools-and-resources/fact-sheets/rights-and-obligations/record-keeping-pay-slips</t>
        </is>
      </c>
      <c r="Z13" s="38" t="inlineStr">
        <is>
          <t>A clean payroll report only shows that the system processed its current settings.</t>
        </is>
      </c>
    </row>
    <row r="14" ht="106" customHeight="1">
      <c r="A14" s="37" t="inlineStr">
        <is>
          <t>PAY02_3</t>
        </is>
      </c>
      <c r="B14" s="37" t="inlineStr">
        <is>
          <t>PAY02</t>
        </is>
      </c>
      <c r="C14" s="48" t="n">
        <v>3</v>
      </c>
      <c r="D14" s="37" t="inlineStr">
        <is>
          <t>We check representative actual pay periods against applicable rules, document exceptions and verify that corrections are completed.</t>
        </is>
      </c>
      <c r="E14" s="37" t="inlineStr">
        <is>
          <t>Maintain and test: test the payroll result, not just the base rate</t>
        </is>
      </c>
      <c r="F14" s="37" t="inlineStr">
        <is>
          <t>The selected response reports an established and checked practice. The tool has not inspected the evidence and cannot certify the absence of risk.</t>
        </is>
      </c>
      <c r="G14" s="37" t="inlineStr">
        <is>
          <t>An unchecked pay rule can repeat across pay periods and employees. The initial gap is lack of assurance, not proof of an underpayment.</t>
        </is>
      </c>
      <c r="H14" s="37" t="inlineStr">
        <is>
          <t>Pay and employment rights</t>
        </is>
      </c>
      <c r="I14" s="48" t="n">
        <v>3</v>
      </c>
      <c r="J14" s="48" t="n">
        <v>1</v>
      </c>
      <c r="K14" s="48" t="n">
        <v>1</v>
      </c>
      <c r="L14" s="37" t="inlineStr">
        <is>
          <t>Lower reported concern, not a finding of no risk. The assumed controls are self-reported; a current incident, contrary evidence or failed control takes precedence.</t>
        </is>
      </c>
      <c r="M14" s="37" t="inlineStr">
        <is>
          <t>Maintain the practice described. At the next relevant review, investigate the cause of each difference, extend the review where appropriate and test the next affected pay run after correction.</t>
        </is>
      </c>
      <c r="N14" s="37" t="inlineStr">
        <is>
          <t>Check whether changes in work, people or applicable requirements have made the original process less reliable.</t>
        </is>
      </c>
      <c r="O14" s="37" t="inlineStr">
        <is>
          <t>Retain the review outcome and act on any new exception. An unresolved live issue overrides this maintenance pathway.</t>
        </is>
      </c>
      <c r="P14" s="37" t="inlineStr">
        <is>
          <t>Maintain at the stated trigger; for a new low-priority improvement, plan within 90 days.</t>
        </is>
      </c>
      <c r="Q14" s="37" t="inlineStr">
        <is>
          <t>A current example of the practice and a proportionate recheck record. A dated pay-check record for each materially different pay arrangement, with discrepancies investigated, required corrections completed and the next affected pay run checked. Keep any unresolved scope or payment issue open.</t>
        </is>
      </c>
      <c r="R14" s="37" t="inlineStr">
        <is>
          <t>A dated pay-check record for each materially different pay arrangement, with discrepancies investigated, required corrections completed and the next affected pay run checked. Keep any unresolved scope or payment issue open.</t>
        </is>
      </c>
      <c r="S14" s="37" t="inlineStr">
        <is>
          <t>A pay-rule change, payroll migration, discrepancy or new work pattern.</t>
        </is>
      </c>
      <c r="T14" s="37" t="inlineStr">
        <is>
          <t>Payroll lead / owner</t>
        </is>
      </c>
      <c r="U14" s="37" t="inlineStr">
        <is>
          <t>No further purchase is implied by this result. Seek support only for a material change, unresolved exception or chosen improvement.</t>
        </is>
      </c>
      <c r="V14" s="37" t="inlineStr">
        <is>
          <t>PAY_ASSURANCE</t>
        </is>
      </c>
      <c r="W14" s="37" t="inlineStr">
        <is>
          <t>A_PAY02</t>
        </is>
      </c>
      <c r="X14" s="37" t="inlineStr">
        <is>
          <t>S06;S07;S14;DESIGN</t>
        </is>
      </c>
      <c r="Y14" s="37" t="inlineStr">
        <is>
          <t>https://www.fairwork.gov.au/pay-and-wages/minimum-wages/annualised-salaries
https://www.fairwork.gov.au/newsroom/news/offsetting-and-record-keeping-salaried-employees
https://www.fairwork.gov.au/tools-and-resources/fact-sheets/rights-and-obligations/record-keeping-pay-slips</t>
        </is>
      </c>
      <c r="Z14" s="37" t="inlineStr">
        <is>
          <t>A clean payroll report only shows that the system processed its current settings.</t>
        </is>
      </c>
    </row>
    <row r="15" ht="106" customHeight="1">
      <c r="A15" s="38" t="inlineStr">
        <is>
          <t>PAY02_DK</t>
        </is>
      </c>
      <c r="B15" s="38" t="inlineStr">
        <is>
          <t>PAY02</t>
        </is>
      </c>
      <c r="C15" s="38" t="inlineStr">
        <is>
          <t>DK</t>
        </is>
      </c>
      <c r="D15" s="38" t="inlineStr">
        <is>
          <t>I need to confirm this.</t>
        </is>
      </c>
      <c r="E15" s="38" t="inlineStr">
        <is>
          <t>Verify: test the payroll result, not just the base rate</t>
        </is>
      </c>
      <c r="F15" s="38" t="inlineStr">
        <is>
          <t>This answer identifies a knowledge gap. It does not establish that the practice is missing, that harm has occurred or that a legal duty has been breached.</t>
        </is>
      </c>
      <c r="G15" s="38" t="inlineStr">
        <is>
          <t>An unchecked pay rule can repeat across pay periods and employees. The initial gap is lack of assurance, not proof of an underpayment.</t>
        </is>
      </c>
      <c r="H15" s="38" t="inlineStr">
        <is>
          <t>Pay and employment rights</t>
        </is>
      </c>
      <c r="I15" s="49" t="n">
        <v>3</v>
      </c>
      <c r="J15" s="49" t="n">
        <v>0</v>
      </c>
      <c r="K15" s="49" t="n">
        <v>3</v>
      </c>
      <c r="L15" s="38" t="inlineStr">
        <is>
          <t>The risk is not rated from an unknown answer. Verification is High priority because: An unchecked pay rule can repeat across pay periods and employees. The initial gap is lack of assurance, not proof of an underpayment.</t>
        </is>
      </c>
      <c r="M15" s="38" t="inlineStr">
        <is>
          <t>Ask the payroll lead / owner to show a current example of the process and the evidence listed below. Confirm the answer before deciding what must be repaired.</t>
        </is>
      </c>
      <c r="N15" s="38" t="inlineStr">
        <is>
          <t>Compare the example with the established-practice description: We check representative actual pay periods against applicable rules, document exceptions and verify that corrections are completed.</t>
        </is>
      </c>
      <c r="O15" s="38" t="inlineStr">
        <is>
          <t>Record what was checked, by whom and when. If it remains unclear, keep the verification task open and agree any proportionate interim safeguard.</t>
        </is>
      </c>
      <c r="P15" s="38" t="inlineStr">
        <is>
          <t>Review or verify within two business days and before the next affected event if earlier. Do not wait where a duty or current harm requires earlier action.</t>
        </is>
      </c>
      <c r="Q15" s="38" t="inlineStr">
        <is>
          <t>A dated verification record, the supporting example, an updated answer and any remaining action. No automatic compliance conclusion.</t>
        </is>
      </c>
      <c r="R15" s="38" t="inlineStr">
        <is>
          <t>A dated pay-check record for each materially different pay arrangement, with discrepancies investigated, required corrections completed and the next affected pay run checked. Keep any unresolved scope or payment issue open.</t>
        </is>
      </c>
      <c r="S15" s="38" t="inlineStr">
        <is>
          <t>A pay-rule change, payroll migration, discrepancy or new work pattern.</t>
        </is>
      </c>
      <c r="T15" s="38" t="inlineStr">
        <is>
          <t>Payroll lead / owner</t>
        </is>
      </c>
      <c r="U15" s="38" t="inlineStr">
        <is>
          <t>Targeted payroll, award/classification or salary-arrangement review, scoped to the flagged population.</t>
        </is>
      </c>
      <c r="V15" s="38" t="inlineStr">
        <is>
          <t>PAY_ASSURANCE</t>
        </is>
      </c>
      <c r="W15" s="38" t="inlineStr">
        <is>
          <t>A_PAY02</t>
        </is>
      </c>
      <c r="X15" s="38" t="inlineStr">
        <is>
          <t>S06;S07;S14;DESIGN</t>
        </is>
      </c>
      <c r="Y15" s="38" t="inlineStr">
        <is>
          <t>https://www.fairwork.gov.au/pay-and-wages/minimum-wages/annualised-salaries
https://www.fairwork.gov.au/newsroom/news/offsetting-and-record-keeping-salaried-employees
https://www.fairwork.gov.au/tools-and-resources/fact-sheets/rights-and-obligations/record-keeping-pay-slips</t>
        </is>
      </c>
      <c r="Z15" s="38" t="inlineStr">
        <is>
          <t>A clean payroll report only shows that the system processed its current settings.</t>
        </is>
      </c>
    </row>
    <row r="16" ht="196" customHeight="1">
      <c r="A16" s="37" t="inlineStr">
        <is>
          <t>PAY03_0</t>
        </is>
      </c>
      <c r="B16" s="37" t="inlineStr">
        <is>
          <t>PAY03</t>
        </is>
      </c>
      <c r="C16" s="48" t="n">
        <v>0</v>
      </c>
      <c r="D16" s="37" t="inlineStr">
        <is>
          <t>Leave is handled without a consistent check of eligibility, balances or pay.</t>
        </is>
      </c>
      <c r="E16" s="37" t="inlineStr">
        <is>
          <t>Check leave against the person and their circumstances</t>
        </is>
      </c>
      <c r="F16" s="37" t="inlineStr">
        <is>
          <t>The selected response reports a missing or unestablished element. Confirm the affected arrangements before drawing a conclusion about any actual breach or harm.</t>
        </is>
      </c>
      <c r="G16" s="37" t="inlineStr">
        <is>
          <t>Incorrect accruals or leave payments can deprive employees of entitlements and distort the business's leave liability.</t>
        </is>
      </c>
      <c r="H16" s="37" t="inlineStr">
        <is>
          <t>Pay and employment rights</t>
        </is>
      </c>
      <c r="I16" s="48" t="n">
        <v>3</v>
      </c>
      <c r="J16" s="48" t="n">
        <v>3</v>
      </c>
      <c r="K16" s="48" t="n">
        <v>3</v>
      </c>
      <c r="L16" s="37" t="inlineStr">
        <is>
          <t>High provisional concern: an essential element remains unresolved. Incorrect accruals or leave payments can deprive employees of entitlements and distort the business's leave liability.</t>
        </is>
      </c>
      <c r="M16" s="37" t="inlineStr">
        <is>
          <t>Reconcile a sample of leave balances and payments to ordinary hours, service and the applicable rules. Record which exceptions need specialist checking.</t>
        </is>
      </c>
      <c r="N16" s="37" t="inlineStr">
        <is>
          <t>Check accrual and payment rules for relevant employment types and changes in hours or service. Reconcile opening balances and adjustments.</t>
        </is>
      </c>
      <c r="O16" s="37" t="inlineStr">
        <is>
          <t>Resolve differences, retain the calculation trail and check a later leave transaction against the corrected rule.</t>
        </is>
      </c>
      <c r="P16" s="37" t="inlineStr">
        <is>
          <t>Review or verify within two business days and before the next affected event if earlier. Do not wait where a duty or current harm requires earlier action.</t>
        </is>
      </c>
      <c r="Q16" s="37" t="inlineStr">
        <is>
          <t>A dated leave reconciliation against the applicable rules, with incorrect balances or payments corrected and a follow-up transaction checked. State-based and instrument-specific matters are resolved or remain clearly open. Confirm that the change works in practice, not only that a document exists.</t>
        </is>
      </c>
      <c r="R16" s="37" t="inlineStr">
        <is>
          <t>A dated leave reconciliation against the applicable rules, with incorrect balances or payments corrected and a follow-up transaction checked. State-based and instrument-specific matters are resolved or remain clearly open.</t>
        </is>
      </c>
      <c r="S16" s="37" t="inlineStr">
        <is>
          <t>Changed hours, service milestones, an instrument change or a leave discrepancy.</t>
        </is>
      </c>
      <c r="T16" s="37" t="inlineStr">
        <is>
          <t>Payroll lead / owner</t>
        </is>
      </c>
      <c r="U16" s="37" t="inlineStr">
        <is>
          <t>Targeted payroll, award/classification or salary-arrangement review, scoped to the flagged population.</t>
        </is>
      </c>
      <c r="V16" s="37" t="inlineStr">
        <is>
          <t>LEAVE</t>
        </is>
      </c>
      <c r="W16" s="37" t="inlineStr">
        <is>
          <t>A_PAY03</t>
        </is>
      </c>
      <c r="X16" s="37" t="inlineStr">
        <is>
          <t>S14;S21;S28;S31;S39;DESIGN</t>
        </is>
      </c>
      <c r="Y16" s="37"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Z16" s="37" t="inlineStr">
        <is>
          <t>A balance that looks plausible is not the same as a reconciled balance.</t>
        </is>
      </c>
    </row>
    <row r="17" ht="196" customHeight="1">
      <c r="A17" s="38" t="inlineStr">
        <is>
          <t>PAY03_1</t>
        </is>
      </c>
      <c r="B17" s="38" t="inlineStr">
        <is>
          <t>PAY03</t>
        </is>
      </c>
      <c r="C17" s="49" t="n">
        <v>1</v>
      </c>
      <c r="D17" s="38" t="inlineStr">
        <is>
          <t>We use the default payroll settings and deal with exceptions as they arise.</t>
        </is>
      </c>
      <c r="E17" s="38" t="inlineStr">
        <is>
          <t>Check leave against the person and their circumstances</t>
        </is>
      </c>
      <c r="F17" s="38" t="inlineStr">
        <is>
          <t>The selected response relies on assumptions, informal decisions or an inconsistent process. The action is to make the relevant check reliable in routine work.</t>
        </is>
      </c>
      <c r="G17" s="38" t="inlineStr">
        <is>
          <t>Incorrect accruals or leave payments can deprive employees of entitlements and distort the business's leave liability.</t>
        </is>
      </c>
      <c r="H17" s="38" t="inlineStr">
        <is>
          <t>Pay and employment rights</t>
        </is>
      </c>
      <c r="I17" s="49" t="n">
        <v>3</v>
      </c>
      <c r="J17" s="49" t="n">
        <v>3</v>
      </c>
      <c r="K17" s="49" t="n">
        <v>3</v>
      </c>
      <c r="L17" s="38" t="inlineStr">
        <is>
          <t>High provisional concern: an essential element remains unresolved. Incorrect accruals or leave payments can deprive employees of entitlements and distort the business's leave liability.</t>
        </is>
      </c>
      <c r="M17" s="38" t="inlineStr">
        <is>
          <t>Replace the assumption with a current check. Reconcile a sample of leave balances and payments to ordinary hours, service and the applicable rules. Record which exceptions need specialist checking.</t>
        </is>
      </c>
      <c r="N17" s="38" t="inlineStr">
        <is>
          <t>Check accrual and payment rules for relevant employment types and changes in hours or service. Reconcile opening balances and adjustments.</t>
        </is>
      </c>
      <c r="O17" s="38" t="inlineStr">
        <is>
          <t>Resolve differences, retain the calculation trail and check a later leave transaction against the corrected rule.</t>
        </is>
      </c>
      <c r="P17" s="38" t="inlineStr">
        <is>
          <t>Review or verify within two business days and before the next affected event if earlier. Do not wait where a duty or current harm requires earlier action.</t>
        </is>
      </c>
      <c r="Q17" s="38" t="inlineStr">
        <is>
          <t>A dated leave reconciliation against the applicable rules, with incorrect balances or payments corrected and a follow-up transaction checked. State-based and instrument-specific matters are resolved or remain clearly open. Confirm that the change works in practice, not only that a document exists.</t>
        </is>
      </c>
      <c r="R17" s="38" t="inlineStr">
        <is>
          <t>A dated leave reconciliation against the applicable rules, with incorrect balances or payments corrected and a follow-up transaction checked. State-based and instrument-specific matters are resolved or remain clearly open.</t>
        </is>
      </c>
      <c r="S17" s="38" t="inlineStr">
        <is>
          <t>Changed hours, service milestones, an instrument change or a leave discrepancy.</t>
        </is>
      </c>
      <c r="T17" s="38" t="inlineStr">
        <is>
          <t>Payroll lead / owner</t>
        </is>
      </c>
      <c r="U17" s="38" t="inlineStr">
        <is>
          <t>Targeted payroll, award/classification or salary-arrangement review, scoped to the flagged population.</t>
        </is>
      </c>
      <c r="V17" s="38" t="inlineStr">
        <is>
          <t>LEAVE</t>
        </is>
      </c>
      <c r="W17" s="38" t="inlineStr">
        <is>
          <t>A_PAY03</t>
        </is>
      </c>
      <c r="X17" s="38" t="inlineStr">
        <is>
          <t>S14;S21;S28;S31;S39;DESIGN</t>
        </is>
      </c>
      <c r="Y17" s="38"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Z17" s="38" t="inlineStr">
        <is>
          <t>A balance that looks plausible is not the same as a reconciled balance.</t>
        </is>
      </c>
    </row>
    <row r="18" ht="196" customHeight="1">
      <c r="A18" s="37" t="inlineStr">
        <is>
          <t>PAY03_2</t>
        </is>
      </c>
      <c r="B18" s="37" t="inlineStr">
        <is>
          <t>PAY03</t>
        </is>
      </c>
      <c r="C18" s="48" t="n">
        <v>2</v>
      </c>
      <c r="D18" s="37" t="inlineStr">
        <is>
          <t>Most leave is checked, but some employment types, jurisdictions or changes need review.</t>
        </is>
      </c>
      <c r="E18" s="37" t="inlineStr">
        <is>
          <t>Complete the remaining check: check leave against the person and their circumstances</t>
        </is>
      </c>
      <c r="F18" s="37" t="inlineStr">
        <is>
          <t>The selected response identifies an incomplete element within an existing practice. Keep what works and target the unresolved part; the stronger elements do not cancel the gap.</t>
        </is>
      </c>
      <c r="G18" s="37" t="inlineStr">
        <is>
          <t>Incorrect accruals or leave payments can deprive employees of entitlements and distort the business's leave liability.</t>
        </is>
      </c>
      <c r="H18" s="37" t="inlineStr">
        <is>
          <t>Pay and employment rights</t>
        </is>
      </c>
      <c r="I18" s="48" t="n">
        <v>3</v>
      </c>
      <c r="J18" s="48" t="n">
        <v>2</v>
      </c>
      <c r="K18" s="48" t="n">
        <v>2</v>
      </c>
      <c r="L18" s="37" t="inlineStr">
        <is>
          <t>Medium provisional concern: a material practice needs improvement. Incorrect accruals or leave payments can deprive employees of entitlements and distort the business's leave liability.</t>
        </is>
      </c>
      <c r="M18" s="37" t="inlineStr">
        <is>
          <t>Focus on the unresolved arrangements or exceptions. Reconcile a sample of leave balances and payments to ordinary hours, service and the applicable rules. Record which exceptions need specialist checking.</t>
        </is>
      </c>
      <c r="N18" s="37" t="inlineStr">
        <is>
          <t>Check accrual and payment rules for relevant employment types and changes in hours or service. Reconcile opening balances and adjustments.</t>
        </is>
      </c>
      <c r="O18" s="37" t="inlineStr">
        <is>
          <t>Resolve differences, retain the calculation trail and check a later leave transaction against the corrected rule.</t>
        </is>
      </c>
      <c r="P18" s="37" t="inlineStr">
        <is>
          <t>Agree an owner and plan within 30 days, or before the next affected event if earlier.</t>
        </is>
      </c>
      <c r="Q18" s="37" t="inlineStr">
        <is>
          <t>A dated leave reconciliation against the applicable rules, with incorrect balances or payments corrected and a follow-up transaction checked. State-based and instrument-specific matters are resolved or remain clearly open. Confirm that the change works in practice, not only that a document exists.</t>
        </is>
      </c>
      <c r="R18" s="37" t="inlineStr">
        <is>
          <t>A dated leave reconciliation against the applicable rules, with incorrect balances or payments corrected and a follow-up transaction checked. State-based and instrument-specific matters are resolved or remain clearly open.</t>
        </is>
      </c>
      <c r="S18" s="37" t="inlineStr">
        <is>
          <t>Changed hours, service milestones, an instrument change or a leave discrepancy.</t>
        </is>
      </c>
      <c r="T18" s="37" t="inlineStr">
        <is>
          <t>Payroll lead / owner</t>
        </is>
      </c>
      <c r="U18" s="37" t="inlineStr">
        <is>
          <t>Targeted payroll, award/classification or salary-arrangement review, scoped to the flagged population.</t>
        </is>
      </c>
      <c r="V18" s="37" t="inlineStr">
        <is>
          <t>LEAVE</t>
        </is>
      </c>
      <c r="W18" s="37" t="inlineStr">
        <is>
          <t>A_PAY03</t>
        </is>
      </c>
      <c r="X18" s="37" t="inlineStr">
        <is>
          <t>S14;S21;S28;S31;S39;DESIGN</t>
        </is>
      </c>
      <c r="Y18" s="37"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Z18" s="37" t="inlineStr">
        <is>
          <t>A balance that looks plausible is not the same as a reconciled balance.</t>
        </is>
      </c>
    </row>
    <row r="19" ht="196" customHeight="1">
      <c r="A19" s="38" t="inlineStr">
        <is>
          <t>PAY03_3</t>
        </is>
      </c>
      <c r="B19" s="38" t="inlineStr">
        <is>
          <t>PAY03</t>
        </is>
      </c>
      <c r="C19" s="49" t="n">
        <v>3</v>
      </c>
      <c r="D19" s="38" t="inlineStr">
        <is>
          <t>We check the applicable entitlement and payment, maintain accurate balances and review settings when hours, service or rules change.</t>
        </is>
      </c>
      <c r="E19" s="38" t="inlineStr">
        <is>
          <t>Maintain and test: check leave against the person and their circumstances</t>
        </is>
      </c>
      <c r="F19" s="38" t="inlineStr">
        <is>
          <t>The selected response reports an established and checked practice. The tool has not inspected the evidence and cannot certify the absence of risk.</t>
        </is>
      </c>
      <c r="G19" s="38" t="inlineStr">
        <is>
          <t>Incorrect accruals or leave payments can deprive employees of entitlements and distort the business's leave liability.</t>
        </is>
      </c>
      <c r="H19" s="38" t="inlineStr">
        <is>
          <t>Pay and employment rights</t>
        </is>
      </c>
      <c r="I19" s="49" t="n">
        <v>3</v>
      </c>
      <c r="J19" s="49" t="n">
        <v>1</v>
      </c>
      <c r="K19" s="49" t="n">
        <v>1</v>
      </c>
      <c r="L19" s="38" t="inlineStr">
        <is>
          <t>Lower reported concern, not a finding of no risk. The assumed controls are self-reported; a current incident, contrary evidence or failed control takes precedence.</t>
        </is>
      </c>
      <c r="M19" s="38" t="inlineStr">
        <is>
          <t>Maintain the practice described. At the next relevant review, resolve differences, retain the calculation trail and check a later leave transaction against the corrected rule.</t>
        </is>
      </c>
      <c r="N19" s="38" t="inlineStr">
        <is>
          <t>Check whether changes in work, people or applicable requirements have made the original process less reliable.</t>
        </is>
      </c>
      <c r="O19" s="38" t="inlineStr">
        <is>
          <t>Retain the review outcome and act on any new exception. An unresolved live issue overrides this maintenance pathway.</t>
        </is>
      </c>
      <c r="P19" s="38" t="inlineStr">
        <is>
          <t>Maintain at the stated trigger; for a new low-priority improvement, plan within 90 days.</t>
        </is>
      </c>
      <c r="Q19" s="38" t="inlineStr">
        <is>
          <t>A current example of the practice and a proportionate recheck record. A dated leave reconciliation against the applicable rules, with incorrect balances or payments corrected and a follow-up transaction checked. State-based and instrument-specific matters are resolved or remain clearly open.</t>
        </is>
      </c>
      <c r="R19" s="38" t="inlineStr">
        <is>
          <t>A dated leave reconciliation against the applicable rules, with incorrect balances or payments corrected and a follow-up transaction checked. State-based and instrument-specific matters are resolved or remain clearly open.</t>
        </is>
      </c>
      <c r="S19" s="38" t="inlineStr">
        <is>
          <t>Changed hours, service milestones, an instrument change or a leave discrepancy.</t>
        </is>
      </c>
      <c r="T19" s="38" t="inlineStr">
        <is>
          <t>Payroll lead / owner</t>
        </is>
      </c>
      <c r="U19" s="38" t="inlineStr">
        <is>
          <t>No further purchase is implied by this result. Seek support only for a material change, unresolved exception or chosen improvement.</t>
        </is>
      </c>
      <c r="V19" s="38" t="inlineStr">
        <is>
          <t>LEAVE</t>
        </is>
      </c>
      <c r="W19" s="38" t="inlineStr">
        <is>
          <t>A_PAY03</t>
        </is>
      </c>
      <c r="X19" s="38" t="inlineStr">
        <is>
          <t>S14;S21;S28;S31;S39;DESIGN</t>
        </is>
      </c>
      <c r="Y19" s="38"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Z19" s="38" t="inlineStr">
        <is>
          <t>A balance that looks plausible is not the same as a reconciled balance.</t>
        </is>
      </c>
    </row>
    <row r="20" ht="196" customHeight="1">
      <c r="A20" s="37" t="inlineStr">
        <is>
          <t>PAY03_DK</t>
        </is>
      </c>
      <c r="B20" s="37" t="inlineStr">
        <is>
          <t>PAY03</t>
        </is>
      </c>
      <c r="C20" s="37" t="inlineStr">
        <is>
          <t>DK</t>
        </is>
      </c>
      <c r="D20" s="37" t="inlineStr">
        <is>
          <t>I need to confirm this.</t>
        </is>
      </c>
      <c r="E20" s="37" t="inlineStr">
        <is>
          <t>Verify: check leave against the person and their circumstances</t>
        </is>
      </c>
      <c r="F20" s="37" t="inlineStr">
        <is>
          <t>This answer identifies a knowledge gap. It does not establish that the practice is missing, that harm has occurred or that a legal duty has been breached.</t>
        </is>
      </c>
      <c r="G20" s="37" t="inlineStr">
        <is>
          <t>Incorrect accruals or leave payments can deprive employees of entitlements and distort the business's leave liability.</t>
        </is>
      </c>
      <c r="H20" s="37" t="inlineStr">
        <is>
          <t>Pay and employment rights</t>
        </is>
      </c>
      <c r="I20" s="48" t="n">
        <v>3</v>
      </c>
      <c r="J20" s="48" t="n">
        <v>0</v>
      </c>
      <c r="K20" s="48" t="n">
        <v>3</v>
      </c>
      <c r="L20" s="37" t="inlineStr">
        <is>
          <t>The risk is not rated from an unknown answer. Verification is High priority because: Incorrect accruals or leave payments can deprive employees of entitlements and distort the business's leave liability.</t>
        </is>
      </c>
      <c r="M20" s="37" t="inlineStr">
        <is>
          <t>Ask the payroll lead / owner to show a current example of the process and the evidence listed below. Confirm the answer before deciding what must be repaired.</t>
        </is>
      </c>
      <c r="N20" s="37" t="inlineStr">
        <is>
          <t>Compare the example with the established-practice description: We check the applicable entitlement and payment, maintain accurate balances and review settings when hours, service or rules change.</t>
        </is>
      </c>
      <c r="O20" s="37" t="inlineStr">
        <is>
          <t>Record what was checked, by whom and when. If it remains unclear, keep the verification task open and agree any proportionate interim safeguard.</t>
        </is>
      </c>
      <c r="P20" s="37" t="inlineStr">
        <is>
          <t>Review or verify within two business days and before the next affected event if earlier. Do not wait where a duty or current harm requires earlier action.</t>
        </is>
      </c>
      <c r="Q20" s="37" t="inlineStr">
        <is>
          <t>A dated verification record, the supporting example, an updated answer and any remaining action. No automatic compliance conclusion.</t>
        </is>
      </c>
      <c r="R20" s="37" t="inlineStr">
        <is>
          <t>A dated leave reconciliation against the applicable rules, with incorrect balances or payments corrected and a follow-up transaction checked. State-based and instrument-specific matters are resolved or remain clearly open.</t>
        </is>
      </c>
      <c r="S20" s="37" t="inlineStr">
        <is>
          <t>Changed hours, service milestones, an instrument change or a leave discrepancy.</t>
        </is>
      </c>
      <c r="T20" s="37" t="inlineStr">
        <is>
          <t>Payroll lead / owner</t>
        </is>
      </c>
      <c r="U20" s="37" t="inlineStr">
        <is>
          <t>Targeted payroll, award/classification or salary-arrangement review, scoped to the flagged population.</t>
        </is>
      </c>
      <c r="V20" s="37" t="inlineStr">
        <is>
          <t>LEAVE</t>
        </is>
      </c>
      <c r="W20" s="37" t="inlineStr">
        <is>
          <t>A_PAY03</t>
        </is>
      </c>
      <c r="X20" s="37" t="inlineStr">
        <is>
          <t>S14;S21;S28;S31;S39;DESIGN</t>
        </is>
      </c>
      <c r="Y20" s="37"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c r="Z20" s="37" t="inlineStr">
        <is>
          <t>A balance that looks plausible is not the same as a reconciled balance.</t>
        </is>
      </c>
    </row>
    <row r="21" ht="106" customHeight="1">
      <c r="A21" s="38" t="inlineStr">
        <is>
          <t>PAY04_0</t>
        </is>
      </c>
      <c r="B21" s="38" t="inlineStr">
        <is>
          <t>PAY04</t>
        </is>
      </c>
      <c r="C21" s="49" t="n">
        <v>0</v>
      </c>
      <c r="D21" s="38" t="inlineStr">
        <is>
          <t>We are not consistently paying required superannuation by the applicable deadline.</t>
        </is>
      </c>
      <c r="E21" s="38" t="inlineStr">
        <is>
          <t>Confirm super reaches the fund</t>
        </is>
      </c>
      <c r="F21" s="38" t="inlineStr">
        <is>
          <t>The selected response reports a missing or unestablished element. Confirm the affected arrangements before drawing a conclusion about any actual breach or harm.</t>
        </is>
      </c>
      <c r="G21" s="38" t="inlineStr">
        <is>
          <t>A contribution recorded as submitted may still be rejected or received late. Unresolved earnings or receipt exceptions need prompt checking.</t>
        </is>
      </c>
      <c r="H21" s="38" t="inlineStr">
        <is>
          <t>Superannuation and financial exposure</t>
        </is>
      </c>
      <c r="I21" s="49" t="n">
        <v>3</v>
      </c>
      <c r="J21" s="49" t="n">
        <v>3</v>
      </c>
      <c r="K21" s="49" t="n">
        <v>3</v>
      </c>
      <c r="L21" s="38" t="inlineStr">
        <is>
          <t>High provisional concern: an essential element remains unresolved. A contribution recorded as submitted may still be rejected or received late. Unresolved earnings or receipt exceptions need prompt checking.</t>
        </is>
      </c>
      <c r="M21" s="38" t="inlineStr">
        <is>
          <t>Trace the most recent pay cycle from earnings to fund receipt. Check rejected contributions and record the follow-up process and responsible person.</t>
        </is>
      </c>
      <c r="N21" s="38" t="inlineStr">
        <is>
          <t>Match the amount and employee details to the applicable earnings and contribution rules. Identify rejected, unallocated or late items.</t>
        </is>
      </c>
      <c r="O21" s="38" t="inlineStr">
        <is>
          <t>Resolve exceptions with payroll, the fund or the relevant adviser and retain receipt evidence. Check a subsequent payment cycle.</t>
        </is>
      </c>
      <c r="P21" s="38" t="inlineStr">
        <is>
          <t>Review or verify within two business days and before the next affected event if earlier. Do not wait where a duty or current harm requires earlier action.</t>
        </is>
      </c>
      <c r="Q21" s="38" t="inlineStr">
        <is>
          <t>A contribution reconciliation showing actual fund receipt and any missed deadline, with shortfalls, rejected payments and related obligations addressed. A subsequent cycle demonstrates timely receipt; later correction does not erase an earlier delay. Confirm that the change works in practice, not only that a document exists.</t>
        </is>
      </c>
      <c r="R21" s="38" t="inlineStr">
        <is>
          <t>A contribution reconciliation showing actual fund receipt and any missed deadline, with shortfalls, rejected payments and related obligations addressed. A subsequent cycle demonstrates timely receipt; later correction does not erase an earlier delay.</t>
        </is>
      </c>
      <c r="S21" s="38" t="inlineStr">
        <is>
          <t>Each pay cycle and any returned payment, changed fund or payroll change.</t>
        </is>
      </c>
      <c r="T21" s="38" t="inlineStr">
        <is>
          <t>Payroll lead / owner</t>
        </is>
      </c>
      <c r="U21" s="38" t="inlineStr">
        <is>
          <t>Targeted payroll, award/classification or salary-arrangement review, scoped to the flagged population.</t>
        </is>
      </c>
      <c r="V21" s="38" t="inlineStr">
        <is>
          <t>SUPER</t>
        </is>
      </c>
      <c r="W21" s="38" t="inlineStr">
        <is>
          <t>A_PAY04</t>
        </is>
      </c>
      <c r="X21" s="38" t="inlineStr">
        <is>
          <t>S05;S24;DESIGN</t>
        </is>
      </c>
      <c r="Y21" s="38" t="inlineStr">
        <is>
          <t>https://www.ato.gov.au/businesses-and-organisations/super-for-employers/paying-super-on-payday/payment-deadlines-for-payday-super
https://www.ato.gov.au/businesses-and-organisations/super-for-employers/work-out-if-you-have-to-pay-super/super-for-independent-contractors</t>
        </is>
      </c>
      <c r="Z21" s="38" t="inlineStr">
        <is>
          <t>Treating clearing-house submission as proof that the contribution reached the fund on time.</t>
        </is>
      </c>
    </row>
    <row r="22" ht="106" customHeight="1">
      <c r="A22" s="37" t="inlineStr">
        <is>
          <t>PAY04_1</t>
        </is>
      </c>
      <c r="B22" s="37" t="inlineStr">
        <is>
          <t>PAY04</t>
        </is>
      </c>
      <c r="C22" s="48" t="n">
        <v>1</v>
      </c>
      <c r="D22" s="37" t="inlineStr">
        <is>
          <t>We rely on payroll or clearing-house submissions without checking rejected or late contributions.</t>
        </is>
      </c>
      <c r="E22" s="37" t="inlineStr">
        <is>
          <t>Confirm super reaches the fund</t>
        </is>
      </c>
      <c r="F22" s="37" t="inlineStr">
        <is>
          <t>The selected response relies on assumptions, informal decisions or an inconsistent process. The action is to make the relevant check reliable in routine work.</t>
        </is>
      </c>
      <c r="G22" s="37" t="inlineStr">
        <is>
          <t>A contribution recorded as submitted may still be rejected or received late. Unresolved earnings or receipt exceptions need prompt checking.</t>
        </is>
      </c>
      <c r="H22" s="37" t="inlineStr">
        <is>
          <t>Superannuation and financial exposure</t>
        </is>
      </c>
      <c r="I22" s="48" t="n">
        <v>3</v>
      </c>
      <c r="J22" s="48" t="n">
        <v>3</v>
      </c>
      <c r="K22" s="48" t="n">
        <v>3</v>
      </c>
      <c r="L22" s="37" t="inlineStr">
        <is>
          <t>High provisional concern: an essential element remains unresolved. A contribution recorded as submitted may still be rejected or received late. Unresolved earnings or receipt exceptions need prompt checking.</t>
        </is>
      </c>
      <c r="M22" s="37" t="inlineStr">
        <is>
          <t>Replace the assumption with a current check. Trace the most recent pay cycle from earnings to fund receipt. Check rejected contributions and record the follow-up process and responsible person.</t>
        </is>
      </c>
      <c r="N22" s="37" t="inlineStr">
        <is>
          <t>Match the amount and employee details to the applicable earnings and contribution rules. Identify rejected, unallocated or late items.</t>
        </is>
      </c>
      <c r="O22" s="37" t="inlineStr">
        <is>
          <t>Resolve exceptions with payroll, the fund or the relevant adviser and retain receipt evidence. Check a subsequent payment cycle.</t>
        </is>
      </c>
      <c r="P22" s="37" t="inlineStr">
        <is>
          <t>Review or verify within two business days and before the next affected event if earlier. Do not wait where a duty or current harm requires earlier action.</t>
        </is>
      </c>
      <c r="Q22" s="37" t="inlineStr">
        <is>
          <t>A contribution reconciliation showing actual fund receipt and any missed deadline, with shortfalls, rejected payments and related obligations addressed. A subsequent cycle demonstrates timely receipt; later correction does not erase an earlier delay. Confirm that the change works in practice, not only that a document exists.</t>
        </is>
      </c>
      <c r="R22" s="37" t="inlineStr">
        <is>
          <t>A contribution reconciliation showing actual fund receipt and any missed deadline, with shortfalls, rejected payments and related obligations addressed. A subsequent cycle demonstrates timely receipt; later correction does not erase an earlier delay.</t>
        </is>
      </c>
      <c r="S22" s="37" t="inlineStr">
        <is>
          <t>Each pay cycle and any returned payment, changed fund or payroll change.</t>
        </is>
      </c>
      <c r="T22" s="37" t="inlineStr">
        <is>
          <t>Payroll lead / owner</t>
        </is>
      </c>
      <c r="U22" s="37" t="inlineStr">
        <is>
          <t>Targeted payroll, award/classification or salary-arrangement review, scoped to the flagged population.</t>
        </is>
      </c>
      <c r="V22" s="37" t="inlineStr">
        <is>
          <t>SUPER</t>
        </is>
      </c>
      <c r="W22" s="37" t="inlineStr">
        <is>
          <t>A_PAY04</t>
        </is>
      </c>
      <c r="X22" s="37" t="inlineStr">
        <is>
          <t>S05;S24;DESIGN</t>
        </is>
      </c>
      <c r="Y22" s="37" t="inlineStr">
        <is>
          <t>https://www.ato.gov.au/businesses-and-organisations/super-for-employers/paying-super-on-payday/payment-deadlines-for-payday-super
https://www.ato.gov.au/businesses-and-organisations/super-for-employers/work-out-if-you-have-to-pay-super/super-for-independent-contractors</t>
        </is>
      </c>
      <c r="Z22" s="37" t="inlineStr">
        <is>
          <t>Treating clearing-house submission as proof that the contribution reached the fund on time.</t>
        </is>
      </c>
    </row>
    <row r="23" ht="106" customHeight="1">
      <c r="A23" s="38" t="inlineStr">
        <is>
          <t>PAY04_2</t>
        </is>
      </c>
      <c r="B23" s="38" t="inlineStr">
        <is>
          <t>PAY04</t>
        </is>
      </c>
      <c r="C23" s="49" t="n">
        <v>2</v>
      </c>
      <c r="D23" s="38" t="inlineStr">
        <is>
          <t>We check payments, but some earnings, fund exceptions or receipt dates are unresolved.</t>
        </is>
      </c>
      <c r="E23" s="38" t="inlineStr">
        <is>
          <t>Complete the remaining check: confirm super reaches the fund</t>
        </is>
      </c>
      <c r="F23" s="38" t="inlineStr">
        <is>
          <t>The selected response identifies an incomplete element within an existing practice. Keep what works and target the unresolved part; the stronger elements do not cancel the gap.</t>
        </is>
      </c>
      <c r="G23" s="38" t="inlineStr">
        <is>
          <t>A contribution recorded as submitted may still be rejected or received late. Unresolved earnings or receipt exceptions need prompt checking.</t>
        </is>
      </c>
      <c r="H23" s="38" t="inlineStr">
        <is>
          <t>Superannuation and financial exposure</t>
        </is>
      </c>
      <c r="I23" s="49" t="n">
        <v>3</v>
      </c>
      <c r="J23" s="49" t="n">
        <v>3</v>
      </c>
      <c r="K23" s="49" t="n">
        <v>3</v>
      </c>
      <c r="L23" s="38" t="inlineStr">
        <is>
          <t>High provisional concern: an essential element remains unresolved. A contribution recorded as submitted may still be rejected or received late. Unresolved earnings or receipt exceptions need prompt checking.</t>
        </is>
      </c>
      <c r="M23" s="38" t="inlineStr">
        <is>
          <t>Focus on the unresolved arrangements or exceptions. Trace the most recent pay cycle from earnings to fund receipt. Check rejected contributions and record the follow-up process and responsible person.</t>
        </is>
      </c>
      <c r="N23" s="38" t="inlineStr">
        <is>
          <t>Match the amount and employee details to the applicable earnings and contribution rules. Identify rejected, unallocated or late items.</t>
        </is>
      </c>
      <c r="O23" s="38" t="inlineStr">
        <is>
          <t>Resolve exceptions with payroll, the fund or the relevant adviser and retain receipt evidence. Check a subsequent payment cycle.</t>
        </is>
      </c>
      <c r="P23" s="38" t="inlineStr">
        <is>
          <t>Review or verify within two business days and before the next affected event if earlier. Do not wait where a duty or current harm requires earlier action.</t>
        </is>
      </c>
      <c r="Q23" s="38" t="inlineStr">
        <is>
          <t>A contribution reconciliation showing actual fund receipt and any missed deadline, with shortfalls, rejected payments and related obligations addressed. A subsequent cycle demonstrates timely receipt; later correction does not erase an earlier delay. Confirm that the change works in practice, not only that a document exists.</t>
        </is>
      </c>
      <c r="R23" s="38" t="inlineStr">
        <is>
          <t>A contribution reconciliation showing actual fund receipt and any missed deadline, with shortfalls, rejected payments and related obligations addressed. A subsequent cycle demonstrates timely receipt; later correction does not erase an earlier delay.</t>
        </is>
      </c>
      <c r="S23" s="38" t="inlineStr">
        <is>
          <t>Each pay cycle and any returned payment, changed fund or payroll change.</t>
        </is>
      </c>
      <c r="T23" s="38" t="inlineStr">
        <is>
          <t>Payroll lead / owner</t>
        </is>
      </c>
      <c r="U23" s="38" t="inlineStr">
        <is>
          <t>Targeted payroll, award/classification or salary-arrangement review, scoped to the flagged population.</t>
        </is>
      </c>
      <c r="V23" s="38" t="inlineStr">
        <is>
          <t>SUPER</t>
        </is>
      </c>
      <c r="W23" s="38" t="inlineStr">
        <is>
          <t>A_PAY04</t>
        </is>
      </c>
      <c r="X23" s="38" t="inlineStr">
        <is>
          <t>S05;S24;DESIGN</t>
        </is>
      </c>
      <c r="Y23" s="38" t="inlineStr">
        <is>
          <t>https://www.ato.gov.au/businesses-and-organisations/super-for-employers/paying-super-on-payday/payment-deadlines-for-payday-super
https://www.ato.gov.au/businesses-and-organisations/super-for-employers/work-out-if-you-have-to-pay-super/super-for-independent-contractors</t>
        </is>
      </c>
      <c r="Z23" s="38" t="inlineStr">
        <is>
          <t>Treating clearing-house submission as proof that the contribution reached the fund on time.</t>
        </is>
      </c>
    </row>
    <row r="24" ht="106" customHeight="1">
      <c r="A24" s="37" t="inlineStr">
        <is>
          <t>PAY04_3</t>
        </is>
      </c>
      <c r="B24" s="37" t="inlineStr">
        <is>
          <t>PAY04</t>
        </is>
      </c>
      <c r="C24" s="48" t="n">
        <v>3</v>
      </c>
      <c r="D24" s="37" t="inlineStr">
        <is>
          <t>We reconcile the applicable earnings, rate and fund receipt, and promptly resolve rejected or late contributions.</t>
        </is>
      </c>
      <c r="E24" s="37" t="inlineStr">
        <is>
          <t>Maintain and test: confirm super reaches the fund</t>
        </is>
      </c>
      <c r="F24" s="37" t="inlineStr">
        <is>
          <t>The selected response reports an established and checked practice. The tool has not inspected the evidence and cannot certify the absence of risk.</t>
        </is>
      </c>
      <c r="G24" s="37" t="inlineStr">
        <is>
          <t>A contribution recorded as submitted may still be rejected or received late. Unresolved earnings or receipt exceptions need prompt checking.</t>
        </is>
      </c>
      <c r="H24" s="37" t="inlineStr">
        <is>
          <t>Superannuation and financial exposure</t>
        </is>
      </c>
      <c r="I24" s="48" t="n">
        <v>3</v>
      </c>
      <c r="J24" s="48" t="n">
        <v>1</v>
      </c>
      <c r="K24" s="48" t="n">
        <v>1</v>
      </c>
      <c r="L24" s="37" t="inlineStr">
        <is>
          <t>Lower reported concern, not a finding of no risk. The assumed controls are self-reported; a current incident, contrary evidence or failed control takes precedence.</t>
        </is>
      </c>
      <c r="M24" s="37" t="inlineStr">
        <is>
          <t>Maintain the practice described. At the next relevant review, resolve exceptions with payroll, the fund or the relevant adviser and retain receipt evidence. Check a subsequent payment cycle.</t>
        </is>
      </c>
      <c r="N24" s="37" t="inlineStr">
        <is>
          <t>Check whether changes in work, people or applicable requirements have made the original process less reliable.</t>
        </is>
      </c>
      <c r="O24" s="37" t="inlineStr">
        <is>
          <t>Retain the review outcome and act on any new exception. An unresolved live issue overrides this maintenance pathway.</t>
        </is>
      </c>
      <c r="P24" s="37" t="inlineStr">
        <is>
          <t>Maintain at the stated trigger; for a new low-priority improvement, plan within 90 days.</t>
        </is>
      </c>
      <c r="Q24" s="37" t="inlineStr">
        <is>
          <t>A current example of the practice and a proportionate recheck record. A contribution reconciliation showing actual fund receipt and any missed deadline, with shortfalls, rejected payments and related obligations addressed. A subsequent cycle demonstrates timely receipt; later correction does not erase an earlier delay.</t>
        </is>
      </c>
      <c r="R24" s="37" t="inlineStr">
        <is>
          <t>A contribution reconciliation showing actual fund receipt and any missed deadline, with shortfalls, rejected payments and related obligations addressed. A subsequent cycle demonstrates timely receipt; later correction does not erase an earlier delay.</t>
        </is>
      </c>
      <c r="S24" s="37" t="inlineStr">
        <is>
          <t>Each pay cycle and any returned payment, changed fund or payroll change.</t>
        </is>
      </c>
      <c r="T24" s="37" t="inlineStr">
        <is>
          <t>Payroll lead / owner</t>
        </is>
      </c>
      <c r="U24" s="37" t="inlineStr">
        <is>
          <t>No further purchase is implied by this result. Seek support only for a material change, unresolved exception or chosen improvement.</t>
        </is>
      </c>
      <c r="V24" s="37" t="inlineStr">
        <is>
          <t>SUPER</t>
        </is>
      </c>
      <c r="W24" s="37" t="inlineStr">
        <is>
          <t>A_PAY04</t>
        </is>
      </c>
      <c r="X24" s="37" t="inlineStr">
        <is>
          <t>S05;S24;DESIGN</t>
        </is>
      </c>
      <c r="Y24" s="37" t="inlineStr">
        <is>
          <t>https://www.ato.gov.au/businesses-and-organisations/super-for-employers/paying-super-on-payday/payment-deadlines-for-payday-super
https://www.ato.gov.au/businesses-and-organisations/super-for-employers/work-out-if-you-have-to-pay-super/super-for-independent-contractors</t>
        </is>
      </c>
      <c r="Z24" s="37" t="inlineStr">
        <is>
          <t>Treating clearing-house submission as proof that the contribution reached the fund on time.</t>
        </is>
      </c>
    </row>
    <row r="25" ht="106" customHeight="1">
      <c r="A25" s="38" t="inlineStr">
        <is>
          <t>PAY04_DK</t>
        </is>
      </c>
      <c r="B25" s="38" t="inlineStr">
        <is>
          <t>PAY04</t>
        </is>
      </c>
      <c r="C25" s="38" t="inlineStr">
        <is>
          <t>DK</t>
        </is>
      </c>
      <c r="D25" s="38" t="inlineStr">
        <is>
          <t>I need to confirm this.</t>
        </is>
      </c>
      <c r="E25" s="38" t="inlineStr">
        <is>
          <t>Verify: confirm super reaches the fund</t>
        </is>
      </c>
      <c r="F25" s="38" t="inlineStr">
        <is>
          <t>This answer identifies a knowledge gap. It does not establish that the practice is missing, that harm has occurred or that a legal duty has been breached.</t>
        </is>
      </c>
      <c r="G25" s="38" t="inlineStr">
        <is>
          <t>A contribution recorded as submitted may still be rejected or received late. Unresolved earnings or receipt exceptions need prompt checking.</t>
        </is>
      </c>
      <c r="H25" s="38" t="inlineStr">
        <is>
          <t>Superannuation and financial exposure</t>
        </is>
      </c>
      <c r="I25" s="49" t="n">
        <v>3</v>
      </c>
      <c r="J25" s="49" t="n">
        <v>0</v>
      </c>
      <c r="K25" s="49" t="n">
        <v>3</v>
      </c>
      <c r="L25" s="38" t="inlineStr">
        <is>
          <t>The risk is not rated from an unknown answer. Verification is High priority because: A contribution recorded as submitted may still be rejected or received late. Unresolved earnings or receipt exceptions need prompt checking.</t>
        </is>
      </c>
      <c r="M25" s="38" t="inlineStr">
        <is>
          <t>Ask the payroll lead / owner to show a current example of the process and the evidence listed below. Confirm the answer before deciding what must be repaired.</t>
        </is>
      </c>
      <c r="N25" s="38" t="inlineStr">
        <is>
          <t>Compare the example with the established-practice description: We reconcile the applicable earnings, rate and fund receipt, and promptly resolve rejected or late contributions.</t>
        </is>
      </c>
      <c r="O25" s="38" t="inlineStr">
        <is>
          <t>Record what was checked, by whom and when. If it remains unclear, keep the verification task open and agree any proportionate interim safeguard.</t>
        </is>
      </c>
      <c r="P25" s="38" t="inlineStr">
        <is>
          <t>Review or verify within two business days and before the next affected event if earlier. Do not wait where a duty or current harm requires earlier action.</t>
        </is>
      </c>
      <c r="Q25" s="38" t="inlineStr">
        <is>
          <t>A dated verification record, the supporting example, an updated answer and any remaining action. No automatic compliance conclusion.</t>
        </is>
      </c>
      <c r="R25" s="38" t="inlineStr">
        <is>
          <t>A contribution reconciliation showing actual fund receipt and any missed deadline, with shortfalls, rejected payments and related obligations addressed. A subsequent cycle demonstrates timely receipt; later correction does not erase an earlier delay.</t>
        </is>
      </c>
      <c r="S25" s="38" t="inlineStr">
        <is>
          <t>Each pay cycle and any returned payment, changed fund or payroll change.</t>
        </is>
      </c>
      <c r="T25" s="38" t="inlineStr">
        <is>
          <t>Payroll lead / owner</t>
        </is>
      </c>
      <c r="U25" s="38" t="inlineStr">
        <is>
          <t>Targeted payroll, award/classification or salary-arrangement review, scoped to the flagged population.</t>
        </is>
      </c>
      <c r="V25" s="38" t="inlineStr">
        <is>
          <t>SUPER</t>
        </is>
      </c>
      <c r="W25" s="38" t="inlineStr">
        <is>
          <t>A_PAY04</t>
        </is>
      </c>
      <c r="X25" s="38" t="inlineStr">
        <is>
          <t>S05;S24;DESIGN</t>
        </is>
      </c>
      <c r="Y25" s="38" t="inlineStr">
        <is>
          <t>https://www.ato.gov.au/businesses-and-organisations/super-for-employers/paying-super-on-payday/payment-deadlines-for-payday-super
https://www.ato.gov.au/businesses-and-organisations/super-for-employers/work-out-if-you-have-to-pay-super/super-for-independent-contractors</t>
        </is>
      </c>
      <c r="Z25" s="38" t="inlineStr">
        <is>
          <t>Treating clearing-house submission as proof that the contribution reached the fund on time.</t>
        </is>
      </c>
    </row>
    <row r="26" ht="61" customHeight="1">
      <c r="A26" s="37" t="inlineStr">
        <is>
          <t>PAY05_0</t>
        </is>
      </c>
      <c r="B26" s="37" t="inlineStr">
        <is>
          <t>PAY05</t>
        </is>
      </c>
      <c r="C26" s="48" t="n">
        <v>0</v>
      </c>
      <c r="D26" s="37" t="inlineStr">
        <is>
          <t>Payslips are not consistently provided.</t>
        </is>
      </c>
      <c r="E26" s="37" t="inlineStr">
        <is>
          <t>Check what employees actually receive</t>
        </is>
      </c>
      <c r="F26" s="37" t="inlineStr">
        <is>
          <t>The selected response reports a missing or unestablished element. Confirm the affected arrangements before drawing a conclusion about any actual breach or harm.</t>
        </is>
      </c>
      <c r="G26" s="37" t="inlineStr">
        <is>
          <t>Late or incomplete payslips make payments harder to understand and can leave mandatory information missing.</t>
        </is>
      </c>
      <c r="H26" s="37" t="inlineStr">
        <is>
          <t>Employment records and transparency</t>
        </is>
      </c>
      <c r="I26" s="48" t="n">
        <v>2</v>
      </c>
      <c r="J26" s="48" t="n">
        <v>2</v>
      </c>
      <c r="K26" s="48" t="n">
        <v>2</v>
      </c>
      <c r="L26" s="37" t="inlineStr">
        <is>
          <t>Medium provisional concern: a material practice needs improvement. Late or incomplete payslips make payments harder to understand and can leave mandatory information missing.</t>
        </is>
      </c>
      <c r="M26" s="37" t="inlineStr">
        <is>
          <t>Inspect a payslip for each materially different pay arrangement, check issue timing and confirm employees can access it privately.</t>
        </is>
      </c>
      <c r="N26" s="37" t="inlineStr">
        <is>
          <t>Compare issue timing and required fields against the actual payment arrangement. Correct template and delivery problems.</t>
        </is>
      </c>
      <c r="O26" s="37" t="inlineStr">
        <is>
          <t>Check the next payslip and confirm employees can access it privately, including people without routine system access.</t>
        </is>
      </c>
      <c r="P26" s="37" t="inlineStr">
        <is>
          <t>Agree an owner and plan within 30 days, or before the next affected event if earlier.</t>
        </is>
      </c>
      <c r="Q26" s="37" t="inlineStr">
        <is>
          <t>A completed payslip check, required corrections issued, delivery/access confirmed and a subsequent payslip checked. Preserve the original record and how any past failure was addressed. Confirm that the change works in practice, not only that a document exists.</t>
        </is>
      </c>
      <c r="R26" s="37" t="inlineStr">
        <is>
          <t>A completed payslip check, required corrections issued, delivery/access confirmed and a subsequent payslip checked. Preserve the original record and how any past failure was addressed.</t>
        </is>
      </c>
      <c r="S26" s="37" t="inlineStr">
        <is>
          <t>Changed payslip templates, payroll systems or pay arrangements.</t>
        </is>
      </c>
      <c r="T26" s="37" t="inlineStr">
        <is>
          <t>Payroll lead / owner</t>
        </is>
      </c>
      <c r="U26" s="37" t="inlineStr">
        <is>
          <t>Targeted payroll, award/classification or salary-arrangement review, scoped to the flagged population.</t>
        </is>
      </c>
      <c r="V26" s="37" t="inlineStr">
        <is>
          <t>PAY_ASSURANCE</t>
        </is>
      </c>
      <c r="W26" s="37" t="inlineStr">
        <is>
          <t>A_PAY05</t>
        </is>
      </c>
      <c r="X26" s="37" t="inlineStr">
        <is>
          <t>S14;DESIGN</t>
        </is>
      </c>
      <c r="Y26" s="37" t="inlineStr">
        <is>
          <t>https://www.fairwork.gov.au/tools-and-resources/fact-sheets/rights-and-obligations/record-keeping-pay-slips</t>
        </is>
      </c>
      <c r="Z26" s="37" t="inlineStr">
        <is>
          <t>Checking one standard payslip while overlooking a different payment arrangement.</t>
        </is>
      </c>
    </row>
    <row r="27" ht="61" customHeight="1">
      <c r="A27" s="38" t="inlineStr">
        <is>
          <t>PAY05_1</t>
        </is>
      </c>
      <c r="B27" s="38" t="inlineStr">
        <is>
          <t>PAY05</t>
        </is>
      </c>
      <c r="C27" s="49" t="n">
        <v>1</v>
      </c>
      <c r="D27" s="38" t="inlineStr">
        <is>
          <t>Payslips are produced, but timing or required fields have not been checked.</t>
        </is>
      </c>
      <c r="E27" s="38" t="inlineStr">
        <is>
          <t>Check what employees actually receive</t>
        </is>
      </c>
      <c r="F27" s="38" t="inlineStr">
        <is>
          <t>The selected response relies on assumptions, informal decisions or an inconsistent process. The action is to make the relevant check reliable in routine work.</t>
        </is>
      </c>
      <c r="G27" s="38" t="inlineStr">
        <is>
          <t>Late or incomplete payslips make payments harder to understand and can leave mandatory information missing.</t>
        </is>
      </c>
      <c r="H27" s="38" t="inlineStr">
        <is>
          <t>Employment records and transparency</t>
        </is>
      </c>
      <c r="I27" s="49" t="n">
        <v>2</v>
      </c>
      <c r="J27" s="49" t="n">
        <v>2</v>
      </c>
      <c r="K27" s="49" t="n">
        <v>2</v>
      </c>
      <c r="L27" s="38" t="inlineStr">
        <is>
          <t>Medium provisional concern: a material practice needs improvement. Late or incomplete payslips make payments harder to understand and can leave mandatory information missing.</t>
        </is>
      </c>
      <c r="M27" s="38" t="inlineStr">
        <is>
          <t>Replace the assumption with a current check. Inspect a payslip for each materially different pay arrangement, check issue timing and confirm employees can access it privately.</t>
        </is>
      </c>
      <c r="N27" s="38" t="inlineStr">
        <is>
          <t>Compare issue timing and required fields against the actual payment arrangement. Correct template and delivery problems.</t>
        </is>
      </c>
      <c r="O27" s="38" t="inlineStr">
        <is>
          <t>Check the next payslip and confirm employees can access it privately, including people without routine system access.</t>
        </is>
      </c>
      <c r="P27" s="38" t="inlineStr">
        <is>
          <t>Agree an owner and plan within 30 days, or before the next affected event if earlier.</t>
        </is>
      </c>
      <c r="Q27" s="38" t="inlineStr">
        <is>
          <t>A completed payslip check, required corrections issued, delivery/access confirmed and a subsequent payslip checked. Preserve the original record and how any past failure was addressed. Confirm that the change works in practice, not only that a document exists.</t>
        </is>
      </c>
      <c r="R27" s="38" t="inlineStr">
        <is>
          <t>A completed payslip check, required corrections issued, delivery/access confirmed and a subsequent payslip checked. Preserve the original record and how any past failure was addressed.</t>
        </is>
      </c>
      <c r="S27" s="38" t="inlineStr">
        <is>
          <t>Changed payslip templates, payroll systems or pay arrangements.</t>
        </is>
      </c>
      <c r="T27" s="38" t="inlineStr">
        <is>
          <t>Payroll lead / owner</t>
        </is>
      </c>
      <c r="U27" s="38" t="inlineStr">
        <is>
          <t>Targeted payroll, award/classification or salary-arrangement review, scoped to the flagged population.</t>
        </is>
      </c>
      <c r="V27" s="38" t="inlineStr">
        <is>
          <t>PAY_ASSURANCE</t>
        </is>
      </c>
      <c r="W27" s="38" t="inlineStr">
        <is>
          <t>A_PAY05</t>
        </is>
      </c>
      <c r="X27" s="38" t="inlineStr">
        <is>
          <t>S14;DESIGN</t>
        </is>
      </c>
      <c r="Y27" s="38" t="inlineStr">
        <is>
          <t>https://www.fairwork.gov.au/tools-and-resources/fact-sheets/rights-and-obligations/record-keeping-pay-slips</t>
        </is>
      </c>
      <c r="Z27" s="38" t="inlineStr">
        <is>
          <t>Checking one standard payslip while overlooking a different payment arrangement.</t>
        </is>
      </c>
    </row>
    <row r="28" ht="61" customHeight="1">
      <c r="A28" s="37" t="inlineStr">
        <is>
          <t>PAY05_2</t>
        </is>
      </c>
      <c r="B28" s="37" t="inlineStr">
        <is>
          <t>PAY05</t>
        </is>
      </c>
      <c r="C28" s="48" t="n">
        <v>2</v>
      </c>
      <c r="D28" s="37" t="inlineStr">
        <is>
          <t>Timing and most details are correct, but some arrangements or exceptions need checking.</t>
        </is>
      </c>
      <c r="E28" s="37" t="inlineStr">
        <is>
          <t>Complete the remaining check: check what employees actually receive</t>
        </is>
      </c>
      <c r="F28" s="37" t="inlineStr">
        <is>
          <t>The selected response identifies an incomplete element within an existing practice. Keep what works and target the unresolved part; the stronger elements do not cancel the gap.</t>
        </is>
      </c>
      <c r="G28" s="37" t="inlineStr">
        <is>
          <t>Late or incomplete payslips make payments harder to understand and can leave mandatory information missing.</t>
        </is>
      </c>
      <c r="H28" s="37" t="inlineStr">
        <is>
          <t>Employment records and transparency</t>
        </is>
      </c>
      <c r="I28" s="48" t="n">
        <v>2</v>
      </c>
      <c r="J28" s="48" t="n">
        <v>2</v>
      </c>
      <c r="K28" s="48" t="n">
        <v>2</v>
      </c>
      <c r="L28" s="37" t="inlineStr">
        <is>
          <t>Medium provisional concern: a material practice needs improvement. Late or incomplete payslips make payments harder to understand and can leave mandatory information missing.</t>
        </is>
      </c>
      <c r="M28" s="37" t="inlineStr">
        <is>
          <t>Focus on the unresolved arrangements or exceptions. Inspect a payslip for each materially different pay arrangement, check issue timing and confirm employees can access it privately.</t>
        </is>
      </c>
      <c r="N28" s="37" t="inlineStr">
        <is>
          <t>Compare issue timing and required fields against the actual payment arrangement. Correct template and delivery problems.</t>
        </is>
      </c>
      <c r="O28" s="37" t="inlineStr">
        <is>
          <t>Check the next payslip and confirm employees can access it privately, including people without routine system access.</t>
        </is>
      </c>
      <c r="P28" s="37" t="inlineStr">
        <is>
          <t>Agree an owner and plan within 30 days, or before the next affected event if earlier.</t>
        </is>
      </c>
      <c r="Q28" s="37" t="inlineStr">
        <is>
          <t>A completed payslip check, required corrections issued, delivery/access confirmed and a subsequent payslip checked. Preserve the original record and how any past failure was addressed. Confirm that the change works in practice, not only that a document exists.</t>
        </is>
      </c>
      <c r="R28" s="37" t="inlineStr">
        <is>
          <t>A completed payslip check, required corrections issued, delivery/access confirmed and a subsequent payslip checked. Preserve the original record and how any past failure was addressed.</t>
        </is>
      </c>
      <c r="S28" s="37" t="inlineStr">
        <is>
          <t>Changed payslip templates, payroll systems or pay arrangements.</t>
        </is>
      </c>
      <c r="T28" s="37" t="inlineStr">
        <is>
          <t>Payroll lead / owner</t>
        </is>
      </c>
      <c r="U28" s="37" t="inlineStr">
        <is>
          <t>Targeted payroll, award/classification or salary-arrangement review, scoped to the flagged population.</t>
        </is>
      </c>
      <c r="V28" s="37" t="inlineStr">
        <is>
          <t>PAY_ASSURANCE</t>
        </is>
      </c>
      <c r="W28" s="37" t="inlineStr">
        <is>
          <t>A_PAY05</t>
        </is>
      </c>
      <c r="X28" s="37" t="inlineStr">
        <is>
          <t>S14;DESIGN</t>
        </is>
      </c>
      <c r="Y28" s="37" t="inlineStr">
        <is>
          <t>https://www.fairwork.gov.au/tools-and-resources/fact-sheets/rights-and-obligations/record-keeping-pay-slips</t>
        </is>
      </c>
      <c r="Z28" s="37" t="inlineStr">
        <is>
          <t>Checking one standard payslip while overlooking a different payment arrangement.</t>
        </is>
      </c>
    </row>
    <row r="29" ht="61" customHeight="1">
      <c r="A29" s="38" t="inlineStr">
        <is>
          <t>PAY05_3</t>
        </is>
      </c>
      <c r="B29" s="38" t="inlineStr">
        <is>
          <t>PAY05</t>
        </is>
      </c>
      <c r="C29" s="49" t="n">
        <v>3</v>
      </c>
      <c r="D29" s="38" t="inlineStr">
        <is>
          <t>We have checked timing, required fields and secure employee access across our pay arrangements.</t>
        </is>
      </c>
      <c r="E29" s="38" t="inlineStr">
        <is>
          <t>Maintain and test: check what employees actually receive</t>
        </is>
      </c>
      <c r="F29" s="38" t="inlineStr">
        <is>
          <t>The selected response reports an established and checked practice. The tool has not inspected the evidence and cannot certify the absence of risk.</t>
        </is>
      </c>
      <c r="G29" s="38" t="inlineStr">
        <is>
          <t>Late or incomplete payslips make payments harder to understand and can leave mandatory information missing.</t>
        </is>
      </c>
      <c r="H29" s="38" t="inlineStr">
        <is>
          <t>Employment records and transparency</t>
        </is>
      </c>
      <c r="I29" s="49" t="n">
        <v>2</v>
      </c>
      <c r="J29" s="49" t="n">
        <v>1</v>
      </c>
      <c r="K29" s="49" t="n">
        <v>1</v>
      </c>
      <c r="L29" s="38" t="inlineStr">
        <is>
          <t>Lower reported concern, not a finding of no risk. The assumed controls are self-reported; a current incident, contrary evidence or failed control takes precedence.</t>
        </is>
      </c>
      <c r="M29" s="38" t="inlineStr">
        <is>
          <t>Maintain the practice described. At the next relevant review, check the next payslip and confirm employees can access it privately, including people without routine system access.</t>
        </is>
      </c>
      <c r="N29" s="38" t="inlineStr">
        <is>
          <t>Check whether changes in work, people or applicable requirements have made the original process less reliable.</t>
        </is>
      </c>
      <c r="O29" s="38" t="inlineStr">
        <is>
          <t>Retain the review outcome and act on any new exception. An unresolved live issue overrides this maintenance pathway.</t>
        </is>
      </c>
      <c r="P29" s="38" t="inlineStr">
        <is>
          <t>Maintain at the stated trigger; for a new low-priority improvement, plan within 90 days.</t>
        </is>
      </c>
      <c r="Q29" s="38" t="inlineStr">
        <is>
          <t>A current example of the practice and a proportionate recheck record. A completed payslip check, required corrections issued, delivery/access confirmed and a subsequent payslip checked. Preserve the original record and how any past failure was addressed.</t>
        </is>
      </c>
      <c r="R29" s="38" t="inlineStr">
        <is>
          <t>A completed payslip check, required corrections issued, delivery/access confirmed and a subsequent payslip checked. Preserve the original record and how any past failure was addressed.</t>
        </is>
      </c>
      <c r="S29" s="38" t="inlineStr">
        <is>
          <t>Changed payslip templates, payroll systems or pay arrangements.</t>
        </is>
      </c>
      <c r="T29" s="38" t="inlineStr">
        <is>
          <t>Payroll lead / owner</t>
        </is>
      </c>
      <c r="U29" s="38" t="inlineStr">
        <is>
          <t>No further purchase is implied by this result. Seek support only for a material change, unresolved exception or chosen improvement.</t>
        </is>
      </c>
      <c r="V29" s="38" t="inlineStr">
        <is>
          <t>PAY_ASSURANCE</t>
        </is>
      </c>
      <c r="W29" s="38" t="inlineStr">
        <is>
          <t>A_PAY05</t>
        </is>
      </c>
      <c r="X29" s="38" t="inlineStr">
        <is>
          <t>S14;DESIGN</t>
        </is>
      </c>
      <c r="Y29" s="38" t="inlineStr">
        <is>
          <t>https://www.fairwork.gov.au/tools-and-resources/fact-sheets/rights-and-obligations/record-keeping-pay-slips</t>
        </is>
      </c>
      <c r="Z29" s="38" t="inlineStr">
        <is>
          <t>Checking one standard payslip while overlooking a different payment arrangement.</t>
        </is>
      </c>
    </row>
    <row r="30" ht="61" customHeight="1">
      <c r="A30" s="37" t="inlineStr">
        <is>
          <t>PAY05_DK</t>
        </is>
      </c>
      <c r="B30" s="37" t="inlineStr">
        <is>
          <t>PAY05</t>
        </is>
      </c>
      <c r="C30" s="37" t="inlineStr">
        <is>
          <t>DK</t>
        </is>
      </c>
      <c r="D30" s="37" t="inlineStr">
        <is>
          <t>I need to confirm this.</t>
        </is>
      </c>
      <c r="E30" s="37" t="inlineStr">
        <is>
          <t>Verify: check what employees actually receive</t>
        </is>
      </c>
      <c r="F30" s="37" t="inlineStr">
        <is>
          <t>This answer identifies a knowledge gap. It does not establish that the practice is missing, that harm has occurred or that a legal duty has been breached.</t>
        </is>
      </c>
      <c r="G30" s="37" t="inlineStr">
        <is>
          <t>Late or incomplete payslips make payments harder to understand and can leave mandatory information missing.</t>
        </is>
      </c>
      <c r="H30" s="37" t="inlineStr">
        <is>
          <t>Employment records and transparency</t>
        </is>
      </c>
      <c r="I30" s="48" t="n">
        <v>2</v>
      </c>
      <c r="J30" s="48" t="n">
        <v>0</v>
      </c>
      <c r="K30" s="48" t="n">
        <v>2</v>
      </c>
      <c r="L30" s="37" t="inlineStr">
        <is>
          <t>The risk is not rated from an unknown answer. Verification is Medium priority because: Late or incomplete payslips make payments harder to understand and can leave mandatory information missing.</t>
        </is>
      </c>
      <c r="M30" s="37" t="inlineStr">
        <is>
          <t>Ask the payroll lead / owner to show a current example of the process and the evidence listed below. Confirm the answer before deciding what must be repaired.</t>
        </is>
      </c>
      <c r="N30" s="37" t="inlineStr">
        <is>
          <t>Compare the example with the established-practice description: We have checked timing, required fields and secure employee access across our pay arrangements.</t>
        </is>
      </c>
      <c r="O30" s="37" t="inlineStr">
        <is>
          <t>Record what was checked, by whom and when. If it remains unclear, keep the verification task open and agree any proportionate interim safeguard.</t>
        </is>
      </c>
      <c r="P30" s="37" t="inlineStr">
        <is>
          <t>Agree an owner and plan within 30 days, or before the next affected event if earlier.</t>
        </is>
      </c>
      <c r="Q30" s="37" t="inlineStr">
        <is>
          <t>A dated verification record, the supporting example, an updated answer and any remaining action. No automatic compliance conclusion.</t>
        </is>
      </c>
      <c r="R30" s="37" t="inlineStr">
        <is>
          <t>A completed payslip check, required corrections issued, delivery/access confirmed and a subsequent payslip checked. Preserve the original record and how any past failure was addressed.</t>
        </is>
      </c>
      <c r="S30" s="37" t="inlineStr">
        <is>
          <t>Changed payslip templates, payroll systems or pay arrangements.</t>
        </is>
      </c>
      <c r="T30" s="37" t="inlineStr">
        <is>
          <t>Payroll lead / owner</t>
        </is>
      </c>
      <c r="U30" s="37" t="inlineStr">
        <is>
          <t>Targeted payroll, award/classification or salary-arrangement review, scoped to the flagged population.</t>
        </is>
      </c>
      <c r="V30" s="37" t="inlineStr">
        <is>
          <t>PAY_ASSURANCE</t>
        </is>
      </c>
      <c r="W30" s="37" t="inlineStr">
        <is>
          <t>A_PAY05</t>
        </is>
      </c>
      <c r="X30" s="37" t="inlineStr">
        <is>
          <t>S14;DESIGN</t>
        </is>
      </c>
      <c r="Y30" s="37" t="inlineStr">
        <is>
          <t>https://www.fairwork.gov.au/tools-and-resources/fact-sheets/rights-and-obligations/record-keeping-pay-slips</t>
        </is>
      </c>
      <c r="Z30" s="37" t="inlineStr">
        <is>
          <t>Checking one standard payslip while overlooking a different payment arrangement.</t>
        </is>
      </c>
    </row>
    <row r="31" ht="91" customHeight="1">
      <c r="A31" s="38" t="inlineStr">
        <is>
          <t>PAY06_0</t>
        </is>
      </c>
      <c r="B31" s="38" t="inlineStr">
        <is>
          <t>PAY06</t>
        </is>
      </c>
      <c r="C31" s="49" t="n">
        <v>0</v>
      </c>
      <c r="D31" s="38" t="inlineStr">
        <is>
          <t>We do not have a process for this leave.</t>
        </is>
      </c>
      <c r="E31" s="38" t="inlineStr">
        <is>
          <t>Make sensitive leave safe to access</t>
        </is>
      </c>
      <c r="F31" s="38" t="inlineStr">
        <is>
          <t>The selected response reports a missing or unestablished element. Confirm the affected arrangements before drawing a conclusion about any actual breach or harm.</t>
        </is>
      </c>
      <c r="G31" s="38" t="inlineStr">
        <is>
          <t>Poor leave administration can disclose sensitive circumstances or prevent access to an entitlement. The assessment must never ask for the employee's story.</t>
        </is>
      </c>
      <c r="H31" s="38" t="inlineStr">
        <is>
          <t>Personal safety and confidential information</t>
        </is>
      </c>
      <c r="I31" s="49" t="n">
        <v>3</v>
      </c>
      <c r="J31" s="49" t="n">
        <v>3</v>
      </c>
      <c r="K31" s="49" t="n">
        <v>3</v>
      </c>
      <c r="L31" s="38" t="inlineStr">
        <is>
          <t>High provisional concern: an essential element remains unresolved. Poor leave administration can disclose sensitive circumstances or prevent access to an entitlement. The assessment must never ask for the employee's story.</t>
        </is>
      </c>
      <c r="M31" s="38" t="inlineStr">
        <is>
          <t>Run a fictional leave request through your approval and payroll process. Check authorised access, the payment calculation and what appears on the payslip.</t>
        </is>
      </c>
      <c r="N31" s="38" t="inlineStr">
        <is>
          <t>Give authorised staff a discreet process covering entitlement checks, payment, evidence access and the payslip treatment.</t>
        </is>
      </c>
      <c r="O31" s="38" t="inlineStr">
        <is>
          <t>Run a fictional request through the process and inspect every point where the information could be exposed.</t>
        </is>
      </c>
      <c r="P31" s="38" t="inlineStr">
        <is>
          <t>Review or verify within two business days and before the next affected event if earlier. Do not wait where a duty or current harm requires earlier action.</t>
        </is>
      </c>
      <c r="Q31" s="38" t="inlineStr">
        <is>
          <t>A tested confidential workflow and fictional payslip, with a named contact for employees. Confirm that the change works in practice, not only that a document exists.</t>
        </is>
      </c>
      <c r="R31" s="38" t="inlineStr">
        <is>
          <t>A tested confidential workflow and fictional payslip, with a named contact for employees.</t>
        </is>
      </c>
      <c r="S31" s="38" t="inlineStr">
        <is>
          <t>A change in payroll settings, leave administrators or confidentiality controls.</t>
        </is>
      </c>
      <c r="T31" s="38" t="inlineStr">
        <is>
          <t>Payroll lead / owner</t>
        </is>
      </c>
      <c r="U31" s="38" t="inlineStr">
        <is>
          <t>Targeted payroll, award/classification or salary-arrangement review, scoped to the flagged population.</t>
        </is>
      </c>
      <c r="V31" s="38" t="inlineStr">
        <is>
          <t>SENSITIVE_LEAVE</t>
        </is>
      </c>
      <c r="W31" s="38" t="inlineStr">
        <is>
          <t>A_PAY06</t>
        </is>
      </c>
      <c r="X31" s="38" t="inlineStr">
        <is>
          <t>S21;S14;DESIGN</t>
        </is>
      </c>
      <c r="Y31" s="38" t="inlineStr">
        <is>
          <t>https://www.fairwork.gov.au/tools-and-resources/fact-sheets/minimum-workplace-entitlements/family-and-domestic-violence-leave
https://www.fairwork.gov.au/tools-and-resources/fact-sheets/rights-and-obligations/record-keeping-pay-slips</t>
        </is>
      </c>
      <c r="Z31" s="38" t="inlineStr">
        <is>
          <t>Using a detailed leave label or circulating supporting material more widely than necessary.</t>
        </is>
      </c>
    </row>
    <row r="32" ht="91" customHeight="1">
      <c r="A32" s="37" t="inlineStr">
        <is>
          <t>PAY06_1</t>
        </is>
      </c>
      <c r="B32" s="37" t="inlineStr">
        <is>
          <t>PAY06</t>
        </is>
      </c>
      <c r="C32" s="48" t="n">
        <v>1</v>
      </c>
      <c r="D32" s="37" t="inlineStr">
        <is>
          <t>We would work it out when requested, including how to protect the information.</t>
        </is>
      </c>
      <c r="E32" s="37" t="inlineStr">
        <is>
          <t>Make sensitive leave safe to access</t>
        </is>
      </c>
      <c r="F32" s="37" t="inlineStr">
        <is>
          <t>The selected response relies on assumptions, informal decisions or an inconsistent process. The action is to make the relevant check reliable in routine work.</t>
        </is>
      </c>
      <c r="G32" s="37" t="inlineStr">
        <is>
          <t>Poor leave administration can disclose sensitive circumstances or prevent access to an entitlement. The assessment must never ask for the employee's story.</t>
        </is>
      </c>
      <c r="H32" s="37" t="inlineStr">
        <is>
          <t>Personal safety and confidential information</t>
        </is>
      </c>
      <c r="I32" s="48" t="n">
        <v>3</v>
      </c>
      <c r="J32" s="48" t="n">
        <v>3</v>
      </c>
      <c r="K32" s="48" t="n">
        <v>3</v>
      </c>
      <c r="L32" s="37" t="inlineStr">
        <is>
          <t>High provisional concern: an essential element remains unresolved. Poor leave administration can disclose sensitive circumstances or prevent access to an entitlement. The assessment must never ask for the employee's story.</t>
        </is>
      </c>
      <c r="M32" s="37" t="inlineStr">
        <is>
          <t>Replace the assumption with a current check. Run a fictional leave request through your approval and payroll process. Check authorised access, the payment calculation and what appears on the payslip.</t>
        </is>
      </c>
      <c r="N32" s="37" t="inlineStr">
        <is>
          <t>Give authorised staff a discreet process covering entitlement checks, payment, evidence access and the payslip treatment.</t>
        </is>
      </c>
      <c r="O32" s="37" t="inlineStr">
        <is>
          <t>Run a fictional request through the process and inspect every point where the information could be exposed.</t>
        </is>
      </c>
      <c r="P32" s="37" t="inlineStr">
        <is>
          <t>Review or verify within two business days and before the next affected event if earlier. Do not wait where a duty or current harm requires earlier action.</t>
        </is>
      </c>
      <c r="Q32" s="37" t="inlineStr">
        <is>
          <t>A tested confidential workflow and fictional payslip, with a named contact for employees. Confirm that the change works in practice, not only that a document exists.</t>
        </is>
      </c>
      <c r="R32" s="37" t="inlineStr">
        <is>
          <t>A tested confidential workflow and fictional payslip, with a named contact for employees.</t>
        </is>
      </c>
      <c r="S32" s="37" t="inlineStr">
        <is>
          <t>A change in payroll settings, leave administrators or confidentiality controls.</t>
        </is>
      </c>
      <c r="T32" s="37" t="inlineStr">
        <is>
          <t>Payroll lead / owner</t>
        </is>
      </c>
      <c r="U32" s="37" t="inlineStr">
        <is>
          <t>Targeted payroll, award/classification or salary-arrangement review, scoped to the flagged population.</t>
        </is>
      </c>
      <c r="V32" s="37" t="inlineStr">
        <is>
          <t>SENSITIVE_LEAVE</t>
        </is>
      </c>
      <c r="W32" s="37" t="inlineStr">
        <is>
          <t>A_PAY06</t>
        </is>
      </c>
      <c r="X32" s="37" t="inlineStr">
        <is>
          <t>S21;S14;DESIGN</t>
        </is>
      </c>
      <c r="Y32" s="37" t="inlineStr">
        <is>
          <t>https://www.fairwork.gov.au/tools-and-resources/fact-sheets/minimum-workplace-entitlements/family-and-domestic-violence-leave
https://www.fairwork.gov.au/tools-and-resources/fact-sheets/rights-and-obligations/record-keeping-pay-slips</t>
        </is>
      </c>
      <c r="Z32" s="37" t="inlineStr">
        <is>
          <t>Using a detailed leave label or circulating supporting material more widely than necessary.</t>
        </is>
      </c>
    </row>
    <row r="33" ht="91" customHeight="1">
      <c r="A33" s="38" t="inlineStr">
        <is>
          <t>PAY06_2</t>
        </is>
      </c>
      <c r="B33" s="38" t="inlineStr">
        <is>
          <t>PAY06</t>
        </is>
      </c>
      <c r="C33" s="49" t="n">
        <v>2</v>
      </c>
      <c r="D33" s="38" t="inlineStr">
        <is>
          <t>We have guidance, but payroll treatment or confidentiality has not been checked.</t>
        </is>
      </c>
      <c r="E33" s="38" t="inlineStr">
        <is>
          <t>Complete the remaining check: make sensitive leave safe to access</t>
        </is>
      </c>
      <c r="F33" s="38" t="inlineStr">
        <is>
          <t>The selected response identifies an incomplete element within an existing practice. Keep what works and target the unresolved part; the stronger elements do not cancel the gap.</t>
        </is>
      </c>
      <c r="G33" s="38" t="inlineStr">
        <is>
          <t>Poor leave administration can disclose sensitive circumstances or prevent access to an entitlement. The assessment must never ask for the employee's story.</t>
        </is>
      </c>
      <c r="H33" s="38" t="inlineStr">
        <is>
          <t>Personal safety and confidential information</t>
        </is>
      </c>
      <c r="I33" s="49" t="n">
        <v>3</v>
      </c>
      <c r="J33" s="49" t="n">
        <v>3</v>
      </c>
      <c r="K33" s="49" t="n">
        <v>3</v>
      </c>
      <c r="L33" s="38" t="inlineStr">
        <is>
          <t>High provisional concern: an essential element remains unresolved. Poor leave administration can disclose sensitive circumstances or prevent access to an entitlement. The assessment must never ask for the employee's story.</t>
        </is>
      </c>
      <c r="M33" s="38" t="inlineStr">
        <is>
          <t>Focus on the unresolved arrangements or exceptions. Run a fictional leave request through your approval and payroll process. Check authorised access, the payment calculation and what appears on the payslip.</t>
        </is>
      </c>
      <c r="N33" s="38" t="inlineStr">
        <is>
          <t>Give authorised staff a discreet process covering entitlement checks, payment, evidence access and the payslip treatment.</t>
        </is>
      </c>
      <c r="O33" s="38" t="inlineStr">
        <is>
          <t>Run a fictional request through the process and inspect every point where the information could be exposed.</t>
        </is>
      </c>
      <c r="P33" s="38" t="inlineStr">
        <is>
          <t>Review or verify within two business days and before the next affected event if earlier. Do not wait where a duty or current harm requires earlier action.</t>
        </is>
      </c>
      <c r="Q33" s="38" t="inlineStr">
        <is>
          <t>A tested confidential workflow and fictional payslip, with a named contact for employees. Confirm that the change works in practice, not only that a document exists.</t>
        </is>
      </c>
      <c r="R33" s="38" t="inlineStr">
        <is>
          <t>A tested confidential workflow and fictional payslip, with a named contact for employees.</t>
        </is>
      </c>
      <c r="S33" s="38" t="inlineStr">
        <is>
          <t>A change in payroll settings, leave administrators or confidentiality controls.</t>
        </is>
      </c>
      <c r="T33" s="38" t="inlineStr">
        <is>
          <t>Payroll lead / owner</t>
        </is>
      </c>
      <c r="U33" s="38" t="inlineStr">
        <is>
          <t>Targeted payroll, award/classification or salary-arrangement review, scoped to the flagged population.</t>
        </is>
      </c>
      <c r="V33" s="38" t="inlineStr">
        <is>
          <t>SENSITIVE_LEAVE</t>
        </is>
      </c>
      <c r="W33" s="38" t="inlineStr">
        <is>
          <t>A_PAY06</t>
        </is>
      </c>
      <c r="X33" s="38" t="inlineStr">
        <is>
          <t>S21;S14;DESIGN</t>
        </is>
      </c>
      <c r="Y33" s="38" t="inlineStr">
        <is>
          <t>https://www.fairwork.gov.au/tools-and-resources/fact-sheets/minimum-workplace-entitlements/family-and-domestic-violence-leave
https://www.fairwork.gov.au/tools-and-resources/fact-sheets/rights-and-obligations/record-keeping-pay-slips</t>
        </is>
      </c>
      <c r="Z33" s="38" t="inlineStr">
        <is>
          <t>Using a detailed leave label or circulating supporting material more widely than necessary.</t>
        </is>
      </c>
    </row>
    <row r="34" ht="91" customHeight="1">
      <c r="A34" s="37" t="inlineStr">
        <is>
          <t>PAY06_3</t>
        </is>
      </c>
      <c r="B34" s="37" t="inlineStr">
        <is>
          <t>PAY06</t>
        </is>
      </c>
      <c r="C34" s="48" t="n">
        <v>3</v>
      </c>
      <c r="D34" s="37" t="inlineStr">
        <is>
          <t>Authorised staff can apply the entitlement and payment rules, protect supporting information and use an appropriate payslip description.</t>
        </is>
      </c>
      <c r="E34" s="37" t="inlineStr">
        <is>
          <t>Maintain and test: make sensitive leave safe to access</t>
        </is>
      </c>
      <c r="F34" s="37" t="inlineStr">
        <is>
          <t>The selected response reports an established and checked practice. The tool has not inspected the evidence and cannot certify the absence of risk.</t>
        </is>
      </c>
      <c r="G34" s="37" t="inlineStr">
        <is>
          <t>Poor leave administration can disclose sensitive circumstances or prevent access to an entitlement. The assessment must never ask for the employee's story.</t>
        </is>
      </c>
      <c r="H34" s="37" t="inlineStr">
        <is>
          <t>Personal safety and confidential information</t>
        </is>
      </c>
      <c r="I34" s="48" t="n">
        <v>3</v>
      </c>
      <c r="J34" s="48" t="n">
        <v>1</v>
      </c>
      <c r="K34" s="48" t="n">
        <v>1</v>
      </c>
      <c r="L34" s="37" t="inlineStr">
        <is>
          <t>Lower reported concern, not a finding of no risk. The assumed controls are self-reported; a current incident, contrary evidence or failed control takes precedence.</t>
        </is>
      </c>
      <c r="M34" s="37" t="inlineStr">
        <is>
          <t>Maintain the practice described. At the next relevant review, run a fictional request through the process and inspect every point where the information could be exposed.</t>
        </is>
      </c>
      <c r="N34" s="37" t="inlineStr">
        <is>
          <t>Check whether changes in work, people or applicable requirements have made the original process less reliable.</t>
        </is>
      </c>
      <c r="O34" s="37" t="inlineStr">
        <is>
          <t>Retain the review outcome and act on any new exception. An unresolved live issue overrides this maintenance pathway.</t>
        </is>
      </c>
      <c r="P34" s="37" t="inlineStr">
        <is>
          <t>Maintain at the stated trigger; for a new low-priority improvement, plan within 90 days.</t>
        </is>
      </c>
      <c r="Q34" s="37" t="inlineStr">
        <is>
          <t>A current example of the practice and a proportionate recheck record. A tested confidential workflow and fictional payslip, with a named contact for employees.</t>
        </is>
      </c>
      <c r="R34" s="37" t="inlineStr">
        <is>
          <t>A tested confidential workflow and fictional payslip, with a named contact for employees.</t>
        </is>
      </c>
      <c r="S34" s="37" t="inlineStr">
        <is>
          <t>A change in payroll settings, leave administrators or confidentiality controls.</t>
        </is>
      </c>
      <c r="T34" s="37" t="inlineStr">
        <is>
          <t>Payroll lead / owner</t>
        </is>
      </c>
      <c r="U34" s="37" t="inlineStr">
        <is>
          <t>No further purchase is implied by this result. Seek support only for a material change, unresolved exception or chosen improvement.</t>
        </is>
      </c>
      <c r="V34" s="37" t="inlineStr">
        <is>
          <t>SENSITIVE_LEAVE</t>
        </is>
      </c>
      <c r="W34" s="37" t="inlineStr">
        <is>
          <t>A_PAY06</t>
        </is>
      </c>
      <c r="X34" s="37" t="inlineStr">
        <is>
          <t>S21;S14;DESIGN</t>
        </is>
      </c>
      <c r="Y34" s="37" t="inlineStr">
        <is>
          <t>https://www.fairwork.gov.au/tools-and-resources/fact-sheets/minimum-workplace-entitlements/family-and-domestic-violence-leave
https://www.fairwork.gov.au/tools-and-resources/fact-sheets/rights-and-obligations/record-keeping-pay-slips</t>
        </is>
      </c>
      <c r="Z34" s="37" t="inlineStr">
        <is>
          <t>Using a detailed leave label or circulating supporting material more widely than necessary.</t>
        </is>
      </c>
    </row>
    <row r="35" ht="91" customHeight="1">
      <c r="A35" s="38" t="inlineStr">
        <is>
          <t>PAY06_DK</t>
        </is>
      </c>
      <c r="B35" s="38" t="inlineStr">
        <is>
          <t>PAY06</t>
        </is>
      </c>
      <c r="C35" s="38" t="inlineStr">
        <is>
          <t>DK</t>
        </is>
      </c>
      <c r="D35" s="38" t="inlineStr">
        <is>
          <t>I need to confirm this.</t>
        </is>
      </c>
      <c r="E35" s="38" t="inlineStr">
        <is>
          <t>Verify: make sensitive leave safe to access</t>
        </is>
      </c>
      <c r="F35" s="38" t="inlineStr">
        <is>
          <t>This answer identifies a knowledge gap. It does not establish that the practice is missing, that harm has occurred or that a legal duty has been breached.</t>
        </is>
      </c>
      <c r="G35" s="38" t="inlineStr">
        <is>
          <t>Poor leave administration can disclose sensitive circumstances or prevent access to an entitlement. The assessment must never ask for the employee's story.</t>
        </is>
      </c>
      <c r="H35" s="38" t="inlineStr">
        <is>
          <t>Personal safety and confidential information</t>
        </is>
      </c>
      <c r="I35" s="49" t="n">
        <v>3</v>
      </c>
      <c r="J35" s="49" t="n">
        <v>0</v>
      </c>
      <c r="K35" s="49" t="n">
        <v>3</v>
      </c>
      <c r="L35" s="38" t="inlineStr">
        <is>
          <t>The risk is not rated from an unknown answer. Verification is High priority because: Poor leave administration can disclose sensitive circumstances or prevent access to an entitlement. The assessment must never ask for the employee's story.</t>
        </is>
      </c>
      <c r="M35" s="38" t="inlineStr">
        <is>
          <t>Ask the payroll lead / owner to show a current example of the process and the evidence listed below. Confirm the answer before deciding what must be repaired.</t>
        </is>
      </c>
      <c r="N35" s="38" t="inlineStr">
        <is>
          <t>Compare the example with the established-practice description: Authorised staff can apply the entitlement and payment rules, protect supporting information and use an appropriate payslip description.</t>
        </is>
      </c>
      <c r="O35" s="38" t="inlineStr">
        <is>
          <t>Record what was checked, by whom and when. If it remains unclear, keep the verification task open and agree any proportionate interim safeguard.</t>
        </is>
      </c>
      <c r="P35" s="38" t="inlineStr">
        <is>
          <t>Review or verify within two business days and before the next affected event if earlier. Do not wait where a duty or current harm requires earlier action.</t>
        </is>
      </c>
      <c r="Q35" s="38" t="inlineStr">
        <is>
          <t>A dated verification record, the supporting example, an updated answer and any remaining action. No automatic compliance conclusion.</t>
        </is>
      </c>
      <c r="R35" s="38" t="inlineStr">
        <is>
          <t>A tested confidential workflow and fictional payslip, with a named contact for employees.</t>
        </is>
      </c>
      <c r="S35" s="38" t="inlineStr">
        <is>
          <t>A change in payroll settings, leave administrators or confidentiality controls.</t>
        </is>
      </c>
      <c r="T35" s="38" t="inlineStr">
        <is>
          <t>Payroll lead / owner</t>
        </is>
      </c>
      <c r="U35" s="38" t="inlineStr">
        <is>
          <t>Targeted payroll, award/classification or salary-arrangement review, scoped to the flagged population.</t>
        </is>
      </c>
      <c r="V35" s="38" t="inlineStr">
        <is>
          <t>SENSITIVE_LEAVE</t>
        </is>
      </c>
      <c r="W35" s="38" t="inlineStr">
        <is>
          <t>A_PAY06</t>
        </is>
      </c>
      <c r="X35" s="38" t="inlineStr">
        <is>
          <t>S21;S14;DESIGN</t>
        </is>
      </c>
      <c r="Y35" s="38" t="inlineStr">
        <is>
          <t>https://www.fairwork.gov.au/tools-and-resources/fact-sheets/minimum-workplace-entitlements/family-and-domestic-violence-leave
https://www.fairwork.gov.au/tools-and-resources/fact-sheets/rights-and-obligations/record-keeping-pay-slips</t>
        </is>
      </c>
      <c r="Z35" s="38" t="inlineStr">
        <is>
          <t>Using a detailed leave label or circulating supporting material more widely than necessary.</t>
        </is>
      </c>
    </row>
    <row r="36" ht="76" customHeight="1">
      <c r="A36" s="37" t="inlineStr">
        <is>
          <t>CON01_0</t>
        </is>
      </c>
      <c r="B36" s="37" t="inlineStr">
        <is>
          <t>CON01</t>
        </is>
      </c>
      <c r="C36" s="48" t="n">
        <v>0</v>
      </c>
      <c r="D36" s="37" t="inlineStr">
        <is>
          <t>Some or all employees have no clear written terms.</t>
        </is>
      </c>
      <c r="E36" s="37" t="inlineStr">
        <is>
          <t>Bring the written terms into line with the real job</t>
        </is>
      </c>
      <c r="F36" s="37" t="inlineStr">
        <is>
          <t>The selected response reports a missing or unestablished element. Confirm the affected arrangements before drawing a conclusion about any actual breach or harm.</t>
        </is>
      </c>
      <c r="G36" s="37" t="inlineStr">
        <is>
          <t>Outdated or unclear terms can create a mismatch between what was agreed, what employees expect and what payroll applies.</t>
        </is>
      </c>
      <c r="H36" s="37" t="inlineStr">
        <is>
          <t>Employment clarity and disputes</t>
        </is>
      </c>
      <c r="I36" s="48" t="n">
        <v>2</v>
      </c>
      <c r="J36" s="48" t="n">
        <v>2</v>
      </c>
      <c r="K36" s="48" t="n">
        <v>2</v>
      </c>
      <c r="L36" s="37" t="inlineStr">
        <is>
          <t>Medium provisional concern: a material practice needs improvement. Outdated or unclear terms can create a mismatch between what was agreed, what employees expect and what payroll applies.</t>
        </is>
      </c>
      <c r="M36" s="37" t="inlineStr">
        <is>
          <t>Compare your employee list with the current contract and variation held for each person. Resolve missing or inconsistent terms through an appropriate review and agreement process.</t>
        </is>
      </c>
      <c r="N36" s="37" t="inlineStr">
        <is>
          <t>Compare current work and pay with the recorded terms. Review the suitability of the template and any proposed changes before seeking agreement.</t>
        </is>
      </c>
      <c r="O36" s="37" t="inlineStr">
        <is>
          <t>Reconcile the final agreed terms to payroll and retain an accessible version history.</t>
        </is>
      </c>
      <c r="P36" s="37" t="inlineStr">
        <is>
          <t>Agree an owner and plan within 30 days, or before the next affected event if earlier.</t>
        </is>
      </c>
      <c r="Q36" s="37" t="inlineStr">
        <is>
          <t>Current employment terms match the actual arrangements, required agreement and communication are recorded, and material exceptions have been resolved. A register tracks the next review; merely listing missing contracts does not close the task. Confirm that the change works in practice, not only that a document exists.</t>
        </is>
      </c>
      <c r="R36" s="37" t="inlineStr">
        <is>
          <t>Current employment terms match the actual arrangements, required agreement and communication are recorded, and material exceptions have been resolved. A register tracks the next review; merely listing missing contracts does not close the task.</t>
        </is>
      </c>
      <c r="S36" s="37" t="inlineStr">
        <is>
          <t>A material change in role, pay, hours or template requirements.</t>
        </is>
      </c>
      <c r="T36" s="37" t="inlineStr">
        <is>
          <t>Owner / HR lead</t>
        </is>
      </c>
      <c r="U36" s="37" t="inlineStr">
        <is>
          <t>Employment terms and engagement review, with legal referral for issues outside the agreed HR advisory scope.</t>
        </is>
      </c>
      <c r="V36" s="37" t="inlineStr">
        <is>
          <t>TERMS</t>
        </is>
      </c>
      <c r="W36" s="37" t="inlineStr">
        <is>
          <t>A_CON01</t>
        </is>
      </c>
      <c r="X36" s="37" t="inlineStr">
        <is>
          <t>S06;S09;DESIGN</t>
        </is>
      </c>
      <c r="Y36" s="37" t="inlineStr">
        <is>
          <t>https://www.fairwork.gov.au/pay-and-wages/minimum-wages/annualised-salaries
https://www.fairwork.gov.au/starting-employment/types-of-employees/fixed-term-contract-employees</t>
        </is>
      </c>
      <c r="Z36" s="37" t="inlineStr">
        <is>
          <t>Treating a signature or a long contract as proof that the terms are suitable or lawful.</t>
        </is>
      </c>
    </row>
    <row r="37" ht="76" customHeight="1">
      <c r="A37" s="38" t="inlineStr">
        <is>
          <t>CON01_1</t>
        </is>
      </c>
      <c r="B37" s="38" t="inlineStr">
        <is>
          <t>CON01</t>
        </is>
      </c>
      <c r="C37" s="49" t="n">
        <v>1</v>
      </c>
      <c r="D37" s="38" t="inlineStr">
        <is>
          <t>We use a template, but it has not been checked for the role or current arrangement.</t>
        </is>
      </c>
      <c r="E37" s="38" t="inlineStr">
        <is>
          <t>Bring the written terms into line with the real job</t>
        </is>
      </c>
      <c r="F37" s="38" t="inlineStr">
        <is>
          <t>The selected response relies on assumptions, informal decisions or an inconsistent process. The action is to make the relevant check reliable in routine work.</t>
        </is>
      </c>
      <c r="G37" s="38" t="inlineStr">
        <is>
          <t>Outdated or unclear terms can create a mismatch between what was agreed, what employees expect and what payroll applies.</t>
        </is>
      </c>
      <c r="H37" s="38" t="inlineStr">
        <is>
          <t>Employment clarity and disputes</t>
        </is>
      </c>
      <c r="I37" s="49" t="n">
        <v>2</v>
      </c>
      <c r="J37" s="49" t="n">
        <v>2</v>
      </c>
      <c r="K37" s="49" t="n">
        <v>2</v>
      </c>
      <c r="L37" s="38" t="inlineStr">
        <is>
          <t>Medium provisional concern: a material practice needs improvement. Outdated or unclear terms can create a mismatch between what was agreed, what employees expect and what payroll applies.</t>
        </is>
      </c>
      <c r="M37" s="38" t="inlineStr">
        <is>
          <t>Replace the assumption with a current check. Compare your employee list with the current contract and variation held for each person. Resolve missing or inconsistent terms through an appropriate review and agreement process.</t>
        </is>
      </c>
      <c r="N37" s="38" t="inlineStr">
        <is>
          <t>Compare current work and pay with the recorded terms. Review the suitability of the template and any proposed changes before seeking agreement.</t>
        </is>
      </c>
      <c r="O37" s="38" t="inlineStr">
        <is>
          <t>Reconcile the final agreed terms to payroll and retain an accessible version history.</t>
        </is>
      </c>
      <c r="P37" s="38" t="inlineStr">
        <is>
          <t>Agree an owner and plan within 30 days, or before the next affected event if earlier.</t>
        </is>
      </c>
      <c r="Q37" s="38" t="inlineStr">
        <is>
          <t>Current employment terms match the actual arrangements, required agreement and communication are recorded, and material exceptions have been resolved. A register tracks the next review; merely listing missing contracts does not close the task. Confirm that the change works in practice, not only that a document exists.</t>
        </is>
      </c>
      <c r="R37" s="38" t="inlineStr">
        <is>
          <t>Current employment terms match the actual arrangements, required agreement and communication are recorded, and material exceptions have been resolved. A register tracks the next review; merely listing missing contracts does not close the task.</t>
        </is>
      </c>
      <c r="S37" s="38" t="inlineStr">
        <is>
          <t>A material change in role, pay, hours or template requirements.</t>
        </is>
      </c>
      <c r="T37" s="38" t="inlineStr">
        <is>
          <t>Owner / HR lead</t>
        </is>
      </c>
      <c r="U37" s="38" t="inlineStr">
        <is>
          <t>Employment terms and engagement review, with legal referral for issues outside the agreed HR advisory scope.</t>
        </is>
      </c>
      <c r="V37" s="38" t="inlineStr">
        <is>
          <t>TERMS</t>
        </is>
      </c>
      <c r="W37" s="38" t="inlineStr">
        <is>
          <t>A_CON01</t>
        </is>
      </c>
      <c r="X37" s="38" t="inlineStr">
        <is>
          <t>S06;S09;DESIGN</t>
        </is>
      </c>
      <c r="Y37" s="38" t="inlineStr">
        <is>
          <t>https://www.fairwork.gov.au/pay-and-wages/minimum-wages/annualised-salaries
https://www.fairwork.gov.au/starting-employment/types-of-employees/fixed-term-contract-employees</t>
        </is>
      </c>
      <c r="Z37" s="38" t="inlineStr">
        <is>
          <t>Treating a signature or a long contract as proof that the terms are suitable or lawful.</t>
        </is>
      </c>
    </row>
    <row r="38" ht="76" customHeight="1">
      <c r="A38" s="37" t="inlineStr">
        <is>
          <t>CON01_2</t>
        </is>
      </c>
      <c r="B38" s="37" t="inlineStr">
        <is>
          <t>CON01</t>
        </is>
      </c>
      <c r="C38" s="48" t="n">
        <v>2</v>
      </c>
      <c r="D38" s="37" t="inlineStr">
        <is>
          <t>Most terms are current, but some employees have unsigned, inconsistent or outdated documents.</t>
        </is>
      </c>
      <c r="E38" s="37" t="inlineStr">
        <is>
          <t>Complete the remaining check: bring the written terms into line with the real job</t>
        </is>
      </c>
      <c r="F38" s="37" t="inlineStr">
        <is>
          <t>The selected response identifies an incomplete element within an existing practice. Keep what works and target the unresolved part; the stronger elements do not cancel the gap.</t>
        </is>
      </c>
      <c r="G38" s="37" t="inlineStr">
        <is>
          <t>Outdated or unclear terms can create a mismatch between what was agreed, what employees expect and what payroll applies.</t>
        </is>
      </c>
      <c r="H38" s="37" t="inlineStr">
        <is>
          <t>Employment clarity and disputes</t>
        </is>
      </c>
      <c r="I38" s="48" t="n">
        <v>2</v>
      </c>
      <c r="J38" s="48" t="n">
        <v>2</v>
      </c>
      <c r="K38" s="48" t="n">
        <v>2</v>
      </c>
      <c r="L38" s="37" t="inlineStr">
        <is>
          <t>Medium provisional concern: a material practice needs improvement. Outdated or unclear terms can create a mismatch between what was agreed, what employees expect and what payroll applies.</t>
        </is>
      </c>
      <c r="M38" s="37" t="inlineStr">
        <is>
          <t>Focus on the unresolved arrangements or exceptions. Compare your employee list with the current contract and variation held for each person. Resolve missing or inconsistent terms through an appropriate review and agreement process.</t>
        </is>
      </c>
      <c r="N38" s="37" t="inlineStr">
        <is>
          <t>Compare current work and pay with the recorded terms. Review the suitability of the template and any proposed changes before seeking agreement.</t>
        </is>
      </c>
      <c r="O38" s="37" t="inlineStr">
        <is>
          <t>Reconcile the final agreed terms to payroll and retain an accessible version history.</t>
        </is>
      </c>
      <c r="P38" s="37" t="inlineStr">
        <is>
          <t>Agree an owner and plan within 30 days, or before the next affected event if earlier.</t>
        </is>
      </c>
      <c r="Q38" s="37" t="inlineStr">
        <is>
          <t>Current employment terms match the actual arrangements, required agreement and communication are recorded, and material exceptions have been resolved. A register tracks the next review; merely listing missing contracts does not close the task. Confirm that the change works in practice, not only that a document exists.</t>
        </is>
      </c>
      <c r="R38" s="37" t="inlineStr">
        <is>
          <t>Current employment terms match the actual arrangements, required agreement and communication are recorded, and material exceptions have been resolved. A register tracks the next review; merely listing missing contracts does not close the task.</t>
        </is>
      </c>
      <c r="S38" s="37" t="inlineStr">
        <is>
          <t>A material change in role, pay, hours or template requirements.</t>
        </is>
      </c>
      <c r="T38" s="37" t="inlineStr">
        <is>
          <t>Owner / HR lead</t>
        </is>
      </c>
      <c r="U38" s="37" t="inlineStr">
        <is>
          <t>Employment terms and engagement review, with legal referral for issues outside the agreed HR advisory scope.</t>
        </is>
      </c>
      <c r="V38" s="37" t="inlineStr">
        <is>
          <t>TERMS</t>
        </is>
      </c>
      <c r="W38" s="37" t="inlineStr">
        <is>
          <t>A_CON01</t>
        </is>
      </c>
      <c r="X38" s="37" t="inlineStr">
        <is>
          <t>S06;S09;DESIGN</t>
        </is>
      </c>
      <c r="Y38" s="37" t="inlineStr">
        <is>
          <t>https://www.fairwork.gov.au/pay-and-wages/minimum-wages/annualised-salaries
https://www.fairwork.gov.au/starting-employment/types-of-employees/fixed-term-contract-employees</t>
        </is>
      </c>
      <c r="Z38" s="37" t="inlineStr">
        <is>
          <t>Treating a signature or a long contract as proof that the terms are suitable or lawful.</t>
        </is>
      </c>
    </row>
    <row r="39" ht="76" customHeight="1">
      <c r="A39" s="38" t="inlineStr">
        <is>
          <t>CON01_3</t>
        </is>
      </c>
      <c r="B39" s="38" t="inlineStr">
        <is>
          <t>CON01</t>
        </is>
      </c>
      <c r="C39" s="49" t="n">
        <v>3</v>
      </c>
      <c r="D39" s="38" t="inlineStr">
        <is>
          <t>We hold clear, current terms for each employee and can demonstrate that relevant terms were communicated and agreed.</t>
        </is>
      </c>
      <c r="E39" s="38" t="inlineStr">
        <is>
          <t>Maintain and test: bring the written terms into line with the real job</t>
        </is>
      </c>
      <c r="F39" s="38" t="inlineStr">
        <is>
          <t>The selected response reports an established and checked practice. The tool has not inspected the evidence and cannot certify the absence of risk.</t>
        </is>
      </c>
      <c r="G39" s="38" t="inlineStr">
        <is>
          <t>Outdated or unclear terms can create a mismatch between what was agreed, what employees expect and what payroll applies.</t>
        </is>
      </c>
      <c r="H39" s="38" t="inlineStr">
        <is>
          <t>Employment clarity and disputes</t>
        </is>
      </c>
      <c r="I39" s="49" t="n">
        <v>2</v>
      </c>
      <c r="J39" s="49" t="n">
        <v>1</v>
      </c>
      <c r="K39" s="49" t="n">
        <v>1</v>
      </c>
      <c r="L39" s="38" t="inlineStr">
        <is>
          <t>Lower reported concern, not a finding of no risk. The assumed controls are self-reported; a current incident, contrary evidence or failed control takes precedence.</t>
        </is>
      </c>
      <c r="M39" s="38" t="inlineStr">
        <is>
          <t>Maintain the practice described. At the next relevant review, reconcile the final agreed terms to payroll and retain an accessible version history.</t>
        </is>
      </c>
      <c r="N39" s="38" t="inlineStr">
        <is>
          <t>Check whether changes in work, people or applicable requirements have made the original process less reliable.</t>
        </is>
      </c>
      <c r="O39" s="38" t="inlineStr">
        <is>
          <t>Retain the review outcome and act on any new exception. An unresolved live issue overrides this maintenance pathway.</t>
        </is>
      </c>
      <c r="P39" s="38" t="inlineStr">
        <is>
          <t>Maintain at the stated trigger; for a new low-priority improvement, plan within 90 days.</t>
        </is>
      </c>
      <c r="Q39" s="38" t="inlineStr">
        <is>
          <t>A current example of the practice and a proportionate recheck record. Current employment terms match the actual arrangements, required agreement and communication are recorded, and material exceptions have been resolved. A register tracks the next review; merely listing missing contracts does not close the task.</t>
        </is>
      </c>
      <c r="R39" s="38" t="inlineStr">
        <is>
          <t>Current employment terms match the actual arrangements, required agreement and communication are recorded, and material exceptions have been resolved. A register tracks the next review; merely listing missing contracts does not close the task.</t>
        </is>
      </c>
      <c r="S39" s="38" t="inlineStr">
        <is>
          <t>A material change in role, pay, hours or template requirements.</t>
        </is>
      </c>
      <c r="T39" s="38" t="inlineStr">
        <is>
          <t>Owner / HR lead</t>
        </is>
      </c>
      <c r="U39" s="38" t="inlineStr">
        <is>
          <t>No further purchase is implied by this result. Seek support only for a material change, unresolved exception or chosen improvement.</t>
        </is>
      </c>
      <c r="V39" s="38" t="inlineStr">
        <is>
          <t>TERMS</t>
        </is>
      </c>
      <c r="W39" s="38" t="inlineStr">
        <is>
          <t>A_CON01</t>
        </is>
      </c>
      <c r="X39" s="38" t="inlineStr">
        <is>
          <t>S06;S09;DESIGN</t>
        </is>
      </c>
      <c r="Y39" s="38" t="inlineStr">
        <is>
          <t>https://www.fairwork.gov.au/pay-and-wages/minimum-wages/annualised-salaries
https://www.fairwork.gov.au/starting-employment/types-of-employees/fixed-term-contract-employees</t>
        </is>
      </c>
      <c r="Z39" s="38" t="inlineStr">
        <is>
          <t>Treating a signature or a long contract as proof that the terms are suitable or lawful.</t>
        </is>
      </c>
    </row>
    <row r="40" ht="76" customHeight="1">
      <c r="A40" s="37" t="inlineStr">
        <is>
          <t>CON01_DK</t>
        </is>
      </c>
      <c r="B40" s="37" t="inlineStr">
        <is>
          <t>CON01</t>
        </is>
      </c>
      <c r="C40" s="37" t="inlineStr">
        <is>
          <t>DK</t>
        </is>
      </c>
      <c r="D40" s="37" t="inlineStr">
        <is>
          <t>I need to confirm this.</t>
        </is>
      </c>
      <c r="E40" s="37" t="inlineStr">
        <is>
          <t>Verify: bring the written terms into line with the real job</t>
        </is>
      </c>
      <c r="F40" s="37" t="inlineStr">
        <is>
          <t>This answer identifies a knowledge gap. It does not establish that the practice is missing, that harm has occurred or that a legal duty has been breached.</t>
        </is>
      </c>
      <c r="G40" s="37" t="inlineStr">
        <is>
          <t>Outdated or unclear terms can create a mismatch between what was agreed, what employees expect and what payroll applies.</t>
        </is>
      </c>
      <c r="H40" s="37" t="inlineStr">
        <is>
          <t>Employment clarity and disputes</t>
        </is>
      </c>
      <c r="I40" s="48" t="n">
        <v>2</v>
      </c>
      <c r="J40" s="48" t="n">
        <v>0</v>
      </c>
      <c r="K40" s="48" t="n">
        <v>2</v>
      </c>
      <c r="L40" s="37" t="inlineStr">
        <is>
          <t>The risk is not rated from an unknown answer. Verification is Medium priority because: Outdated or unclear terms can create a mismatch between what was agreed, what employees expect and what payroll applies.</t>
        </is>
      </c>
      <c r="M40" s="37" t="inlineStr">
        <is>
          <t>Ask the owner / hr lead to show a current example of the process and the evidence listed below. Confirm the answer before deciding what must be repaired.</t>
        </is>
      </c>
      <c r="N40" s="37" t="inlineStr">
        <is>
          <t>Compare the example with the established-practice description: We hold clear, current terms for each employee and can demonstrate that relevant terms were communicated and agreed.</t>
        </is>
      </c>
      <c r="O40" s="37" t="inlineStr">
        <is>
          <t>Record what was checked, by whom and when. If it remains unclear, keep the verification task open and agree any proportionate interim safeguard.</t>
        </is>
      </c>
      <c r="P40" s="37" t="inlineStr">
        <is>
          <t>Agree an owner and plan within 30 days, or before the next affected event if earlier.</t>
        </is>
      </c>
      <c r="Q40" s="37" t="inlineStr">
        <is>
          <t>A dated verification record, the supporting example, an updated answer and any remaining action. No automatic compliance conclusion.</t>
        </is>
      </c>
      <c r="R40" s="37" t="inlineStr">
        <is>
          <t>Current employment terms match the actual arrangements, required agreement and communication are recorded, and material exceptions have been resolved. A register tracks the next review; merely listing missing contracts does not close the task.</t>
        </is>
      </c>
      <c r="S40" s="37" t="inlineStr">
        <is>
          <t>A material change in role, pay, hours or template requirements.</t>
        </is>
      </c>
      <c r="T40" s="37" t="inlineStr">
        <is>
          <t>Owner / HR lead</t>
        </is>
      </c>
      <c r="U40" s="37" t="inlineStr">
        <is>
          <t>Employment terms and engagement review, with legal referral for issues outside the agreed HR advisory scope.</t>
        </is>
      </c>
      <c r="V40" s="37" t="inlineStr">
        <is>
          <t>TERMS</t>
        </is>
      </c>
      <c r="W40" s="37" t="inlineStr">
        <is>
          <t>A_CON01</t>
        </is>
      </c>
      <c r="X40" s="37" t="inlineStr">
        <is>
          <t>S06;S09;DESIGN</t>
        </is>
      </c>
      <c r="Y40" s="37" t="inlineStr">
        <is>
          <t>https://www.fairwork.gov.au/pay-and-wages/minimum-wages/annualised-salaries
https://www.fairwork.gov.au/starting-employment/types-of-employees/fixed-term-contract-employees</t>
        </is>
      </c>
      <c r="Z40" s="37" t="inlineStr">
        <is>
          <t>Treating a signature or a long contract as proof that the terms are suitable or lawful.</t>
        </is>
      </c>
    </row>
    <row r="41" ht="106" customHeight="1">
      <c r="A41" s="38" t="inlineStr">
        <is>
          <t>CON02_0</t>
        </is>
      </c>
      <c r="B41" s="38" t="inlineStr">
        <is>
          <t>CON02</t>
        </is>
      </c>
      <c r="C41" s="49" t="n">
        <v>0</v>
      </c>
      <c r="D41" s="38" t="inlineStr">
        <is>
          <t>Employment types have not been reviewed.</t>
        </is>
      </c>
      <c r="E41" s="38" t="inlineStr">
        <is>
          <t>Review employment labels against actual arrangements</t>
        </is>
      </c>
      <c r="F41" s="38" t="inlineStr">
        <is>
          <t>The selected response reports a missing or unestablished element. Confirm the affected arrangements before drawing a conclusion about any actual breach or harm.</t>
        </is>
      </c>
      <c r="G41" s="38" t="inlineStr">
        <is>
          <t>An employment label that no longer matches the arrangement can result in the wrong rights, payments or decision process being applied.</t>
        </is>
      </c>
      <c r="H41" s="38" t="inlineStr">
        <is>
          <t>Employment status and entitlements</t>
        </is>
      </c>
      <c r="I41" s="49" t="n">
        <v>3</v>
      </c>
      <c r="J41" s="49" t="n">
        <v>3</v>
      </c>
      <c r="K41" s="49" t="n">
        <v>3</v>
      </c>
      <c r="L41" s="38" t="inlineStr">
        <is>
          <t>High provisional concern: an essential element remains unresolved. An employment label that no longer matches the arrangement can result in the wrong rights, payments or decision process being applied.</t>
        </is>
      </c>
      <c r="M41" s="38" t="inlineStr">
        <is>
          <t>Compare current work patterns with recorded employment types. Investigate exceptions rather than automatically relabelling employees.</t>
        </is>
      </c>
      <c r="N41" s="38" t="inlineStr">
        <is>
          <t>Review the relevant engagement basis and working pattern. Use the casual, fixed-term or contractor branch where needed.</t>
        </is>
      </c>
      <c r="O41" s="38" t="inlineStr">
        <is>
          <t>Record the assessment and implement any required change through a checked process, rather than simply relabelling payroll.</t>
        </is>
      </c>
      <c r="P41" s="38" t="inlineStr">
        <is>
          <t>Review or verify within two business days and before the next affected event if earlier. Do not wait where a duty or current harm requires earlier action.</t>
        </is>
      </c>
      <c r="Q41" s="38" t="inlineStr">
        <is>
          <t>Each materially different employment arrangement has a recorded assessment and any necessary changes have been agreed, implemented and checked. Keep unresolved status or entitlement questions open. Confirm that the change works in practice, not only that a document exists.</t>
        </is>
      </c>
      <c r="R41" s="38" t="inlineStr">
        <is>
          <t>Each materially different employment arrangement has a recorded assessment and any necessary changes have been agreed, implemented and checked. Keep unresolved status or entitlement questions open.</t>
        </is>
      </c>
      <c r="S41" s="38" t="inlineStr">
        <is>
          <t>A changed pattern of work, renewal or changed engagement rules.</t>
        </is>
      </c>
      <c r="T41" s="38" t="inlineStr">
        <is>
          <t>Owner / HR lead</t>
        </is>
      </c>
      <c r="U41" s="38" t="inlineStr">
        <is>
          <t>Employment terms and engagement review, with legal referral for issues outside the agreed HR advisory scope.</t>
        </is>
      </c>
      <c r="V41" s="38" t="inlineStr">
        <is>
          <t>TERMS</t>
        </is>
      </c>
      <c r="W41" s="38" t="inlineStr">
        <is>
          <t>A_CON02</t>
        </is>
      </c>
      <c r="X41" s="38" t="inlineStr">
        <is>
          <t>S03;S09;S23;DESIGN</t>
        </is>
      </c>
      <c r="Y41" s="38"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Z41" s="38" t="inlineStr">
        <is>
          <t>Keeping the original employment type indefinitely because the contract uses that label.</t>
        </is>
      </c>
    </row>
    <row r="42" ht="106" customHeight="1">
      <c r="A42" s="37" t="inlineStr">
        <is>
          <t>CON02_1</t>
        </is>
      </c>
      <c r="B42" s="37" t="inlineStr">
        <is>
          <t>CON02</t>
        </is>
      </c>
      <c r="C42" s="48" t="n">
        <v>1</v>
      </c>
      <c r="D42" s="37" t="inlineStr">
        <is>
          <t>We retain the original label even when the working arrangement changes.</t>
        </is>
      </c>
      <c r="E42" s="37" t="inlineStr">
        <is>
          <t>Review employment labels against actual arrangements</t>
        </is>
      </c>
      <c r="F42" s="37" t="inlineStr">
        <is>
          <t>The selected response relies on assumptions, informal decisions or an inconsistent process. The action is to make the relevant check reliable in routine work.</t>
        </is>
      </c>
      <c r="G42" s="37" t="inlineStr">
        <is>
          <t>An employment label that no longer matches the arrangement can result in the wrong rights, payments or decision process being applied.</t>
        </is>
      </c>
      <c r="H42" s="37" t="inlineStr">
        <is>
          <t>Employment status and entitlements</t>
        </is>
      </c>
      <c r="I42" s="48" t="n">
        <v>3</v>
      </c>
      <c r="J42" s="48" t="n">
        <v>3</v>
      </c>
      <c r="K42" s="48" t="n">
        <v>3</v>
      </c>
      <c r="L42" s="37" t="inlineStr">
        <is>
          <t>High provisional concern: an essential element remains unresolved. An employment label that no longer matches the arrangement can result in the wrong rights, payments or decision process being applied.</t>
        </is>
      </c>
      <c r="M42" s="37" t="inlineStr">
        <is>
          <t>Replace the assumption with a current check. Compare current work patterns with recorded employment types. Investigate exceptions rather than automatically relabelling employees.</t>
        </is>
      </c>
      <c r="N42" s="37" t="inlineStr">
        <is>
          <t>Review the relevant engagement basis and working pattern. Use the casual, fixed-term or contractor branch where needed.</t>
        </is>
      </c>
      <c r="O42" s="37" t="inlineStr">
        <is>
          <t>Record the assessment and implement any required change through a checked process, rather than simply relabelling payroll.</t>
        </is>
      </c>
      <c r="P42" s="37" t="inlineStr">
        <is>
          <t>Review or verify within two business days and before the next affected event if earlier. Do not wait where a duty or current harm requires earlier action.</t>
        </is>
      </c>
      <c r="Q42" s="37" t="inlineStr">
        <is>
          <t>Each materially different employment arrangement has a recorded assessment and any necessary changes have been agreed, implemented and checked. Keep unresolved status or entitlement questions open. Confirm that the change works in practice, not only that a document exists.</t>
        </is>
      </c>
      <c r="R42" s="37" t="inlineStr">
        <is>
          <t>Each materially different employment arrangement has a recorded assessment and any necessary changes have been agreed, implemented and checked. Keep unresolved status or entitlement questions open.</t>
        </is>
      </c>
      <c r="S42" s="37" t="inlineStr">
        <is>
          <t>A changed pattern of work, renewal or changed engagement rules.</t>
        </is>
      </c>
      <c r="T42" s="37" t="inlineStr">
        <is>
          <t>Owner / HR lead</t>
        </is>
      </c>
      <c r="U42" s="37" t="inlineStr">
        <is>
          <t>Employment terms and engagement review, with legal referral for issues outside the agreed HR advisory scope.</t>
        </is>
      </c>
      <c r="V42" s="37" t="inlineStr">
        <is>
          <t>TERMS</t>
        </is>
      </c>
      <c r="W42" s="37" t="inlineStr">
        <is>
          <t>A_CON02</t>
        </is>
      </c>
      <c r="X42" s="37" t="inlineStr">
        <is>
          <t>S03;S09;S23;DESIGN</t>
        </is>
      </c>
      <c r="Y42" s="37"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Z42" s="37" t="inlineStr">
        <is>
          <t>Keeping the original employment type indefinitely because the contract uses that label.</t>
        </is>
      </c>
    </row>
    <row r="43" ht="106" customHeight="1">
      <c r="A43" s="38" t="inlineStr">
        <is>
          <t>CON02_2</t>
        </is>
      </c>
      <c r="B43" s="38" t="inlineStr">
        <is>
          <t>CON02</t>
        </is>
      </c>
      <c r="C43" s="49" t="n">
        <v>2</v>
      </c>
      <c r="D43" s="38" t="inlineStr">
        <is>
          <t>Most arrangements have been reviewed, but some changes or exceptions remain unresolved.</t>
        </is>
      </c>
      <c r="E43" s="38" t="inlineStr">
        <is>
          <t>Complete the remaining check: review employment labels against actual arrangements</t>
        </is>
      </c>
      <c r="F43" s="38" t="inlineStr">
        <is>
          <t>The selected response identifies an incomplete element within an existing practice. Keep what works and target the unresolved part; the stronger elements do not cancel the gap.</t>
        </is>
      </c>
      <c r="G43" s="38" t="inlineStr">
        <is>
          <t>An employment label that no longer matches the arrangement can result in the wrong rights, payments or decision process being applied.</t>
        </is>
      </c>
      <c r="H43" s="38" t="inlineStr">
        <is>
          <t>Employment status and entitlements</t>
        </is>
      </c>
      <c r="I43" s="49" t="n">
        <v>3</v>
      </c>
      <c r="J43" s="49" t="n">
        <v>2</v>
      </c>
      <c r="K43" s="49" t="n">
        <v>2</v>
      </c>
      <c r="L43" s="38" t="inlineStr">
        <is>
          <t>Medium provisional concern: a material practice needs improvement. An employment label that no longer matches the arrangement can result in the wrong rights, payments or decision process being applied.</t>
        </is>
      </c>
      <c r="M43" s="38" t="inlineStr">
        <is>
          <t>Focus on the unresolved arrangements or exceptions. Compare current work patterns with recorded employment types. Investigate exceptions rather than automatically relabelling employees.</t>
        </is>
      </c>
      <c r="N43" s="38" t="inlineStr">
        <is>
          <t>Review the relevant engagement basis and working pattern. Use the casual, fixed-term or contractor branch where needed.</t>
        </is>
      </c>
      <c r="O43" s="38" t="inlineStr">
        <is>
          <t>Record the assessment and implement any required change through a checked process, rather than simply relabelling payroll.</t>
        </is>
      </c>
      <c r="P43" s="38" t="inlineStr">
        <is>
          <t>Agree an owner and plan within 30 days, or before the next affected event if earlier.</t>
        </is>
      </c>
      <c r="Q43" s="38" t="inlineStr">
        <is>
          <t>Each materially different employment arrangement has a recorded assessment and any necessary changes have been agreed, implemented and checked. Keep unresolved status or entitlement questions open. Confirm that the change works in practice, not only that a document exists.</t>
        </is>
      </c>
      <c r="R43" s="38" t="inlineStr">
        <is>
          <t>Each materially different employment arrangement has a recorded assessment and any necessary changes have been agreed, implemented and checked. Keep unresolved status or entitlement questions open.</t>
        </is>
      </c>
      <c r="S43" s="38" t="inlineStr">
        <is>
          <t>A changed pattern of work, renewal or changed engagement rules.</t>
        </is>
      </c>
      <c r="T43" s="38" t="inlineStr">
        <is>
          <t>Owner / HR lead</t>
        </is>
      </c>
      <c r="U43" s="38" t="inlineStr">
        <is>
          <t>Employment terms and engagement review, with legal referral for issues outside the agreed HR advisory scope.</t>
        </is>
      </c>
      <c r="V43" s="38" t="inlineStr">
        <is>
          <t>TERMS</t>
        </is>
      </c>
      <c r="W43" s="38" t="inlineStr">
        <is>
          <t>A_CON02</t>
        </is>
      </c>
      <c r="X43" s="38" t="inlineStr">
        <is>
          <t>S03;S09;S23;DESIGN</t>
        </is>
      </c>
      <c r="Y43" s="38"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Z43" s="38" t="inlineStr">
        <is>
          <t>Keeping the original employment type indefinitely because the contract uses that label.</t>
        </is>
      </c>
    </row>
    <row r="44" ht="106" customHeight="1">
      <c r="A44" s="37" t="inlineStr">
        <is>
          <t>CON02_3</t>
        </is>
      </c>
      <c r="B44" s="37" t="inlineStr">
        <is>
          <t>CON02</t>
        </is>
      </c>
      <c r="C44" s="48" t="n">
        <v>3</v>
      </c>
      <c r="D44" s="37" t="inlineStr">
        <is>
          <t>We check the basis for engagement and revisit it when the pattern of work or contractual arrangement changes.</t>
        </is>
      </c>
      <c r="E44" s="37" t="inlineStr">
        <is>
          <t>Maintain and test: review employment labels against actual arrangements</t>
        </is>
      </c>
      <c r="F44" s="37" t="inlineStr">
        <is>
          <t>The selected response reports an established and checked practice. The tool has not inspected the evidence and cannot certify the absence of risk.</t>
        </is>
      </c>
      <c r="G44" s="37" t="inlineStr">
        <is>
          <t>An employment label that no longer matches the arrangement can result in the wrong rights, payments or decision process being applied.</t>
        </is>
      </c>
      <c r="H44" s="37" t="inlineStr">
        <is>
          <t>Employment status and entitlements</t>
        </is>
      </c>
      <c r="I44" s="48" t="n">
        <v>3</v>
      </c>
      <c r="J44" s="48" t="n">
        <v>1</v>
      </c>
      <c r="K44" s="48" t="n">
        <v>1</v>
      </c>
      <c r="L44" s="37" t="inlineStr">
        <is>
          <t>Lower reported concern, not a finding of no risk. The assumed controls are self-reported; a current incident, contrary evidence or failed control takes precedence.</t>
        </is>
      </c>
      <c r="M44" s="37" t="inlineStr">
        <is>
          <t>Maintain the practice described. At the next relevant review, record the assessment and implement any required change through a checked process, rather than simply relabelling payroll.</t>
        </is>
      </c>
      <c r="N44" s="37" t="inlineStr">
        <is>
          <t>Check whether changes in work, people or applicable requirements have made the original process less reliable.</t>
        </is>
      </c>
      <c r="O44" s="37" t="inlineStr">
        <is>
          <t>Retain the review outcome and act on any new exception. An unresolved live issue overrides this maintenance pathway.</t>
        </is>
      </c>
      <c r="P44" s="37" t="inlineStr">
        <is>
          <t>Maintain at the stated trigger; for a new low-priority improvement, plan within 90 days.</t>
        </is>
      </c>
      <c r="Q44" s="37" t="inlineStr">
        <is>
          <t>A current example of the practice and a proportionate recheck record. Each materially different employment arrangement has a recorded assessment and any necessary changes have been agreed, implemented and checked. Keep unresolved status or entitlement questions open.</t>
        </is>
      </c>
      <c r="R44" s="37" t="inlineStr">
        <is>
          <t>Each materially different employment arrangement has a recorded assessment and any necessary changes have been agreed, implemented and checked. Keep unresolved status or entitlement questions open.</t>
        </is>
      </c>
      <c r="S44" s="37" t="inlineStr">
        <is>
          <t>A changed pattern of work, renewal or changed engagement rules.</t>
        </is>
      </c>
      <c r="T44" s="37" t="inlineStr">
        <is>
          <t>Owner / HR lead</t>
        </is>
      </c>
      <c r="U44" s="37" t="inlineStr">
        <is>
          <t>No further purchase is implied by this result. Seek support only for a material change, unresolved exception or chosen improvement.</t>
        </is>
      </c>
      <c r="V44" s="37" t="inlineStr">
        <is>
          <t>TERMS</t>
        </is>
      </c>
      <c r="W44" s="37" t="inlineStr">
        <is>
          <t>A_CON02</t>
        </is>
      </c>
      <c r="X44" s="37" t="inlineStr">
        <is>
          <t>S03;S09;S23;DESIGN</t>
        </is>
      </c>
      <c r="Y44" s="37"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Z44" s="37" t="inlineStr">
        <is>
          <t>Keeping the original employment type indefinitely because the contract uses that label.</t>
        </is>
      </c>
    </row>
    <row r="45" ht="106" customHeight="1">
      <c r="A45" s="38" t="inlineStr">
        <is>
          <t>CON02_DK</t>
        </is>
      </c>
      <c r="B45" s="38" t="inlineStr">
        <is>
          <t>CON02</t>
        </is>
      </c>
      <c r="C45" s="38" t="inlineStr">
        <is>
          <t>DK</t>
        </is>
      </c>
      <c r="D45" s="38" t="inlineStr">
        <is>
          <t>I need to confirm this.</t>
        </is>
      </c>
      <c r="E45" s="38" t="inlineStr">
        <is>
          <t>Verify: review employment labels against actual arrangements</t>
        </is>
      </c>
      <c r="F45" s="38" t="inlineStr">
        <is>
          <t>This answer identifies a knowledge gap. It does not establish that the practice is missing, that harm has occurred or that a legal duty has been breached.</t>
        </is>
      </c>
      <c r="G45" s="38" t="inlineStr">
        <is>
          <t>An employment label that no longer matches the arrangement can result in the wrong rights, payments or decision process being applied.</t>
        </is>
      </c>
      <c r="H45" s="38" t="inlineStr">
        <is>
          <t>Employment status and entitlements</t>
        </is>
      </c>
      <c r="I45" s="49" t="n">
        <v>3</v>
      </c>
      <c r="J45" s="49" t="n">
        <v>0</v>
      </c>
      <c r="K45" s="49" t="n">
        <v>3</v>
      </c>
      <c r="L45" s="38" t="inlineStr">
        <is>
          <t>The risk is not rated from an unknown answer. Verification is High priority because: An employment label that no longer matches the arrangement can result in the wrong rights, payments or decision process being applied.</t>
        </is>
      </c>
      <c r="M45" s="38" t="inlineStr">
        <is>
          <t>Ask the owner / hr lead to show a current example of the process and the evidence listed below. Confirm the answer before deciding what must be repaired.</t>
        </is>
      </c>
      <c r="N45" s="38" t="inlineStr">
        <is>
          <t>Compare the example with the established-practice description: We check the basis for engagement and revisit it when the pattern of work or contractual arrangement changes.</t>
        </is>
      </c>
      <c r="O45" s="38" t="inlineStr">
        <is>
          <t>Record what was checked, by whom and when. If it remains unclear, keep the verification task open and agree any proportionate interim safeguard.</t>
        </is>
      </c>
      <c r="P45" s="38" t="inlineStr">
        <is>
          <t>Review or verify within two business days and before the next affected event if earlier. Do not wait where a duty or current harm requires earlier action.</t>
        </is>
      </c>
      <c r="Q45" s="38" t="inlineStr">
        <is>
          <t>A dated verification record, the supporting example, an updated answer and any remaining action. No automatic compliance conclusion.</t>
        </is>
      </c>
      <c r="R45" s="38" t="inlineStr">
        <is>
          <t>Each materially different employment arrangement has a recorded assessment and any necessary changes have been agreed, implemented and checked. Keep unresolved status or entitlement questions open.</t>
        </is>
      </c>
      <c r="S45" s="38" t="inlineStr">
        <is>
          <t>A changed pattern of work, renewal or changed engagement rules.</t>
        </is>
      </c>
      <c r="T45" s="38" t="inlineStr">
        <is>
          <t>Owner / HR lead</t>
        </is>
      </c>
      <c r="U45" s="38" t="inlineStr">
        <is>
          <t>Employment terms and engagement review, with legal referral for issues outside the agreed HR advisory scope.</t>
        </is>
      </c>
      <c r="V45" s="38" t="inlineStr">
        <is>
          <t>TERMS</t>
        </is>
      </c>
      <c r="W45" s="38" t="inlineStr">
        <is>
          <t>A_CON02</t>
        </is>
      </c>
      <c r="X45" s="38" t="inlineStr">
        <is>
          <t>S03;S09;S23;DESIGN</t>
        </is>
      </c>
      <c r="Y45" s="38" t="inlineStr">
        <is>
          <t>https://www.fairwork.gov.au/starting-employment/types-of-employees/casual-employees/becoming-a-permanent-employee
https://www.fairwork.gov.au/starting-employment/types-of-employees/fixed-term-contract-employees
https://www.fairwork.gov.au/find-help-for/independent-contractors/whole-of-relationship-test</t>
        </is>
      </c>
      <c r="Z45" s="38" t="inlineStr">
        <is>
          <t>Keeping the original employment type indefinitely because the contract uses that label.</t>
        </is>
      </c>
    </row>
    <row r="46" ht="76" customHeight="1">
      <c r="A46" s="37" t="inlineStr">
        <is>
          <t>CON03_0</t>
        </is>
      </c>
      <c r="B46" s="37" t="inlineStr">
        <is>
          <t>CON03</t>
        </is>
      </c>
      <c r="C46" s="48" t="n">
        <v>0</v>
      </c>
      <c r="D46" s="37" t="inlineStr">
        <is>
          <t>Changes are made without a consistent process.</t>
        </is>
      </c>
      <c r="E46" s="37" t="inlineStr">
        <is>
          <t>Close the gap between agreement and implementation</t>
        </is>
      </c>
      <c r="F46" s="37" t="inlineStr">
        <is>
          <t>The selected response reports a missing or unestablished element. Confirm the affected arrangements before drawing a conclusion about any actual breach or harm.</t>
        </is>
      </c>
      <c r="G46" s="37" t="inlineStr">
        <is>
          <t>An agreed change can fail in practice if payroll, management and the employee hold different versions of it.</t>
        </is>
      </c>
      <c r="H46" s="37" t="inlineStr">
        <is>
          <t>Change control and pay accuracy</t>
        </is>
      </c>
      <c r="I46" s="48" t="n">
        <v>2</v>
      </c>
      <c r="J46" s="48" t="n">
        <v>2</v>
      </c>
      <c r="K46" s="48" t="n">
        <v>2</v>
      </c>
      <c r="L46" s="37" t="inlineStr">
        <is>
          <t>Medium provisional concern: a material practice needs improvement. An agreed change can fail in practice if payroll, management and the employee hold different versions of it.</t>
        </is>
      </c>
      <c r="M46" s="37" t="inlineStr">
        <is>
          <t>Trace the most recent change from approval to employee communication, payroll and the employee file. Fix any break in the process.</t>
        </is>
      </c>
      <c r="N46" s="37" t="inlineStr">
        <is>
          <t>Confirm required agreement or consultation, approval authority and the effective date. Send the approved instruction to payroll and the record owner.</t>
        </is>
      </c>
      <c r="O46" s="37" t="inlineStr">
        <is>
          <t>Check the first affected roster or payment and confirm the final record reflects the change.</t>
        </is>
      </c>
      <c r="P46" s="37" t="inlineStr">
        <is>
          <t>Agree an owner and plan within 30 days, or before the next affected event if earlier.</t>
        </is>
      </c>
      <c r="Q46" s="37" t="inlineStr">
        <is>
          <t>A complete change record with approvals, required agreement or consultation and matching payroll instructions. Confirm that the change works in practice, not only that a document exists.</t>
        </is>
      </c>
      <c r="R46" s="37" t="inlineStr">
        <is>
          <t>A complete change record with approvals, required agreement or consultation and matching payroll instructions.</t>
        </is>
      </c>
      <c r="S46" s="37" t="inlineStr">
        <is>
          <t>Each material change to employment terms.</t>
        </is>
      </c>
      <c r="T46" s="37" t="inlineStr">
        <is>
          <t>Owner / HR lead</t>
        </is>
      </c>
      <c r="U46" s="37" t="inlineStr">
        <is>
          <t>Employment terms and engagement review, with legal referral for issues outside the agreed HR advisory scope.</t>
        </is>
      </c>
      <c r="V46" s="37" t="inlineStr">
        <is>
          <t>TERMS</t>
        </is>
      </c>
      <c r="W46" s="37" t="inlineStr">
        <is>
          <t>A_CON03</t>
        </is>
      </c>
      <c r="X46" s="37" t="inlineStr">
        <is>
          <t>S25;S14;DESIGN</t>
        </is>
      </c>
      <c r="Y46" s="37" t="inlineStr">
        <is>
          <t>https://www.fairwork.gov.au/tools-and-resources/best-practice-guides/consultation-and-cooperation-in-the-workplace
https://www.fairwork.gov.au/tools-and-resources/fact-sheets/rights-and-obligations/record-keeping-pay-slips</t>
        </is>
      </c>
      <c r="Z46" s="37" t="inlineStr">
        <is>
          <t>Assuming a variation letter proves that every required step occurred.</t>
        </is>
      </c>
    </row>
    <row r="47" ht="76" customHeight="1">
      <c r="A47" s="38" t="inlineStr">
        <is>
          <t>CON03_1</t>
        </is>
      </c>
      <c r="B47" s="38" t="inlineStr">
        <is>
          <t>CON03</t>
        </is>
      </c>
      <c r="C47" s="49" t="n">
        <v>1</v>
      </c>
      <c r="D47" s="38" t="inlineStr">
        <is>
          <t>Managers generally agree changes verbally or by informal messages.</t>
        </is>
      </c>
      <c r="E47" s="38" t="inlineStr">
        <is>
          <t>Close the gap between agreement and implementation</t>
        </is>
      </c>
      <c r="F47" s="38" t="inlineStr">
        <is>
          <t>The selected response relies on assumptions, informal decisions or an inconsistent process. The action is to make the relevant check reliable in routine work.</t>
        </is>
      </c>
      <c r="G47" s="38" t="inlineStr">
        <is>
          <t>An agreed change can fail in practice if payroll, management and the employee hold different versions of it.</t>
        </is>
      </c>
      <c r="H47" s="38" t="inlineStr">
        <is>
          <t>Change control and pay accuracy</t>
        </is>
      </c>
      <c r="I47" s="49" t="n">
        <v>2</v>
      </c>
      <c r="J47" s="49" t="n">
        <v>2</v>
      </c>
      <c r="K47" s="49" t="n">
        <v>2</v>
      </c>
      <c r="L47" s="38" t="inlineStr">
        <is>
          <t>Medium provisional concern: a material practice needs improvement. An agreed change can fail in practice if payroll, management and the employee hold different versions of it.</t>
        </is>
      </c>
      <c r="M47" s="38" t="inlineStr">
        <is>
          <t>Replace the assumption with a current check. Trace the most recent change from approval to employee communication, payroll and the employee file. Fix any break in the process.</t>
        </is>
      </c>
      <c r="N47" s="38" t="inlineStr">
        <is>
          <t>Confirm required agreement or consultation, approval authority and the effective date. Send the approved instruction to payroll and the record owner.</t>
        </is>
      </c>
      <c r="O47" s="38" t="inlineStr">
        <is>
          <t>Check the first affected roster or payment and confirm the final record reflects the change.</t>
        </is>
      </c>
      <c r="P47" s="38" t="inlineStr">
        <is>
          <t>Agree an owner and plan within 30 days, or before the next affected event if earlier.</t>
        </is>
      </c>
      <c r="Q47" s="38" t="inlineStr">
        <is>
          <t>A complete change record with approvals, required agreement or consultation and matching payroll instructions. Confirm that the change works in practice, not only that a document exists.</t>
        </is>
      </c>
      <c r="R47" s="38" t="inlineStr">
        <is>
          <t>A complete change record with approvals, required agreement or consultation and matching payroll instructions.</t>
        </is>
      </c>
      <c r="S47" s="38" t="inlineStr">
        <is>
          <t>Each material change to employment terms.</t>
        </is>
      </c>
      <c r="T47" s="38" t="inlineStr">
        <is>
          <t>Owner / HR lead</t>
        </is>
      </c>
      <c r="U47" s="38" t="inlineStr">
        <is>
          <t>Employment terms and engagement review, with legal referral for issues outside the agreed HR advisory scope.</t>
        </is>
      </c>
      <c r="V47" s="38" t="inlineStr">
        <is>
          <t>TERMS</t>
        </is>
      </c>
      <c r="W47" s="38" t="inlineStr">
        <is>
          <t>A_CON03</t>
        </is>
      </c>
      <c r="X47" s="38" t="inlineStr">
        <is>
          <t>S25;S14;DESIGN</t>
        </is>
      </c>
      <c r="Y47" s="38" t="inlineStr">
        <is>
          <t>https://www.fairwork.gov.au/tools-and-resources/best-practice-guides/consultation-and-cooperation-in-the-workplace
https://www.fairwork.gov.au/tools-and-resources/fact-sheets/rights-and-obligations/record-keeping-pay-slips</t>
        </is>
      </c>
      <c r="Z47" s="38" t="inlineStr">
        <is>
          <t>Assuming a variation letter proves that every required step occurred.</t>
        </is>
      </c>
    </row>
    <row r="48" ht="76" customHeight="1">
      <c r="A48" s="37" t="inlineStr">
        <is>
          <t>CON03_2</t>
        </is>
      </c>
      <c r="B48" s="37" t="inlineStr">
        <is>
          <t>CON03</t>
        </is>
      </c>
      <c r="C48" s="48" t="n">
        <v>2</v>
      </c>
      <c r="D48" s="37" t="inlineStr">
        <is>
          <t>Most changes are recorded, but agreement, payroll updates or filing can be missed.</t>
        </is>
      </c>
      <c r="E48" s="37" t="inlineStr">
        <is>
          <t>Complete the remaining check: close the gap between agreement and implementation</t>
        </is>
      </c>
      <c r="F48" s="37" t="inlineStr">
        <is>
          <t>The selected response identifies an incomplete element within an existing practice. Keep what works and target the unresolved part; the stronger elements do not cancel the gap.</t>
        </is>
      </c>
      <c r="G48" s="37" t="inlineStr">
        <is>
          <t>An agreed change can fail in practice if payroll, management and the employee hold different versions of it.</t>
        </is>
      </c>
      <c r="H48" s="37" t="inlineStr">
        <is>
          <t>Change control and pay accuracy</t>
        </is>
      </c>
      <c r="I48" s="48" t="n">
        <v>2</v>
      </c>
      <c r="J48" s="48" t="n">
        <v>2</v>
      </c>
      <c r="K48" s="48" t="n">
        <v>2</v>
      </c>
      <c r="L48" s="37" t="inlineStr">
        <is>
          <t>Medium provisional concern: a material practice needs improvement. An agreed change can fail in practice if payroll, management and the employee hold different versions of it.</t>
        </is>
      </c>
      <c r="M48" s="37" t="inlineStr">
        <is>
          <t>Focus on the unresolved arrangements or exceptions. Trace the most recent change from approval to employee communication, payroll and the employee file. Fix any break in the process.</t>
        </is>
      </c>
      <c r="N48" s="37" t="inlineStr">
        <is>
          <t>Confirm required agreement or consultation, approval authority and the effective date. Send the approved instruction to payroll and the record owner.</t>
        </is>
      </c>
      <c r="O48" s="37" t="inlineStr">
        <is>
          <t>Check the first affected roster or payment and confirm the final record reflects the change.</t>
        </is>
      </c>
      <c r="P48" s="37" t="inlineStr">
        <is>
          <t>Agree an owner and plan within 30 days, or before the next affected event if earlier.</t>
        </is>
      </c>
      <c r="Q48" s="37" t="inlineStr">
        <is>
          <t>A complete change record with approvals, required agreement or consultation and matching payroll instructions. Confirm that the change works in practice, not only that a document exists.</t>
        </is>
      </c>
      <c r="R48" s="37" t="inlineStr">
        <is>
          <t>A complete change record with approvals, required agreement or consultation and matching payroll instructions.</t>
        </is>
      </c>
      <c r="S48" s="37" t="inlineStr">
        <is>
          <t>Each material change to employment terms.</t>
        </is>
      </c>
      <c r="T48" s="37" t="inlineStr">
        <is>
          <t>Owner / HR lead</t>
        </is>
      </c>
      <c r="U48" s="37" t="inlineStr">
        <is>
          <t>Employment terms and engagement review, with legal referral for issues outside the agreed HR advisory scope.</t>
        </is>
      </c>
      <c r="V48" s="37" t="inlineStr">
        <is>
          <t>TERMS</t>
        </is>
      </c>
      <c r="W48" s="37" t="inlineStr">
        <is>
          <t>A_CON03</t>
        </is>
      </c>
      <c r="X48" s="37" t="inlineStr">
        <is>
          <t>S25;S14;DESIGN</t>
        </is>
      </c>
      <c r="Y48" s="37" t="inlineStr">
        <is>
          <t>https://www.fairwork.gov.au/tools-and-resources/best-practice-guides/consultation-and-cooperation-in-the-workplace
https://www.fairwork.gov.au/tools-and-resources/fact-sheets/rights-and-obligations/record-keeping-pay-slips</t>
        </is>
      </c>
      <c r="Z48" s="37" t="inlineStr">
        <is>
          <t>Assuming a variation letter proves that every required step occurred.</t>
        </is>
      </c>
    </row>
    <row r="49" ht="76" customHeight="1">
      <c r="A49" s="38" t="inlineStr">
        <is>
          <t>CON03_3</t>
        </is>
      </c>
      <c r="B49" s="38" t="inlineStr">
        <is>
          <t>CON03</t>
        </is>
      </c>
      <c r="C49" s="49" t="n">
        <v>3</v>
      </c>
      <c r="D49" s="38" t="inlineStr">
        <is>
          <t>We check the authority and required process, record relevant agreement and ensure payroll and employee records match the change.</t>
        </is>
      </c>
      <c r="E49" s="38" t="inlineStr">
        <is>
          <t>Maintain and test: close the gap between agreement and implementation</t>
        </is>
      </c>
      <c r="F49" s="38" t="inlineStr">
        <is>
          <t>The selected response reports an established and checked practice. The tool has not inspected the evidence and cannot certify the absence of risk.</t>
        </is>
      </c>
      <c r="G49" s="38" t="inlineStr">
        <is>
          <t>An agreed change can fail in practice if payroll, management and the employee hold different versions of it.</t>
        </is>
      </c>
      <c r="H49" s="38" t="inlineStr">
        <is>
          <t>Change control and pay accuracy</t>
        </is>
      </c>
      <c r="I49" s="49" t="n">
        <v>2</v>
      </c>
      <c r="J49" s="49" t="n">
        <v>1</v>
      </c>
      <c r="K49" s="49" t="n">
        <v>1</v>
      </c>
      <c r="L49" s="38" t="inlineStr">
        <is>
          <t>Lower reported concern, not a finding of no risk. The assumed controls are self-reported; a current incident, contrary evidence or failed control takes precedence.</t>
        </is>
      </c>
      <c r="M49" s="38" t="inlineStr">
        <is>
          <t>Maintain the practice described. At the next relevant review, check the first affected roster or payment and confirm the final record reflects the change.</t>
        </is>
      </c>
      <c r="N49" s="38" t="inlineStr">
        <is>
          <t>Check whether changes in work, people or applicable requirements have made the original process less reliable.</t>
        </is>
      </c>
      <c r="O49" s="38" t="inlineStr">
        <is>
          <t>Retain the review outcome and act on any new exception. An unresolved live issue overrides this maintenance pathway.</t>
        </is>
      </c>
      <c r="P49" s="38" t="inlineStr">
        <is>
          <t>Maintain at the stated trigger; for a new low-priority improvement, plan within 90 days.</t>
        </is>
      </c>
      <c r="Q49" s="38" t="inlineStr">
        <is>
          <t>A current example of the practice and a proportionate recheck record. A complete change record with approvals, required agreement or consultation and matching payroll instructions.</t>
        </is>
      </c>
      <c r="R49" s="38" t="inlineStr">
        <is>
          <t>A complete change record with approvals, required agreement or consultation and matching payroll instructions.</t>
        </is>
      </c>
      <c r="S49" s="38" t="inlineStr">
        <is>
          <t>Each material change to employment terms.</t>
        </is>
      </c>
      <c r="T49" s="38" t="inlineStr">
        <is>
          <t>Owner / HR lead</t>
        </is>
      </c>
      <c r="U49" s="38" t="inlineStr">
        <is>
          <t>No further purchase is implied by this result. Seek support only for a material change, unresolved exception or chosen improvement.</t>
        </is>
      </c>
      <c r="V49" s="38" t="inlineStr">
        <is>
          <t>TERMS</t>
        </is>
      </c>
      <c r="W49" s="38" t="inlineStr">
        <is>
          <t>A_CON03</t>
        </is>
      </c>
      <c r="X49" s="38" t="inlineStr">
        <is>
          <t>S25;S14;DESIGN</t>
        </is>
      </c>
      <c r="Y49" s="38" t="inlineStr">
        <is>
          <t>https://www.fairwork.gov.au/tools-and-resources/best-practice-guides/consultation-and-cooperation-in-the-workplace
https://www.fairwork.gov.au/tools-and-resources/fact-sheets/rights-and-obligations/record-keeping-pay-slips</t>
        </is>
      </c>
      <c r="Z49" s="38" t="inlineStr">
        <is>
          <t>Assuming a variation letter proves that every required step occurred.</t>
        </is>
      </c>
    </row>
    <row r="50" ht="76" customHeight="1">
      <c r="A50" s="37" t="inlineStr">
        <is>
          <t>CON03_DK</t>
        </is>
      </c>
      <c r="B50" s="37" t="inlineStr">
        <is>
          <t>CON03</t>
        </is>
      </c>
      <c r="C50" s="37" t="inlineStr">
        <is>
          <t>DK</t>
        </is>
      </c>
      <c r="D50" s="37" t="inlineStr">
        <is>
          <t>I need to confirm this.</t>
        </is>
      </c>
      <c r="E50" s="37" t="inlineStr">
        <is>
          <t>Verify: close the gap between agreement and implementation</t>
        </is>
      </c>
      <c r="F50" s="37" t="inlineStr">
        <is>
          <t>This answer identifies a knowledge gap. It does not establish that the practice is missing, that harm has occurred or that a legal duty has been breached.</t>
        </is>
      </c>
      <c r="G50" s="37" t="inlineStr">
        <is>
          <t>An agreed change can fail in practice if payroll, management and the employee hold different versions of it.</t>
        </is>
      </c>
      <c r="H50" s="37" t="inlineStr">
        <is>
          <t>Change control and pay accuracy</t>
        </is>
      </c>
      <c r="I50" s="48" t="n">
        <v>2</v>
      </c>
      <c r="J50" s="48" t="n">
        <v>0</v>
      </c>
      <c r="K50" s="48" t="n">
        <v>2</v>
      </c>
      <c r="L50" s="37" t="inlineStr">
        <is>
          <t>The risk is not rated from an unknown answer. Verification is Medium priority because: An agreed change can fail in practice if payroll, management and the employee hold different versions of it.</t>
        </is>
      </c>
      <c r="M50" s="37" t="inlineStr">
        <is>
          <t>Ask the owner / hr lead to show a current example of the process and the evidence listed below. Confirm the answer before deciding what must be repaired.</t>
        </is>
      </c>
      <c r="N50" s="37" t="inlineStr">
        <is>
          <t>Compare the example with the established-practice description: We check the authority and required process, record relevant agreement and ensure payroll and employee records match the change.</t>
        </is>
      </c>
      <c r="O50" s="37" t="inlineStr">
        <is>
          <t>Record what was checked, by whom and when. If it remains unclear, keep the verification task open and agree any proportionate interim safeguard.</t>
        </is>
      </c>
      <c r="P50" s="37" t="inlineStr">
        <is>
          <t>Agree an owner and plan within 30 days, or before the next affected event if earlier.</t>
        </is>
      </c>
      <c r="Q50" s="37" t="inlineStr">
        <is>
          <t>A dated verification record, the supporting example, an updated answer and any remaining action. No automatic compliance conclusion.</t>
        </is>
      </c>
      <c r="R50" s="37" t="inlineStr">
        <is>
          <t>A complete change record with approvals, required agreement or consultation and matching payroll instructions.</t>
        </is>
      </c>
      <c r="S50" s="37" t="inlineStr">
        <is>
          <t>Each material change to employment terms.</t>
        </is>
      </c>
      <c r="T50" s="37" t="inlineStr">
        <is>
          <t>Owner / HR lead</t>
        </is>
      </c>
      <c r="U50" s="37" t="inlineStr">
        <is>
          <t>Employment terms and engagement review, with legal referral for issues outside the agreed HR advisory scope.</t>
        </is>
      </c>
      <c r="V50" s="37" t="inlineStr">
        <is>
          <t>TERMS</t>
        </is>
      </c>
      <c r="W50" s="37" t="inlineStr">
        <is>
          <t>A_CON03</t>
        </is>
      </c>
      <c r="X50" s="37" t="inlineStr">
        <is>
          <t>S25;S14;DESIGN</t>
        </is>
      </c>
      <c r="Y50" s="37" t="inlineStr">
        <is>
          <t>https://www.fairwork.gov.au/tools-and-resources/best-practice-guides/consultation-and-cooperation-in-the-workplace
https://www.fairwork.gov.au/tools-and-resources/fact-sheets/rights-and-obligations/record-keeping-pay-slips</t>
        </is>
      </c>
      <c r="Z50" s="37" t="inlineStr">
        <is>
          <t>Assuming a variation letter proves that every required step occurred.</t>
        </is>
      </c>
    </row>
    <row r="51" ht="91" customHeight="1">
      <c r="A51" s="38" t="inlineStr">
        <is>
          <t>REC01_0</t>
        </is>
      </c>
      <c r="B51" s="38" t="inlineStr">
        <is>
          <t>REC01</t>
        </is>
      </c>
      <c r="C51" s="49" t="n">
        <v>0</v>
      </c>
      <c r="D51" s="38" t="inlineStr">
        <is>
          <t>We usually start recruiting without a clear role brief.</t>
        </is>
      </c>
      <c r="E51" s="38" t="inlineStr">
        <is>
          <t>Define the job before evaluating the person</t>
        </is>
      </c>
      <c r="F51" s="38" t="inlineStr">
        <is>
          <t>The selected response reports a missing or unestablished element. Confirm the affected arrangements before drawing a conclusion about any actual breach or harm.</t>
        </is>
      </c>
      <c r="G51" s="38" t="inlineStr">
        <is>
          <t>A vague role brief can produce a capable hire who is solving the wrong problem, with avoidable cost and early frustration.</t>
        </is>
      </c>
      <c r="H51" s="38" t="inlineStr">
        <is>
          <t>Hiring quality and role clarity</t>
        </is>
      </c>
      <c r="I51" s="49" t="n">
        <v>2</v>
      </c>
      <c r="J51" s="49" t="n">
        <v>2</v>
      </c>
      <c r="K51" s="49" t="n">
        <v>2</v>
      </c>
      <c r="L51" s="38" t="inlineStr">
        <is>
          <t>Medium provisional concern: a material practice needs improvement. A vague role brief can produce a capable hire who is solving the wrong problem, with avoidable cost and early frustration.</t>
        </is>
      </c>
      <c r="M51" s="38" t="inlineStr">
        <is>
          <t>For your next vacancy, write the key outcomes, essential skills and responsibilities before drafting the advert or interview questions.</t>
        </is>
      </c>
      <c r="N51" s="38" t="inlineStr">
        <is>
          <t>Agree the essential outcomes, requirements and boundaries with the person who will manage the role.</t>
        </is>
      </c>
      <c r="O51" s="38" t="inlineStr">
        <is>
          <t>Check that the advertisement, interview criteria and early performance expectations all use the same role brief.</t>
        </is>
      </c>
      <c r="P51" s="38" t="inlineStr">
        <is>
          <t>Agree an owner and plan within 30 days, or before the next affected event if earlier.</t>
        </is>
      </c>
      <c r="Q51" s="38" t="inlineStr">
        <is>
          <t>An agreed role brief that the advert, selection criteria and initial performance goals reflect. Confirm that the change works in practice, not only that a document exists.</t>
        </is>
      </c>
      <c r="R51" s="38" t="inlineStr">
        <is>
          <t>An agreed role brief that the advert, selection criteria and initial performance goals reflect.</t>
        </is>
      </c>
      <c r="S51" s="38" t="inlineStr">
        <is>
          <t>A new vacancy, changed service model or repeated early turnover.</t>
        </is>
      </c>
      <c r="T51" s="38" t="inlineStr">
        <is>
          <t>Hiring manager</t>
        </is>
      </c>
      <c r="U51" s="38" t="inlineStr">
        <is>
          <t>Role definition, selection guide and hiring-manager coaching.</t>
        </is>
      </c>
      <c r="V51" s="38" t="inlineStr">
        <is>
          <t>HIRING</t>
        </is>
      </c>
      <c r="W51" s="38" t="inlineStr">
        <is>
          <t>A_REC01</t>
        </is>
      </c>
      <c r="X51" s="38" t="inlineStr">
        <is>
          <t>S01;S27;DESIGN</t>
        </is>
      </c>
      <c r="Y51" s="38" t="inlineStr">
        <is>
          <t>https://www.abs.gov.au/statistics/standards/abs-forms-design-standards/2023/general-forms-design-principles-question-structure
https://www.fairwork.gov.au/sites/default/files/migration/711/managing-underperformance-best-practice-guide.pdf</t>
        </is>
      </c>
      <c r="Z51" s="38" t="inlineStr">
        <is>
          <t>Writing a description around the departing employee rather than the work now required.</t>
        </is>
      </c>
    </row>
    <row r="52" ht="91" customHeight="1">
      <c r="A52" s="37" t="inlineStr">
        <is>
          <t>REC01_1</t>
        </is>
      </c>
      <c r="B52" s="37" t="inlineStr">
        <is>
          <t>REC01</t>
        </is>
      </c>
      <c r="C52" s="48" t="n">
        <v>1</v>
      </c>
      <c r="D52" s="37" t="inlineStr">
        <is>
          <t>We reuse an old description or describe the previous employee's work.</t>
        </is>
      </c>
      <c r="E52" s="37" t="inlineStr">
        <is>
          <t>Define the job before evaluating the person</t>
        </is>
      </c>
      <c r="F52" s="37" t="inlineStr">
        <is>
          <t>The selected response relies on assumptions, informal decisions or an inconsistent process. The action is to make the relevant check reliable in routine work.</t>
        </is>
      </c>
      <c r="G52" s="37" t="inlineStr">
        <is>
          <t>A vague role brief can produce a capable hire who is solving the wrong problem, with avoidable cost and early frustration.</t>
        </is>
      </c>
      <c r="H52" s="37" t="inlineStr">
        <is>
          <t>Hiring quality and role clarity</t>
        </is>
      </c>
      <c r="I52" s="48" t="n">
        <v>2</v>
      </c>
      <c r="J52" s="48" t="n">
        <v>2</v>
      </c>
      <c r="K52" s="48" t="n">
        <v>2</v>
      </c>
      <c r="L52" s="37" t="inlineStr">
        <is>
          <t>Medium provisional concern: a material practice needs improvement. A vague role brief can produce a capable hire who is solving the wrong problem, with avoidable cost and early frustration.</t>
        </is>
      </c>
      <c r="M52" s="37" t="inlineStr">
        <is>
          <t>Replace the assumption with a current check. For your next vacancy, write the key outcomes, essential skills and responsibilities before drafting the advert or interview questions.</t>
        </is>
      </c>
      <c r="N52" s="37" t="inlineStr">
        <is>
          <t>Agree the essential outcomes, requirements and boundaries with the person who will manage the role.</t>
        </is>
      </c>
      <c r="O52" s="37" t="inlineStr">
        <is>
          <t>Check that the advertisement, interview criteria and early performance expectations all use the same role brief.</t>
        </is>
      </c>
      <c r="P52" s="37" t="inlineStr">
        <is>
          <t>Agree an owner and plan within 30 days, or before the next affected event if earlier.</t>
        </is>
      </c>
      <c r="Q52" s="37" t="inlineStr">
        <is>
          <t>An agreed role brief that the advert, selection criteria and initial performance goals reflect. Confirm that the change works in practice, not only that a document exists.</t>
        </is>
      </c>
      <c r="R52" s="37" t="inlineStr">
        <is>
          <t>An agreed role brief that the advert, selection criteria and initial performance goals reflect.</t>
        </is>
      </c>
      <c r="S52" s="37" t="inlineStr">
        <is>
          <t>A new vacancy, changed service model or repeated early turnover.</t>
        </is>
      </c>
      <c r="T52" s="37" t="inlineStr">
        <is>
          <t>Hiring manager</t>
        </is>
      </c>
      <c r="U52" s="37" t="inlineStr">
        <is>
          <t>Role definition, selection guide and hiring-manager coaching.</t>
        </is>
      </c>
      <c r="V52" s="37" t="inlineStr">
        <is>
          <t>HIRING</t>
        </is>
      </c>
      <c r="W52" s="37" t="inlineStr">
        <is>
          <t>A_REC01</t>
        </is>
      </c>
      <c r="X52" s="37" t="inlineStr">
        <is>
          <t>S01;S27;DESIGN</t>
        </is>
      </c>
      <c r="Y52" s="37" t="inlineStr">
        <is>
          <t>https://www.abs.gov.au/statistics/standards/abs-forms-design-standards/2023/general-forms-design-principles-question-structure
https://www.fairwork.gov.au/sites/default/files/migration/711/managing-underperformance-best-practice-guide.pdf</t>
        </is>
      </c>
      <c r="Z52" s="37" t="inlineStr">
        <is>
          <t>Writing a description around the departing employee rather than the work now required.</t>
        </is>
      </c>
    </row>
    <row r="53" ht="91" customHeight="1">
      <c r="A53" s="38" t="inlineStr">
        <is>
          <t>REC01_2</t>
        </is>
      </c>
      <c r="B53" s="38" t="inlineStr">
        <is>
          <t>REC01</t>
        </is>
      </c>
      <c r="C53" s="49" t="n">
        <v>2</v>
      </c>
      <c r="D53" s="38" t="inlineStr">
        <is>
          <t>We set out key duties, but outcomes, essential requirements or role boundaries are unclear.</t>
        </is>
      </c>
      <c r="E53" s="38" t="inlineStr">
        <is>
          <t>Complete the remaining check: define the job before evaluating the person</t>
        </is>
      </c>
      <c r="F53" s="38" t="inlineStr">
        <is>
          <t>The selected response identifies an incomplete element within an existing practice. Keep what works and target the unresolved part; the stronger elements do not cancel the gap.</t>
        </is>
      </c>
      <c r="G53" s="38" t="inlineStr">
        <is>
          <t>A vague role brief can produce a capable hire who is solving the wrong problem, with avoidable cost and early frustration.</t>
        </is>
      </c>
      <c r="H53" s="38" t="inlineStr">
        <is>
          <t>Hiring quality and role clarity</t>
        </is>
      </c>
      <c r="I53" s="49" t="n">
        <v>2</v>
      </c>
      <c r="J53" s="49" t="n">
        <v>2</v>
      </c>
      <c r="K53" s="49" t="n">
        <v>2</v>
      </c>
      <c r="L53" s="38" t="inlineStr">
        <is>
          <t>Medium provisional concern: a material practice needs improvement. A vague role brief can produce a capable hire who is solving the wrong problem, with avoidable cost and early frustration.</t>
        </is>
      </c>
      <c r="M53" s="38" t="inlineStr">
        <is>
          <t>Focus on the unresolved arrangements or exceptions. For your next vacancy, write the key outcomes, essential skills and responsibilities before drafting the advert or interview questions.</t>
        </is>
      </c>
      <c r="N53" s="38" t="inlineStr">
        <is>
          <t>Agree the essential outcomes, requirements and boundaries with the person who will manage the role.</t>
        </is>
      </c>
      <c r="O53" s="38" t="inlineStr">
        <is>
          <t>Check that the advertisement, interview criteria and early performance expectations all use the same role brief.</t>
        </is>
      </c>
      <c r="P53" s="38" t="inlineStr">
        <is>
          <t>Agree an owner and plan within 30 days, or before the next affected event if earlier.</t>
        </is>
      </c>
      <c r="Q53" s="38" t="inlineStr">
        <is>
          <t>An agreed role brief that the advert, selection criteria and initial performance goals reflect. Confirm that the change works in practice, not only that a document exists.</t>
        </is>
      </c>
      <c r="R53" s="38" t="inlineStr">
        <is>
          <t>An agreed role brief that the advert, selection criteria and initial performance goals reflect.</t>
        </is>
      </c>
      <c r="S53" s="38" t="inlineStr">
        <is>
          <t>A new vacancy, changed service model or repeated early turnover.</t>
        </is>
      </c>
      <c r="T53" s="38" t="inlineStr">
        <is>
          <t>Hiring manager</t>
        </is>
      </c>
      <c r="U53" s="38" t="inlineStr">
        <is>
          <t>Role definition, selection guide and hiring-manager coaching.</t>
        </is>
      </c>
      <c r="V53" s="38" t="inlineStr">
        <is>
          <t>HIRING</t>
        </is>
      </c>
      <c r="W53" s="38" t="inlineStr">
        <is>
          <t>A_REC01</t>
        </is>
      </c>
      <c r="X53" s="38" t="inlineStr">
        <is>
          <t>S01;S27;DESIGN</t>
        </is>
      </c>
      <c r="Y53" s="38" t="inlineStr">
        <is>
          <t>https://www.abs.gov.au/statistics/standards/abs-forms-design-standards/2023/general-forms-design-principles-question-structure
https://www.fairwork.gov.au/sites/default/files/migration/711/managing-underperformance-best-practice-guide.pdf</t>
        </is>
      </c>
      <c r="Z53" s="38" t="inlineStr">
        <is>
          <t>Writing a description around the departing employee rather than the work now required.</t>
        </is>
      </c>
    </row>
    <row r="54" ht="91" customHeight="1">
      <c r="A54" s="37" t="inlineStr">
        <is>
          <t>REC01_3</t>
        </is>
      </c>
      <c r="B54" s="37" t="inlineStr">
        <is>
          <t>REC01</t>
        </is>
      </c>
      <c r="C54" s="48" t="n">
        <v>3</v>
      </c>
      <c r="D54" s="37" t="inlineStr">
        <is>
          <t>We confirm the business need, expected outcomes and genuine role requirements, and use that brief consistently in recruitment.</t>
        </is>
      </c>
      <c r="E54" s="37" t="inlineStr">
        <is>
          <t>Maintain and test: define the job before evaluating the person</t>
        </is>
      </c>
      <c r="F54" s="37" t="inlineStr">
        <is>
          <t>The selected response reports an established and checked practice. The tool has not inspected the evidence and cannot certify the absence of risk.</t>
        </is>
      </c>
      <c r="G54" s="37" t="inlineStr">
        <is>
          <t>A vague role brief can produce a capable hire who is solving the wrong problem, with avoidable cost and early frustration.</t>
        </is>
      </c>
      <c r="H54" s="37" t="inlineStr">
        <is>
          <t>Hiring quality and role clarity</t>
        </is>
      </c>
      <c r="I54" s="48" t="n">
        <v>2</v>
      </c>
      <c r="J54" s="48" t="n">
        <v>1</v>
      </c>
      <c r="K54" s="48" t="n">
        <v>1</v>
      </c>
      <c r="L54" s="37" t="inlineStr">
        <is>
          <t>Lower reported concern, not a finding of no risk. The assumed controls are self-reported; a current incident, contrary evidence or failed control takes precedence.</t>
        </is>
      </c>
      <c r="M54" s="37" t="inlineStr">
        <is>
          <t>Maintain the practice described. At the next relevant review, check that the advertisement, interview criteria and early performance expectations all use the same role brief.</t>
        </is>
      </c>
      <c r="N54" s="37" t="inlineStr">
        <is>
          <t>Check whether changes in work, people or applicable requirements have made the original process less reliable.</t>
        </is>
      </c>
      <c r="O54" s="37" t="inlineStr">
        <is>
          <t>Retain the review outcome and act on any new exception. An unresolved live issue overrides this maintenance pathway.</t>
        </is>
      </c>
      <c r="P54" s="37" t="inlineStr">
        <is>
          <t>Maintain at the stated trigger; for a new low-priority improvement, plan within 90 days.</t>
        </is>
      </c>
      <c r="Q54" s="37" t="inlineStr">
        <is>
          <t>A current example of the practice and a proportionate recheck record. An agreed role brief that the advert, selection criteria and initial performance goals reflect.</t>
        </is>
      </c>
      <c r="R54" s="37" t="inlineStr">
        <is>
          <t>An agreed role brief that the advert, selection criteria and initial performance goals reflect.</t>
        </is>
      </c>
      <c r="S54" s="37" t="inlineStr">
        <is>
          <t>A new vacancy, changed service model or repeated early turnover.</t>
        </is>
      </c>
      <c r="T54" s="37" t="inlineStr">
        <is>
          <t>Hiring manager</t>
        </is>
      </c>
      <c r="U54" s="37" t="inlineStr">
        <is>
          <t>No further purchase is implied by this result. Seek support only for a material change, unresolved exception or chosen improvement.</t>
        </is>
      </c>
      <c r="V54" s="37" t="inlineStr">
        <is>
          <t>HIRING</t>
        </is>
      </c>
      <c r="W54" s="37" t="inlineStr">
        <is>
          <t>A_REC01</t>
        </is>
      </c>
      <c r="X54" s="37" t="inlineStr">
        <is>
          <t>S01;S27;DESIGN</t>
        </is>
      </c>
      <c r="Y54" s="37" t="inlineStr">
        <is>
          <t>https://www.abs.gov.au/statistics/standards/abs-forms-design-standards/2023/general-forms-design-principles-question-structure
https://www.fairwork.gov.au/sites/default/files/migration/711/managing-underperformance-best-practice-guide.pdf</t>
        </is>
      </c>
      <c r="Z54" s="37" t="inlineStr">
        <is>
          <t>Writing a description around the departing employee rather than the work now required.</t>
        </is>
      </c>
    </row>
    <row r="55" ht="91" customHeight="1">
      <c r="A55" s="38" t="inlineStr">
        <is>
          <t>REC01_DK</t>
        </is>
      </c>
      <c r="B55" s="38" t="inlineStr">
        <is>
          <t>REC01</t>
        </is>
      </c>
      <c r="C55" s="38" t="inlineStr">
        <is>
          <t>DK</t>
        </is>
      </c>
      <c r="D55" s="38" t="inlineStr">
        <is>
          <t>I need to confirm this.</t>
        </is>
      </c>
      <c r="E55" s="38" t="inlineStr">
        <is>
          <t>Verify: define the job before evaluating the person</t>
        </is>
      </c>
      <c r="F55" s="38" t="inlineStr">
        <is>
          <t>This answer identifies a knowledge gap. It does not establish that the practice is missing, that harm has occurred or that a legal duty has been breached.</t>
        </is>
      </c>
      <c r="G55" s="38" t="inlineStr">
        <is>
          <t>A vague role brief can produce a capable hire who is solving the wrong problem, with avoidable cost and early frustration.</t>
        </is>
      </c>
      <c r="H55" s="38" t="inlineStr">
        <is>
          <t>Hiring quality and role clarity</t>
        </is>
      </c>
      <c r="I55" s="49" t="n">
        <v>2</v>
      </c>
      <c r="J55" s="49" t="n">
        <v>0</v>
      </c>
      <c r="K55" s="49" t="n">
        <v>2</v>
      </c>
      <c r="L55" s="38" t="inlineStr">
        <is>
          <t>The risk is not rated from an unknown answer. Verification is Medium priority because: A vague role brief can produce a capable hire who is solving the wrong problem, with avoidable cost and early frustration.</t>
        </is>
      </c>
      <c r="M55" s="38" t="inlineStr">
        <is>
          <t>Ask the hiring manager to show a current example of the process and the evidence listed below. Confirm the answer before deciding what must be repaired.</t>
        </is>
      </c>
      <c r="N55" s="38" t="inlineStr">
        <is>
          <t>Compare the example with the established-practice description: We confirm the business need, expected outcomes and genuine role requirements, and use that brief consistently in recruitment.</t>
        </is>
      </c>
      <c r="O55" s="38" t="inlineStr">
        <is>
          <t>Record what was checked, by whom and when. If it remains unclear, keep the verification task open and agree any proportionate interim safeguard.</t>
        </is>
      </c>
      <c r="P55" s="38" t="inlineStr">
        <is>
          <t>Agree an owner and plan within 30 days, or before the next affected event if earlier.</t>
        </is>
      </c>
      <c r="Q55" s="38" t="inlineStr">
        <is>
          <t>A dated verification record, the supporting example, an updated answer and any remaining action. No automatic compliance conclusion.</t>
        </is>
      </c>
      <c r="R55" s="38" t="inlineStr">
        <is>
          <t>An agreed role brief that the advert, selection criteria and initial performance goals reflect.</t>
        </is>
      </c>
      <c r="S55" s="38" t="inlineStr">
        <is>
          <t>A new vacancy, changed service model or repeated early turnover.</t>
        </is>
      </c>
      <c r="T55" s="38" t="inlineStr">
        <is>
          <t>Hiring manager</t>
        </is>
      </c>
      <c r="U55" s="38" t="inlineStr">
        <is>
          <t>Role definition, selection guide and hiring-manager coaching.</t>
        </is>
      </c>
      <c r="V55" s="38" t="inlineStr">
        <is>
          <t>HIRING</t>
        </is>
      </c>
      <c r="W55" s="38" t="inlineStr">
        <is>
          <t>A_REC01</t>
        </is>
      </c>
      <c r="X55" s="38" t="inlineStr">
        <is>
          <t>S01;S27;DESIGN</t>
        </is>
      </c>
      <c r="Y55" s="38" t="inlineStr">
        <is>
          <t>https://www.abs.gov.au/statistics/standards/abs-forms-design-standards/2023/general-forms-design-principles-question-structure
https://www.fairwork.gov.au/sites/default/files/migration/711/managing-underperformance-best-practice-guide.pdf</t>
        </is>
      </c>
      <c r="Z55" s="38" t="inlineStr">
        <is>
          <t>Writing a description around the departing employee rather than the work now required.</t>
        </is>
      </c>
    </row>
    <row r="56" ht="106" customHeight="1">
      <c r="A56" s="37" t="inlineStr">
        <is>
          <t>REC02_0</t>
        </is>
      </c>
      <c r="B56" s="37" t="inlineStr">
        <is>
          <t>REC02</t>
        </is>
      </c>
      <c r="C56" s="48" t="n">
        <v>0</v>
      </c>
      <c r="D56" s="37" t="inlineStr">
        <is>
          <t>Hiring decisions mainly rely on personal impressions.</t>
        </is>
      </c>
      <c r="E56" s="37" t="inlineStr">
        <is>
          <t>Make the selection decision explainable</t>
        </is>
      </c>
      <c r="F56" s="37" t="inlineStr">
        <is>
          <t>The selected response reports a missing or unestablished element. Confirm the affected arrangements before drawing a conclusion about any actual breach or harm.</t>
        </is>
      </c>
      <c r="G56" s="37" t="inlineStr">
        <is>
          <t>Inconsistent criteria or unsupported judgements can exclude suitable candidates and make a hiring decision difficult to explain.</t>
        </is>
      </c>
      <c r="H56" s="37" t="inlineStr">
        <is>
          <t>Fair selection and explainable decisions</t>
        </is>
      </c>
      <c r="I56" s="48" t="n">
        <v>3</v>
      </c>
      <c r="J56" s="48" t="n">
        <v>3</v>
      </c>
      <c r="K56" s="48" t="n">
        <v>3</v>
      </c>
      <c r="L56" s="37" t="inlineStr">
        <is>
          <t>High provisional concern: an essential element remains unresolved. Inconsistent criteria or unsupported judgements can exclude suitable candidates and make a hiring decision difficult to explain.</t>
        </is>
      </c>
      <c r="M56" s="37" t="inlineStr">
        <is>
          <t>Use a short assessment guide for the next recruitment process. Agree the criteria before interviews and record the evidence behind the recommendation.</t>
        </is>
      </c>
      <c r="N56" s="37" t="inlineStr">
        <is>
          <t>Agree role-related criteria, appropriate adjustments and the evidence interviewers will record. Identify conflicts of interest.</t>
        </is>
      </c>
      <c r="O56" s="37" t="inlineStr">
        <is>
          <t>Compare the decision record with the evidence for the preferred candidate and review unexplained differences between interviewers.</t>
        </is>
      </c>
      <c r="P56" s="37" t="inlineStr">
        <is>
          <t>Review or verify within two business days and before the next affected event if earlier. Do not wait where a duty or current harm requires earlier action.</t>
        </is>
      </c>
      <c r="Q56" s="37" t="inlineStr">
        <is>
          <t>A completed selection record and an appropriate applicant-information handling process. Confirm that the change works in practice, not only that a document exists.</t>
        </is>
      </c>
      <c r="R56" s="37" t="inlineStr">
        <is>
          <t>A completed selection record and an appropriate applicant-information handling process.</t>
        </is>
      </c>
      <c r="S56" s="37" t="inlineStr">
        <is>
          <t>A new hiring manager, selection tool or concern about a decision.</t>
        </is>
      </c>
      <c r="T56" s="37" t="inlineStr">
        <is>
          <t>Hiring manager</t>
        </is>
      </c>
      <c r="U56" s="37" t="inlineStr">
        <is>
          <t>Role definition, selection guide and hiring-manager coaching.</t>
        </is>
      </c>
      <c r="V56" s="37" t="inlineStr">
        <is>
          <t>HIRING</t>
        </is>
      </c>
      <c r="W56" s="37" t="inlineStr">
        <is>
          <t>A_REC02</t>
        </is>
      </c>
      <c r="X56" s="37" t="inlineStr">
        <is>
          <t>S01;S15;DESIGN</t>
        </is>
      </c>
      <c r="Y56" s="37" t="inlineStr">
        <is>
          <t>https://www.abs.gov.au/statistics/standards/abs-forms-design-standards/2023/general-forms-design-principles-question-structure
https://www.oaic.gov.au/privacy/privacy-guidance-for-organisations-and-government-agencies/organisations/employee-records-exemption</t>
        </is>
      </c>
      <c r="Z56" s="37" t="inlineStr">
        <is>
          <t>Equating consistency with identical questions when a candidate needs an appropriate adjustment.</t>
        </is>
      </c>
    </row>
    <row r="57" ht="106" customHeight="1">
      <c r="A57" s="38" t="inlineStr">
        <is>
          <t>REC02_1</t>
        </is>
      </c>
      <c r="B57" s="38" t="inlineStr">
        <is>
          <t>REC02</t>
        </is>
      </c>
      <c r="C57" s="49" t="n">
        <v>1</v>
      </c>
      <c r="D57" s="38" t="inlineStr">
        <is>
          <t>We use some common questions, but do not consistently record the basis for decisions.</t>
        </is>
      </c>
      <c r="E57" s="38" t="inlineStr">
        <is>
          <t>Make the selection decision explainable</t>
        </is>
      </c>
      <c r="F57" s="38" t="inlineStr">
        <is>
          <t>The selected response relies on assumptions, informal decisions or an inconsistent process. The action is to make the relevant check reliable in routine work.</t>
        </is>
      </c>
      <c r="G57" s="38" t="inlineStr">
        <is>
          <t>Inconsistent criteria or unsupported judgements can exclude suitable candidates and make a hiring decision difficult to explain.</t>
        </is>
      </c>
      <c r="H57" s="38" t="inlineStr">
        <is>
          <t>Fair selection and explainable decisions</t>
        </is>
      </c>
      <c r="I57" s="49" t="n">
        <v>3</v>
      </c>
      <c r="J57" s="49" t="n">
        <v>3</v>
      </c>
      <c r="K57" s="49" t="n">
        <v>3</v>
      </c>
      <c r="L57" s="38" t="inlineStr">
        <is>
          <t>High provisional concern: an essential element remains unresolved. Inconsistent criteria or unsupported judgements can exclude suitable candidates and make a hiring decision difficult to explain.</t>
        </is>
      </c>
      <c r="M57" s="38" t="inlineStr">
        <is>
          <t>Replace the assumption with a current check. Use a short assessment guide for the next recruitment process. Agree the criteria before interviews and record the evidence behind the recommendation.</t>
        </is>
      </c>
      <c r="N57" s="38" t="inlineStr">
        <is>
          <t>Agree role-related criteria, appropriate adjustments and the evidence interviewers will record. Identify conflicts of interest.</t>
        </is>
      </c>
      <c r="O57" s="38" t="inlineStr">
        <is>
          <t>Compare the decision record with the evidence for the preferred candidate and review unexplained differences between interviewers.</t>
        </is>
      </c>
      <c r="P57" s="38" t="inlineStr">
        <is>
          <t>Review or verify within two business days and before the next affected event if earlier. Do not wait where a duty or current harm requires earlier action.</t>
        </is>
      </c>
      <c r="Q57" s="38" t="inlineStr">
        <is>
          <t>A completed selection record and an appropriate applicant-information handling process. Confirm that the change works in practice, not only that a document exists.</t>
        </is>
      </c>
      <c r="R57" s="38" t="inlineStr">
        <is>
          <t>A completed selection record and an appropriate applicant-information handling process.</t>
        </is>
      </c>
      <c r="S57" s="38" t="inlineStr">
        <is>
          <t>A new hiring manager, selection tool or concern about a decision.</t>
        </is>
      </c>
      <c r="T57" s="38" t="inlineStr">
        <is>
          <t>Hiring manager</t>
        </is>
      </c>
      <c r="U57" s="38" t="inlineStr">
        <is>
          <t>Role definition, selection guide and hiring-manager coaching.</t>
        </is>
      </c>
      <c r="V57" s="38" t="inlineStr">
        <is>
          <t>HIRING</t>
        </is>
      </c>
      <c r="W57" s="38" t="inlineStr">
        <is>
          <t>A_REC02</t>
        </is>
      </c>
      <c r="X57" s="38" t="inlineStr">
        <is>
          <t>S01;S15;DESIGN</t>
        </is>
      </c>
      <c r="Y57" s="38" t="inlineStr">
        <is>
          <t>https://www.abs.gov.au/statistics/standards/abs-forms-design-standards/2023/general-forms-design-principles-question-structure
https://www.oaic.gov.au/privacy/privacy-guidance-for-organisations-and-government-agencies/organisations/employee-records-exemption</t>
        </is>
      </c>
      <c r="Z57" s="38" t="inlineStr">
        <is>
          <t>Equating consistency with identical questions when a candidate needs an appropriate adjustment.</t>
        </is>
      </c>
    </row>
    <row r="58" ht="106" customHeight="1">
      <c r="A58" s="37" t="inlineStr">
        <is>
          <t>REC02_2</t>
        </is>
      </c>
      <c r="B58" s="37" t="inlineStr">
        <is>
          <t>REC02</t>
        </is>
      </c>
      <c r="C58" s="48" t="n">
        <v>2</v>
      </c>
      <c r="D58" s="37" t="inlineStr">
        <is>
          <t>We assess role-related criteria, but scoring, adjustments or records vary between interviewers.</t>
        </is>
      </c>
      <c r="E58" s="37" t="inlineStr">
        <is>
          <t>Complete the remaining check: make the selection decision explainable</t>
        </is>
      </c>
      <c r="F58" s="37" t="inlineStr">
        <is>
          <t>The selected response identifies an incomplete element within an existing practice. Keep what works and target the unresolved part; the stronger elements do not cancel the gap.</t>
        </is>
      </c>
      <c r="G58" s="37" t="inlineStr">
        <is>
          <t>Inconsistent criteria or unsupported judgements can exclude suitable candidates and make a hiring decision difficult to explain.</t>
        </is>
      </c>
      <c r="H58" s="37" t="inlineStr">
        <is>
          <t>Fair selection and explainable decisions</t>
        </is>
      </c>
      <c r="I58" s="48" t="n">
        <v>3</v>
      </c>
      <c r="J58" s="48" t="n">
        <v>2</v>
      </c>
      <c r="K58" s="48" t="n">
        <v>2</v>
      </c>
      <c r="L58" s="37" t="inlineStr">
        <is>
          <t>Medium provisional concern: a material practice needs improvement. Inconsistent criteria or unsupported judgements can exclude suitable candidates and make a hiring decision difficult to explain.</t>
        </is>
      </c>
      <c r="M58" s="37" t="inlineStr">
        <is>
          <t>Focus on the unresolved arrangements or exceptions. Use a short assessment guide for the next recruitment process. Agree the criteria before interviews and record the evidence behind the recommendation.</t>
        </is>
      </c>
      <c r="N58" s="37" t="inlineStr">
        <is>
          <t>Agree role-related criteria, appropriate adjustments and the evidence interviewers will record. Identify conflicts of interest.</t>
        </is>
      </c>
      <c r="O58" s="37" t="inlineStr">
        <is>
          <t>Compare the decision record with the evidence for the preferred candidate and review unexplained differences between interviewers.</t>
        </is>
      </c>
      <c r="P58" s="37" t="inlineStr">
        <is>
          <t>Agree an owner and plan within 30 days, or before the next affected event if earlier.</t>
        </is>
      </c>
      <c r="Q58" s="37" t="inlineStr">
        <is>
          <t>A completed selection record and an appropriate applicant-information handling process. Confirm that the change works in practice, not only that a document exists.</t>
        </is>
      </c>
      <c r="R58" s="37" t="inlineStr">
        <is>
          <t>A completed selection record and an appropriate applicant-information handling process.</t>
        </is>
      </c>
      <c r="S58" s="37" t="inlineStr">
        <is>
          <t>A new hiring manager, selection tool or concern about a decision.</t>
        </is>
      </c>
      <c r="T58" s="37" t="inlineStr">
        <is>
          <t>Hiring manager</t>
        </is>
      </c>
      <c r="U58" s="37" t="inlineStr">
        <is>
          <t>Role definition, selection guide and hiring-manager coaching.</t>
        </is>
      </c>
      <c r="V58" s="37" t="inlineStr">
        <is>
          <t>HIRING</t>
        </is>
      </c>
      <c r="W58" s="37" t="inlineStr">
        <is>
          <t>A_REC02</t>
        </is>
      </c>
      <c r="X58" s="37" t="inlineStr">
        <is>
          <t>S01;S15;DESIGN</t>
        </is>
      </c>
      <c r="Y58" s="37" t="inlineStr">
        <is>
          <t>https://www.abs.gov.au/statistics/standards/abs-forms-design-standards/2023/general-forms-design-principles-question-structure
https://www.oaic.gov.au/privacy/privacy-guidance-for-organisations-and-government-agencies/organisations/employee-records-exemption</t>
        </is>
      </c>
      <c r="Z58" s="37" t="inlineStr">
        <is>
          <t>Equating consistency with identical questions when a candidate needs an appropriate adjustment.</t>
        </is>
      </c>
    </row>
    <row r="59" ht="106" customHeight="1">
      <c r="A59" s="38" t="inlineStr">
        <is>
          <t>REC02_3</t>
        </is>
      </c>
      <c r="B59" s="38" t="inlineStr">
        <is>
          <t>REC02</t>
        </is>
      </c>
      <c r="C59" s="49" t="n">
        <v>3</v>
      </c>
      <c r="D59" s="38" t="inlineStr">
        <is>
          <t>We use role-related criteria, consider appropriate adjustments and record evidence supporting the decision, while protecting applicant information.</t>
        </is>
      </c>
      <c r="E59" s="38" t="inlineStr">
        <is>
          <t>Maintain and test: make the selection decision explainable</t>
        </is>
      </c>
      <c r="F59" s="38" t="inlineStr">
        <is>
          <t>The selected response reports an established and checked practice. The tool has not inspected the evidence and cannot certify the absence of risk.</t>
        </is>
      </c>
      <c r="G59" s="38" t="inlineStr">
        <is>
          <t>Inconsistent criteria or unsupported judgements can exclude suitable candidates and make a hiring decision difficult to explain.</t>
        </is>
      </c>
      <c r="H59" s="38" t="inlineStr">
        <is>
          <t>Fair selection and explainable decisions</t>
        </is>
      </c>
      <c r="I59" s="49" t="n">
        <v>3</v>
      </c>
      <c r="J59" s="49" t="n">
        <v>1</v>
      </c>
      <c r="K59" s="49" t="n">
        <v>1</v>
      </c>
      <c r="L59" s="38" t="inlineStr">
        <is>
          <t>Lower reported concern, not a finding of no risk. The assumed controls are self-reported; a current incident, contrary evidence or failed control takes precedence.</t>
        </is>
      </c>
      <c r="M59" s="38" t="inlineStr">
        <is>
          <t>Maintain the practice described. At the next relevant review, compare the decision record with the evidence for the preferred candidate and review unexplained differences between interviewers.</t>
        </is>
      </c>
      <c r="N59" s="38" t="inlineStr">
        <is>
          <t>Check whether changes in work, people or applicable requirements have made the original process less reliable.</t>
        </is>
      </c>
      <c r="O59" s="38" t="inlineStr">
        <is>
          <t>Retain the review outcome and act on any new exception. An unresolved live issue overrides this maintenance pathway.</t>
        </is>
      </c>
      <c r="P59" s="38" t="inlineStr">
        <is>
          <t>Maintain at the stated trigger; for a new low-priority improvement, plan within 90 days.</t>
        </is>
      </c>
      <c r="Q59" s="38" t="inlineStr">
        <is>
          <t>A current example of the practice and a proportionate recheck record. A completed selection record and an appropriate applicant-information handling process.</t>
        </is>
      </c>
      <c r="R59" s="38" t="inlineStr">
        <is>
          <t>A completed selection record and an appropriate applicant-information handling process.</t>
        </is>
      </c>
      <c r="S59" s="38" t="inlineStr">
        <is>
          <t>A new hiring manager, selection tool or concern about a decision.</t>
        </is>
      </c>
      <c r="T59" s="38" t="inlineStr">
        <is>
          <t>Hiring manager</t>
        </is>
      </c>
      <c r="U59" s="38" t="inlineStr">
        <is>
          <t>No further purchase is implied by this result. Seek support only for a material change, unresolved exception or chosen improvement.</t>
        </is>
      </c>
      <c r="V59" s="38" t="inlineStr">
        <is>
          <t>HIRING</t>
        </is>
      </c>
      <c r="W59" s="38" t="inlineStr">
        <is>
          <t>A_REC02</t>
        </is>
      </c>
      <c r="X59" s="38" t="inlineStr">
        <is>
          <t>S01;S15;DESIGN</t>
        </is>
      </c>
      <c r="Y59" s="38" t="inlineStr">
        <is>
          <t>https://www.abs.gov.au/statistics/standards/abs-forms-design-standards/2023/general-forms-design-principles-question-structure
https://www.oaic.gov.au/privacy/privacy-guidance-for-organisations-and-government-agencies/organisations/employee-records-exemption</t>
        </is>
      </c>
      <c r="Z59" s="38" t="inlineStr">
        <is>
          <t>Equating consistency with identical questions when a candidate needs an appropriate adjustment.</t>
        </is>
      </c>
    </row>
    <row r="60" ht="106" customHeight="1">
      <c r="A60" s="37" t="inlineStr">
        <is>
          <t>REC02_DK</t>
        </is>
      </c>
      <c r="B60" s="37" t="inlineStr">
        <is>
          <t>REC02</t>
        </is>
      </c>
      <c r="C60" s="37" t="inlineStr">
        <is>
          <t>DK</t>
        </is>
      </c>
      <c r="D60" s="37" t="inlineStr">
        <is>
          <t>I need to confirm this.</t>
        </is>
      </c>
      <c r="E60" s="37" t="inlineStr">
        <is>
          <t>Verify: make the selection decision explainable</t>
        </is>
      </c>
      <c r="F60" s="37" t="inlineStr">
        <is>
          <t>This answer identifies a knowledge gap. It does not establish that the practice is missing, that harm has occurred or that a legal duty has been breached.</t>
        </is>
      </c>
      <c r="G60" s="37" t="inlineStr">
        <is>
          <t>Inconsistent criteria or unsupported judgements can exclude suitable candidates and make a hiring decision difficult to explain.</t>
        </is>
      </c>
      <c r="H60" s="37" t="inlineStr">
        <is>
          <t>Fair selection and explainable decisions</t>
        </is>
      </c>
      <c r="I60" s="48" t="n">
        <v>3</v>
      </c>
      <c r="J60" s="48" t="n">
        <v>0</v>
      </c>
      <c r="K60" s="48" t="n">
        <v>3</v>
      </c>
      <c r="L60" s="37" t="inlineStr">
        <is>
          <t>The risk is not rated from an unknown answer. Verification is High priority because: Inconsistent criteria or unsupported judgements can exclude suitable candidates and make a hiring decision difficult to explain.</t>
        </is>
      </c>
      <c r="M60" s="37" t="inlineStr">
        <is>
          <t>Ask the hiring manager to show a current example of the process and the evidence listed below. Confirm the answer before deciding what must be repaired.</t>
        </is>
      </c>
      <c r="N60" s="37" t="inlineStr">
        <is>
          <t>Compare the example with the established-practice description: We use role-related criteria, consider appropriate adjustments and record evidence supporting the decision, while protecting applicant information.</t>
        </is>
      </c>
      <c r="O60" s="37" t="inlineStr">
        <is>
          <t>Record what was checked, by whom and when. If it remains unclear, keep the verification task open and agree any proportionate interim safeguard.</t>
        </is>
      </c>
      <c r="P60" s="37" t="inlineStr">
        <is>
          <t>Review or verify within two business days and before the next affected event if earlier. Do not wait where a duty or current harm requires earlier action.</t>
        </is>
      </c>
      <c r="Q60" s="37" t="inlineStr">
        <is>
          <t>A dated verification record, the supporting example, an updated answer and any remaining action. No automatic compliance conclusion.</t>
        </is>
      </c>
      <c r="R60" s="37" t="inlineStr">
        <is>
          <t>A completed selection record and an appropriate applicant-information handling process.</t>
        </is>
      </c>
      <c r="S60" s="37" t="inlineStr">
        <is>
          <t>A new hiring manager, selection tool or concern about a decision.</t>
        </is>
      </c>
      <c r="T60" s="37" t="inlineStr">
        <is>
          <t>Hiring manager</t>
        </is>
      </c>
      <c r="U60" s="37" t="inlineStr">
        <is>
          <t>Role definition, selection guide and hiring-manager coaching.</t>
        </is>
      </c>
      <c r="V60" s="37" t="inlineStr">
        <is>
          <t>HIRING</t>
        </is>
      </c>
      <c r="W60" s="37" t="inlineStr">
        <is>
          <t>A_REC02</t>
        </is>
      </c>
      <c r="X60" s="37" t="inlineStr">
        <is>
          <t>S01;S15;DESIGN</t>
        </is>
      </c>
      <c r="Y60" s="37" t="inlineStr">
        <is>
          <t>https://www.abs.gov.au/statistics/standards/abs-forms-design-standards/2023/general-forms-design-principles-question-structure
https://www.oaic.gov.au/privacy/privacy-guidance-for-organisations-and-government-agencies/organisations/employee-records-exemption</t>
        </is>
      </c>
      <c r="Z60" s="37" t="inlineStr">
        <is>
          <t>Equating consistency with identical questions when a candidate needs an appropriate adjustment.</t>
        </is>
      </c>
    </row>
    <row r="61" ht="61" customHeight="1">
      <c r="A61" s="38" t="inlineStr">
        <is>
          <t>REC03_0</t>
        </is>
      </c>
      <c r="B61" s="38" t="inlineStr">
        <is>
          <t>REC03</t>
        </is>
      </c>
      <c r="C61" s="49" t="n">
        <v>0</v>
      </c>
      <c r="D61" s="38" t="inlineStr">
        <is>
          <t>The role or offer can differ substantially from what candidates were told.</t>
        </is>
      </c>
      <c r="E61" s="38" t="inlineStr">
        <is>
          <t>Reduce surprises between offer and first day</t>
        </is>
      </c>
      <c r="F61" s="38" t="inlineStr">
        <is>
          <t>The selected response reports a missing or unestablished element. Confirm the affected arrangements before drawing a conclusion about any actual breach or harm.</t>
        </is>
      </c>
      <c r="G61" s="38" t="inlineStr">
        <is>
          <t>A difference between the advertised role and the actual work can undermine trust before a new employee has settled in.</t>
        </is>
      </c>
      <c r="H61" s="38" t="inlineStr">
        <is>
          <t>Expectation management and retention</t>
        </is>
      </c>
      <c r="I61" s="49" t="n">
        <v>2</v>
      </c>
      <c r="J61" s="49" t="n">
        <v>2</v>
      </c>
      <c r="K61" s="49" t="n">
        <v>2</v>
      </c>
      <c r="L61" s="38" t="inlineStr">
        <is>
          <t>Medium provisional concern: a material practice needs improvement. A difference between the advertised role and the actual work can undermine trust before a new employee has settled in.</t>
        </is>
      </c>
      <c r="M61" s="38" t="inlineStr">
        <is>
          <t>Compare the advert, interview discussion and offer for a recent hire. Ask where expectations could have been clearer and update the next hiring process.</t>
        </is>
      </c>
      <c r="N61" s="38" t="inlineStr">
        <is>
          <t>Align the advert, interview explanation and proposed terms. Explain genuine constraints such as hours, travel and decision authority.</t>
        </is>
      </c>
      <c r="O61" s="38" t="inlineStr">
        <is>
          <t>Ask a recent starter what differed from the recruitment discussion and correct misleading or incomplete information.</t>
        </is>
      </c>
      <c r="P61" s="38" t="inlineStr">
        <is>
          <t>Agree an owner and plan within 30 days, or before the next affected event if earlier.</t>
        </is>
      </c>
      <c r="Q61" s="38" t="inlineStr">
        <is>
          <t>Consistent candidate information and a simple communication checklist. Confirm that the change works in practice, not only that a document exists.</t>
        </is>
      </c>
      <c r="R61" s="38" t="inlineStr">
        <is>
          <t>Consistent candidate information and a simple communication checklist.</t>
        </is>
      </c>
      <c r="S61" s="38" t="inlineStr">
        <is>
          <t>Changed duties, work location or feedback from a recent starter.</t>
        </is>
      </c>
      <c r="T61" s="38" t="inlineStr">
        <is>
          <t>Hiring manager</t>
        </is>
      </c>
      <c r="U61" s="38" t="inlineStr">
        <is>
          <t>Role definition, selection guide and hiring-manager coaching.</t>
        </is>
      </c>
      <c r="V61" s="38" t="inlineStr">
        <is>
          <t>HIRING</t>
        </is>
      </c>
      <c r="W61" s="38" t="inlineStr">
        <is>
          <t>A_REC03</t>
        </is>
      </c>
      <c r="X61" s="38" t="inlineStr">
        <is>
          <t>S01;DESIGN</t>
        </is>
      </c>
      <c r="Y61" s="38" t="inlineStr">
        <is>
          <t>https://www.abs.gov.au/statistics/standards/abs-forms-design-standards/2023/general-forms-design-principles-question-structure</t>
        </is>
      </c>
      <c r="Z61" s="38" t="inlineStr">
        <is>
          <t>Presenting only the attractive aspects of the role and leaving the constraints until the offer.</t>
        </is>
      </c>
    </row>
    <row r="62" ht="61" customHeight="1">
      <c r="A62" s="37" t="inlineStr">
        <is>
          <t>REC03_1</t>
        </is>
      </c>
      <c r="B62" s="37" t="inlineStr">
        <is>
          <t>REC03</t>
        </is>
      </c>
      <c r="C62" s="48" t="n">
        <v>1</v>
      </c>
      <c r="D62" s="37" t="inlineStr">
        <is>
          <t>Communication depends on the individual manager and there is no clear follow-through.</t>
        </is>
      </c>
      <c r="E62" s="37" t="inlineStr">
        <is>
          <t>Reduce surprises between offer and first day</t>
        </is>
      </c>
      <c r="F62" s="37" t="inlineStr">
        <is>
          <t>The selected response relies on assumptions, informal decisions or an inconsistent process. The action is to make the relevant check reliable in routine work.</t>
        </is>
      </c>
      <c r="G62" s="37" t="inlineStr">
        <is>
          <t>A difference between the advertised role and the actual work can undermine trust before a new employee has settled in.</t>
        </is>
      </c>
      <c r="H62" s="37" t="inlineStr">
        <is>
          <t>Expectation management and retention</t>
        </is>
      </c>
      <c r="I62" s="48" t="n">
        <v>2</v>
      </c>
      <c r="J62" s="48" t="n">
        <v>2</v>
      </c>
      <c r="K62" s="48" t="n">
        <v>2</v>
      </c>
      <c r="L62" s="37" t="inlineStr">
        <is>
          <t>Medium provisional concern: a material practice needs improvement. A difference between the advertised role and the actual work can undermine trust before a new employee has settled in.</t>
        </is>
      </c>
      <c r="M62" s="37" t="inlineStr">
        <is>
          <t>Replace the assumption with a current check. Compare the advert, interview discussion and offer for a recent hire. Ask where expectations could have been clearer and update the next hiring process.</t>
        </is>
      </c>
      <c r="N62" s="37" t="inlineStr">
        <is>
          <t>Align the advert, interview explanation and proposed terms. Explain genuine constraints such as hours, travel and decision authority.</t>
        </is>
      </c>
      <c r="O62" s="37" t="inlineStr">
        <is>
          <t>Ask a recent starter what differed from the recruitment discussion and correct misleading or incomplete information.</t>
        </is>
      </c>
      <c r="P62" s="37" t="inlineStr">
        <is>
          <t>Agree an owner and plan within 30 days, or before the next affected event if earlier.</t>
        </is>
      </c>
      <c r="Q62" s="37" t="inlineStr">
        <is>
          <t>Consistent candidate information and a simple communication checklist. Confirm that the change works in practice, not only that a document exists.</t>
        </is>
      </c>
      <c r="R62" s="37" t="inlineStr">
        <is>
          <t>Consistent candidate information and a simple communication checklist.</t>
        </is>
      </c>
      <c r="S62" s="37" t="inlineStr">
        <is>
          <t>Changed duties, work location or feedback from a recent starter.</t>
        </is>
      </c>
      <c r="T62" s="37" t="inlineStr">
        <is>
          <t>Hiring manager</t>
        </is>
      </c>
      <c r="U62" s="37" t="inlineStr">
        <is>
          <t>Role definition, selection guide and hiring-manager coaching.</t>
        </is>
      </c>
      <c r="V62" s="37" t="inlineStr">
        <is>
          <t>HIRING</t>
        </is>
      </c>
      <c r="W62" s="37" t="inlineStr">
        <is>
          <t>A_REC03</t>
        </is>
      </c>
      <c r="X62" s="37" t="inlineStr">
        <is>
          <t>S01;DESIGN</t>
        </is>
      </c>
      <c r="Y62" s="37" t="inlineStr">
        <is>
          <t>https://www.abs.gov.au/statistics/standards/abs-forms-design-standards/2023/general-forms-design-principles-question-structure</t>
        </is>
      </c>
      <c r="Z62" s="37" t="inlineStr">
        <is>
          <t>Presenting only the attractive aspects of the role and leaving the constraints until the offer.</t>
        </is>
      </c>
    </row>
    <row r="63" ht="61" customHeight="1">
      <c r="A63" s="38" t="inlineStr">
        <is>
          <t>REC03_2</t>
        </is>
      </c>
      <c r="B63" s="38" t="inlineStr">
        <is>
          <t>REC03</t>
        </is>
      </c>
      <c r="C63" s="49" t="n">
        <v>2</v>
      </c>
      <c r="D63" s="38" t="inlineStr">
        <is>
          <t>Candidates receive useful information, but some expectations or decisions are not clearly communicated.</t>
        </is>
      </c>
      <c r="E63" s="38" t="inlineStr">
        <is>
          <t>Complete the remaining check: reduce surprises between offer and first day</t>
        </is>
      </c>
      <c r="F63" s="38" t="inlineStr">
        <is>
          <t>The selected response identifies an incomplete element within an existing practice. Keep what works and target the unresolved part; the stronger elements do not cancel the gap.</t>
        </is>
      </c>
      <c r="G63" s="38" t="inlineStr">
        <is>
          <t>A difference between the advertised role and the actual work can undermine trust before a new employee has settled in.</t>
        </is>
      </c>
      <c r="H63" s="38" t="inlineStr">
        <is>
          <t>Expectation management and retention</t>
        </is>
      </c>
      <c r="I63" s="49" t="n">
        <v>2</v>
      </c>
      <c r="J63" s="49" t="n">
        <v>2</v>
      </c>
      <c r="K63" s="49" t="n">
        <v>2</v>
      </c>
      <c r="L63" s="38" t="inlineStr">
        <is>
          <t>Medium provisional concern: a material practice needs improvement. A difference between the advertised role and the actual work can undermine trust before a new employee has settled in.</t>
        </is>
      </c>
      <c r="M63" s="38" t="inlineStr">
        <is>
          <t>Focus on the unresolved arrangements or exceptions. Compare the advert, interview discussion and offer for a recent hire. Ask where expectations could have been clearer and update the next hiring process.</t>
        </is>
      </c>
      <c r="N63" s="38" t="inlineStr">
        <is>
          <t>Align the advert, interview explanation and proposed terms. Explain genuine constraints such as hours, travel and decision authority.</t>
        </is>
      </c>
      <c r="O63" s="38" t="inlineStr">
        <is>
          <t>Ask a recent starter what differed from the recruitment discussion and correct misleading or incomplete information.</t>
        </is>
      </c>
      <c r="P63" s="38" t="inlineStr">
        <is>
          <t>Agree an owner and plan within 30 days, or before the next affected event if earlier.</t>
        </is>
      </c>
      <c r="Q63" s="38" t="inlineStr">
        <is>
          <t>Consistent candidate information and a simple communication checklist. Confirm that the change works in practice, not only that a document exists.</t>
        </is>
      </c>
      <c r="R63" s="38" t="inlineStr">
        <is>
          <t>Consistent candidate information and a simple communication checklist.</t>
        </is>
      </c>
      <c r="S63" s="38" t="inlineStr">
        <is>
          <t>Changed duties, work location or feedback from a recent starter.</t>
        </is>
      </c>
      <c r="T63" s="38" t="inlineStr">
        <is>
          <t>Hiring manager</t>
        </is>
      </c>
      <c r="U63" s="38" t="inlineStr">
        <is>
          <t>Role definition, selection guide and hiring-manager coaching.</t>
        </is>
      </c>
      <c r="V63" s="38" t="inlineStr">
        <is>
          <t>HIRING</t>
        </is>
      </c>
      <c r="W63" s="38" t="inlineStr">
        <is>
          <t>A_REC03</t>
        </is>
      </c>
      <c r="X63" s="38" t="inlineStr">
        <is>
          <t>S01;DESIGN</t>
        </is>
      </c>
      <c r="Y63" s="38" t="inlineStr">
        <is>
          <t>https://www.abs.gov.au/statistics/standards/abs-forms-design-standards/2023/general-forms-design-principles-question-structure</t>
        </is>
      </c>
      <c r="Z63" s="38" t="inlineStr">
        <is>
          <t>Presenting only the attractive aspects of the role and leaving the constraints until the offer.</t>
        </is>
      </c>
    </row>
    <row r="64" ht="61" customHeight="1">
      <c r="A64" s="37" t="inlineStr">
        <is>
          <t>REC03_3</t>
        </is>
      </c>
      <c r="B64" s="37" t="inlineStr">
        <is>
          <t>REC03</t>
        </is>
      </c>
      <c r="C64" s="48" t="n">
        <v>3</v>
      </c>
      <c r="D64" s="37" t="inlineStr">
        <is>
          <t>Candidates receive a realistic account of the work and terms, timely communication and an opportunity to ask informed questions.</t>
        </is>
      </c>
      <c r="E64" s="37" t="inlineStr">
        <is>
          <t>Maintain and test: reduce surprises between offer and first day</t>
        </is>
      </c>
      <c r="F64" s="37" t="inlineStr">
        <is>
          <t>The selected response reports an established and checked practice. The tool has not inspected the evidence and cannot certify the absence of risk.</t>
        </is>
      </c>
      <c r="G64" s="37" t="inlineStr">
        <is>
          <t>A difference between the advertised role and the actual work can undermine trust before a new employee has settled in.</t>
        </is>
      </c>
      <c r="H64" s="37" t="inlineStr">
        <is>
          <t>Expectation management and retention</t>
        </is>
      </c>
      <c r="I64" s="48" t="n">
        <v>2</v>
      </c>
      <c r="J64" s="48" t="n">
        <v>1</v>
      </c>
      <c r="K64" s="48" t="n">
        <v>1</v>
      </c>
      <c r="L64" s="37" t="inlineStr">
        <is>
          <t>Lower reported concern, not a finding of no risk. The assumed controls are self-reported; a current incident, contrary evidence or failed control takes precedence.</t>
        </is>
      </c>
      <c r="M64" s="37" t="inlineStr">
        <is>
          <t>Maintain the practice described. At the next relevant review, ask a recent starter what differed from the recruitment discussion and correct misleading or incomplete information.</t>
        </is>
      </c>
      <c r="N64" s="37" t="inlineStr">
        <is>
          <t>Check whether changes in work, people or applicable requirements have made the original process less reliable.</t>
        </is>
      </c>
      <c r="O64" s="37" t="inlineStr">
        <is>
          <t>Retain the review outcome and act on any new exception. An unresolved live issue overrides this maintenance pathway.</t>
        </is>
      </c>
      <c r="P64" s="37" t="inlineStr">
        <is>
          <t>Maintain at the stated trigger; for a new low-priority improvement, plan within 90 days.</t>
        </is>
      </c>
      <c r="Q64" s="37" t="inlineStr">
        <is>
          <t>A current example of the practice and a proportionate recheck record. Consistent candidate information and a simple communication checklist.</t>
        </is>
      </c>
      <c r="R64" s="37" t="inlineStr">
        <is>
          <t>Consistent candidate information and a simple communication checklist.</t>
        </is>
      </c>
      <c r="S64" s="37" t="inlineStr">
        <is>
          <t>Changed duties, work location or feedback from a recent starter.</t>
        </is>
      </c>
      <c r="T64" s="37" t="inlineStr">
        <is>
          <t>Hiring manager</t>
        </is>
      </c>
      <c r="U64" s="37" t="inlineStr">
        <is>
          <t>No further purchase is implied by this result. Seek support only for a material change, unresolved exception or chosen improvement.</t>
        </is>
      </c>
      <c r="V64" s="37" t="inlineStr">
        <is>
          <t>HIRING</t>
        </is>
      </c>
      <c r="W64" s="37" t="inlineStr">
        <is>
          <t>A_REC03</t>
        </is>
      </c>
      <c r="X64" s="37" t="inlineStr">
        <is>
          <t>S01;DESIGN</t>
        </is>
      </c>
      <c r="Y64" s="37" t="inlineStr">
        <is>
          <t>https://www.abs.gov.au/statistics/standards/abs-forms-design-standards/2023/general-forms-design-principles-question-structure</t>
        </is>
      </c>
      <c r="Z64" s="37" t="inlineStr">
        <is>
          <t>Presenting only the attractive aspects of the role and leaving the constraints until the offer.</t>
        </is>
      </c>
    </row>
    <row r="65" ht="61" customHeight="1">
      <c r="A65" s="38" t="inlineStr">
        <is>
          <t>REC03_DK</t>
        </is>
      </c>
      <c r="B65" s="38" t="inlineStr">
        <is>
          <t>REC03</t>
        </is>
      </c>
      <c r="C65" s="38" t="inlineStr">
        <is>
          <t>DK</t>
        </is>
      </c>
      <c r="D65" s="38" t="inlineStr">
        <is>
          <t>I need to confirm this.</t>
        </is>
      </c>
      <c r="E65" s="38" t="inlineStr">
        <is>
          <t>Verify: reduce surprises between offer and first day</t>
        </is>
      </c>
      <c r="F65" s="38" t="inlineStr">
        <is>
          <t>This answer identifies a knowledge gap. It does not establish that the practice is missing, that harm has occurred or that a legal duty has been breached.</t>
        </is>
      </c>
      <c r="G65" s="38" t="inlineStr">
        <is>
          <t>A difference between the advertised role and the actual work can undermine trust before a new employee has settled in.</t>
        </is>
      </c>
      <c r="H65" s="38" t="inlineStr">
        <is>
          <t>Expectation management and retention</t>
        </is>
      </c>
      <c r="I65" s="49" t="n">
        <v>2</v>
      </c>
      <c r="J65" s="49" t="n">
        <v>0</v>
      </c>
      <c r="K65" s="49" t="n">
        <v>2</v>
      </c>
      <c r="L65" s="38" t="inlineStr">
        <is>
          <t>The risk is not rated from an unknown answer. Verification is Medium priority because: A difference between the advertised role and the actual work can undermine trust before a new employee has settled in.</t>
        </is>
      </c>
      <c r="M65" s="38" t="inlineStr">
        <is>
          <t>Ask the hiring manager to show a current example of the process and the evidence listed below. Confirm the answer before deciding what must be repaired.</t>
        </is>
      </c>
      <c r="N65" s="38" t="inlineStr">
        <is>
          <t>Compare the example with the established-practice description: Candidates receive a realistic account of the work and terms, timely communication and an opportunity to ask informed questions.</t>
        </is>
      </c>
      <c r="O65" s="38" t="inlineStr">
        <is>
          <t>Record what was checked, by whom and when. If it remains unclear, keep the verification task open and agree any proportionate interim safeguard.</t>
        </is>
      </c>
      <c r="P65" s="38" t="inlineStr">
        <is>
          <t>Agree an owner and plan within 30 days, or before the next affected event if earlier.</t>
        </is>
      </c>
      <c r="Q65" s="38" t="inlineStr">
        <is>
          <t>A dated verification record, the supporting example, an updated answer and any remaining action. No automatic compliance conclusion.</t>
        </is>
      </c>
      <c r="R65" s="38" t="inlineStr">
        <is>
          <t>Consistent candidate information and a simple communication checklist.</t>
        </is>
      </c>
      <c r="S65" s="38" t="inlineStr">
        <is>
          <t>Changed duties, work location or feedback from a recent starter.</t>
        </is>
      </c>
      <c r="T65" s="38" t="inlineStr">
        <is>
          <t>Hiring manager</t>
        </is>
      </c>
      <c r="U65" s="38" t="inlineStr">
        <is>
          <t>Role definition, selection guide and hiring-manager coaching.</t>
        </is>
      </c>
      <c r="V65" s="38" t="inlineStr">
        <is>
          <t>HIRING</t>
        </is>
      </c>
      <c r="W65" s="38" t="inlineStr">
        <is>
          <t>A_REC03</t>
        </is>
      </c>
      <c r="X65" s="38" t="inlineStr">
        <is>
          <t>S01;DESIGN</t>
        </is>
      </c>
      <c r="Y65" s="38" t="inlineStr">
        <is>
          <t>https://www.abs.gov.au/statistics/standards/abs-forms-design-standards/2023/general-forms-design-principles-question-structure</t>
        </is>
      </c>
      <c r="Z65" s="38" t="inlineStr">
        <is>
          <t>Presenting only the attractive aspects of the role and leaving the constraints until the offer.</t>
        </is>
      </c>
    </row>
    <row r="66" ht="61" customHeight="1">
      <c r="A66" s="37" t="inlineStr">
        <is>
          <t>ONB01_0</t>
        </is>
      </c>
      <c r="B66" s="37" t="inlineStr">
        <is>
          <t>ONB01</t>
        </is>
      </c>
      <c r="C66" s="48" t="n">
        <v>0</v>
      </c>
      <c r="D66" s="37" t="inlineStr">
        <is>
          <t>We do not verify work rights.</t>
        </is>
      </c>
      <c r="E66" s="37" t="inlineStr">
        <is>
          <t>Verify work rights without making assumptions</t>
        </is>
      </c>
      <c r="F66" s="37" t="inlineStr">
        <is>
          <t>The selected response reports a missing or unestablished element. Confirm the affected arrangements before drawing a conclusion about any actual breach or harm.</t>
        </is>
      </c>
      <c r="G66" s="37" t="inlineStr">
        <is>
          <t>Without a reliable work-rights check, the business may allocate work a person is not authorised to perform. Missing evidence does not itself establish an unlawful engagement.</t>
        </is>
      </c>
      <c r="H66" s="37" t="inlineStr">
        <is>
          <t>Work authorisation</t>
        </is>
      </c>
      <c r="I66" s="48" t="n">
        <v>3</v>
      </c>
      <c r="J66" s="48" t="n">
        <v>3</v>
      </c>
      <c r="K66" s="48" t="n">
        <v>3</v>
      </c>
      <c r="L66" s="37" t="inlineStr">
        <is>
          <t>High provisional concern: an essential element remains unresolved. Without a reliable work-rights check, the business may allocate work a person is not authorised to perform. Missing evidence does not itself establish an unlawful engagement.</t>
        </is>
      </c>
      <c r="M66" s="37" t="inlineStr">
        <is>
          <t>Review right-to-work evidence for current staff, identify any conditions requiring follow-up and add the check to the pre-start process.</t>
        </is>
      </c>
      <c r="N66" s="37" t="inlineStr">
        <is>
          <t>Check appropriate evidence consistently and, where relevant, confirm visa conditions through an authorised process. Limit access to identity information.</t>
        </is>
      </c>
      <c r="O66" s="37" t="inlineStr">
        <is>
          <t>Set relevant expiry or condition reviews and confirm the allocation of work respects any restrictions.</t>
        </is>
      </c>
      <c r="P66" s="37" t="inlineStr">
        <is>
          <t>Review or verify within two business days and before the next affected event if earlier. Do not wait where a duty or current harm requires earlier action.</t>
        </is>
      </c>
      <c r="Q66" s="37" t="inlineStr">
        <is>
          <t>A secure verification record and reminders for any restrictions or expiry dates that need action. Confirm that the change works in practice, not only that a document exists.</t>
        </is>
      </c>
      <c r="R66" s="37" t="inlineStr">
        <is>
          <t>A secure verification record and reminders for any restrictions or expiry dates that need action.</t>
        </is>
      </c>
      <c r="S66" s="37" t="inlineStr">
        <is>
          <t>Before commencement and when relevant conditions or evidence change.</t>
        </is>
      </c>
      <c r="T66" s="37" t="inlineStr">
        <is>
          <t>Hiring manager / coordinator</t>
        </is>
      </c>
      <c r="U66" s="37" t="inlineStr">
        <is>
          <t>Practical onboarding workflow and required-information controls.</t>
        </is>
      </c>
      <c r="V66" s="37" t="inlineStr">
        <is>
          <t>START_SAFE</t>
        </is>
      </c>
      <c r="W66" s="37" t="inlineStr">
        <is>
          <t>A_ONB01</t>
        </is>
      </c>
      <c r="X66" s="37" t="inlineStr">
        <is>
          <t>S32;DESIGN</t>
        </is>
      </c>
      <c r="Y66" s="37" t="inlineStr">
        <is>
          <t>https://immi.homeaffairs.gov.au/visa-conditions-subsite/Pages/Check-conditions-online-vevo.aspx</t>
        </is>
      </c>
      <c r="Z66" s="37" t="inlineStr">
        <is>
          <t>Making assumptions from nationality, accent or appearance, or treating an old check as permanently current.</t>
        </is>
      </c>
    </row>
    <row r="67" ht="61" customHeight="1">
      <c r="A67" s="38" t="inlineStr">
        <is>
          <t>ONB01_1</t>
        </is>
      </c>
      <c r="B67" s="38" t="inlineStr">
        <is>
          <t>ONB01</t>
        </is>
      </c>
      <c r="C67" s="49" t="n">
        <v>1</v>
      </c>
      <c r="D67" s="38" t="inlineStr">
        <is>
          <t>We rely on what the applicant tells us or on assumptions about citizenship.</t>
        </is>
      </c>
      <c r="E67" s="38" t="inlineStr">
        <is>
          <t>Verify work rights without making assumptions</t>
        </is>
      </c>
      <c r="F67" s="38" t="inlineStr">
        <is>
          <t>The selected response relies on assumptions, informal decisions or an inconsistent process. The action is to make the relevant check reliable in routine work.</t>
        </is>
      </c>
      <c r="G67" s="38" t="inlineStr">
        <is>
          <t>Without a reliable work-rights check, the business may allocate work a person is not authorised to perform. Missing evidence does not itself establish an unlawful engagement.</t>
        </is>
      </c>
      <c r="H67" s="38" t="inlineStr">
        <is>
          <t>Work authorisation</t>
        </is>
      </c>
      <c r="I67" s="49" t="n">
        <v>3</v>
      </c>
      <c r="J67" s="49" t="n">
        <v>3</v>
      </c>
      <c r="K67" s="49" t="n">
        <v>3</v>
      </c>
      <c r="L67" s="38" t="inlineStr">
        <is>
          <t>High provisional concern: an essential element remains unresolved. Without a reliable work-rights check, the business may allocate work a person is not authorised to perform. Missing evidence does not itself establish an unlawful engagement.</t>
        </is>
      </c>
      <c r="M67" s="38" t="inlineStr">
        <is>
          <t>Replace the assumption with a current check. Review right-to-work evidence for current staff, identify any conditions requiring follow-up and add the check to the pre-start process.</t>
        </is>
      </c>
      <c r="N67" s="38" t="inlineStr">
        <is>
          <t>Check appropriate evidence consistently and, where relevant, confirm visa conditions through an authorised process. Limit access to identity information.</t>
        </is>
      </c>
      <c r="O67" s="38" t="inlineStr">
        <is>
          <t>Set relevant expiry or condition reviews and confirm the allocation of work respects any restrictions.</t>
        </is>
      </c>
      <c r="P67" s="38" t="inlineStr">
        <is>
          <t>Review or verify within two business days and before the next affected event if earlier. Do not wait where a duty or current harm requires earlier action.</t>
        </is>
      </c>
      <c r="Q67" s="38" t="inlineStr">
        <is>
          <t>A secure verification record and reminders for any restrictions or expiry dates that need action. Confirm that the change works in practice, not only that a document exists.</t>
        </is>
      </c>
      <c r="R67" s="38" t="inlineStr">
        <is>
          <t>A secure verification record and reminders for any restrictions or expiry dates that need action.</t>
        </is>
      </c>
      <c r="S67" s="38" t="inlineStr">
        <is>
          <t>Before commencement and when relevant conditions or evidence change.</t>
        </is>
      </c>
      <c r="T67" s="38" t="inlineStr">
        <is>
          <t>Hiring manager / coordinator</t>
        </is>
      </c>
      <c r="U67" s="38" t="inlineStr">
        <is>
          <t>Practical onboarding workflow and required-information controls.</t>
        </is>
      </c>
      <c r="V67" s="38" t="inlineStr">
        <is>
          <t>START_SAFE</t>
        </is>
      </c>
      <c r="W67" s="38" t="inlineStr">
        <is>
          <t>A_ONB01</t>
        </is>
      </c>
      <c r="X67" s="38" t="inlineStr">
        <is>
          <t>S32;DESIGN</t>
        </is>
      </c>
      <c r="Y67" s="38" t="inlineStr">
        <is>
          <t>https://immi.homeaffairs.gov.au/visa-conditions-subsite/Pages/Check-conditions-online-vevo.aspx</t>
        </is>
      </c>
      <c r="Z67" s="38" t="inlineStr">
        <is>
          <t>Making assumptions from nationality, accent or appearance, or treating an old check as permanently current.</t>
        </is>
      </c>
    </row>
    <row r="68" ht="61" customHeight="1">
      <c r="A68" s="37" t="inlineStr">
        <is>
          <t>ONB01_2</t>
        </is>
      </c>
      <c r="B68" s="37" t="inlineStr">
        <is>
          <t>ONB01</t>
        </is>
      </c>
      <c r="C68" s="48" t="n">
        <v>2</v>
      </c>
      <c r="D68" s="37" t="inlineStr">
        <is>
          <t>We collect evidence, but restrictions or expiry dates are not consistently tracked.</t>
        </is>
      </c>
      <c r="E68" s="37" t="inlineStr">
        <is>
          <t>Complete the remaining check: verify work rights without making assumptions</t>
        </is>
      </c>
      <c r="F68" s="37" t="inlineStr">
        <is>
          <t>The selected response identifies an incomplete element within an existing practice. Keep what works and target the unresolved part; the stronger elements do not cancel the gap.</t>
        </is>
      </c>
      <c r="G68" s="37" t="inlineStr">
        <is>
          <t>Without a reliable work-rights check, the business may allocate work a person is not authorised to perform. Missing evidence does not itself establish an unlawful engagement.</t>
        </is>
      </c>
      <c r="H68" s="37" t="inlineStr">
        <is>
          <t>Work authorisation</t>
        </is>
      </c>
      <c r="I68" s="48" t="n">
        <v>3</v>
      </c>
      <c r="J68" s="48" t="n">
        <v>3</v>
      </c>
      <c r="K68" s="48" t="n">
        <v>3</v>
      </c>
      <c r="L68" s="37" t="inlineStr">
        <is>
          <t>High provisional concern: an essential element remains unresolved. Without a reliable work-rights check, the business may allocate work a person is not authorised to perform. Missing evidence does not itself establish an unlawful engagement.</t>
        </is>
      </c>
      <c r="M68" s="37" t="inlineStr">
        <is>
          <t>Focus on the unresolved arrangements or exceptions. Review right-to-work evidence for current staff, identify any conditions requiring follow-up and add the check to the pre-start process.</t>
        </is>
      </c>
      <c r="N68" s="37" t="inlineStr">
        <is>
          <t>Check appropriate evidence consistently and, where relevant, confirm visa conditions through an authorised process. Limit access to identity information.</t>
        </is>
      </c>
      <c r="O68" s="37" t="inlineStr">
        <is>
          <t>Set relevant expiry or condition reviews and confirm the allocation of work respects any restrictions.</t>
        </is>
      </c>
      <c r="P68" s="37" t="inlineStr">
        <is>
          <t>Review or verify within two business days and before the next affected event if earlier. Do not wait where a duty or current harm requires earlier action.</t>
        </is>
      </c>
      <c r="Q68" s="37" t="inlineStr">
        <is>
          <t>A secure verification record and reminders for any restrictions or expiry dates that need action. Confirm that the change works in practice, not only that a document exists.</t>
        </is>
      </c>
      <c r="R68" s="37" t="inlineStr">
        <is>
          <t>A secure verification record and reminders for any restrictions or expiry dates that need action.</t>
        </is>
      </c>
      <c r="S68" s="37" t="inlineStr">
        <is>
          <t>Before commencement and when relevant conditions or evidence change.</t>
        </is>
      </c>
      <c r="T68" s="37" t="inlineStr">
        <is>
          <t>Hiring manager / coordinator</t>
        </is>
      </c>
      <c r="U68" s="37" t="inlineStr">
        <is>
          <t>Practical onboarding workflow and required-information controls.</t>
        </is>
      </c>
      <c r="V68" s="37" t="inlineStr">
        <is>
          <t>START_SAFE</t>
        </is>
      </c>
      <c r="W68" s="37" t="inlineStr">
        <is>
          <t>A_ONB01</t>
        </is>
      </c>
      <c r="X68" s="37" t="inlineStr">
        <is>
          <t>S32;DESIGN</t>
        </is>
      </c>
      <c r="Y68" s="37" t="inlineStr">
        <is>
          <t>https://immi.homeaffairs.gov.au/visa-conditions-subsite/Pages/Check-conditions-online-vevo.aspx</t>
        </is>
      </c>
      <c r="Z68" s="37" t="inlineStr">
        <is>
          <t>Making assumptions from nationality, accent or appearance, or treating an old check as permanently current.</t>
        </is>
      </c>
    </row>
    <row r="69" ht="46" customHeight="1">
      <c r="A69" s="38" t="inlineStr">
        <is>
          <t>ONB01_3</t>
        </is>
      </c>
      <c r="B69" s="38" t="inlineStr">
        <is>
          <t>ONB01</t>
        </is>
      </c>
      <c r="C69" s="49" t="n">
        <v>3</v>
      </c>
      <c r="D69" s="38" t="inlineStr">
        <is>
          <t>We verify appropriate evidence before work starts and monitor relevant restrictions and expiry dates.</t>
        </is>
      </c>
      <c r="E69" s="38" t="inlineStr">
        <is>
          <t>Maintain and test: verify work rights without making assumptions</t>
        </is>
      </c>
      <c r="F69" s="38" t="inlineStr">
        <is>
          <t>The selected response reports an established and checked practice. The tool has not inspected the evidence and cannot certify the absence of risk.</t>
        </is>
      </c>
      <c r="G69" s="38" t="inlineStr">
        <is>
          <t>Without a reliable work-rights check, the business may allocate work a person is not authorised to perform. Missing evidence does not itself establish an unlawful engagement.</t>
        </is>
      </c>
      <c r="H69" s="38" t="inlineStr">
        <is>
          <t>Work authorisation</t>
        </is>
      </c>
      <c r="I69" s="49" t="n">
        <v>3</v>
      </c>
      <c r="J69" s="49" t="n">
        <v>1</v>
      </c>
      <c r="K69" s="49" t="n">
        <v>1</v>
      </c>
      <c r="L69" s="38" t="inlineStr">
        <is>
          <t>Lower reported concern, not a finding of no risk. The assumed controls are self-reported; a current incident, contrary evidence or failed control takes precedence.</t>
        </is>
      </c>
      <c r="M69" s="38" t="inlineStr">
        <is>
          <t>Maintain the practice described. At the next relevant review, set relevant expiry or condition reviews and confirm the allocation of work respects any restrictions.</t>
        </is>
      </c>
      <c r="N69" s="38" t="inlineStr">
        <is>
          <t>Check whether changes in work, people or applicable requirements have made the original process less reliable.</t>
        </is>
      </c>
      <c r="O69" s="38" t="inlineStr">
        <is>
          <t>Retain the review outcome and act on any new exception. An unresolved live issue overrides this maintenance pathway.</t>
        </is>
      </c>
      <c r="P69" s="38" t="inlineStr">
        <is>
          <t>Maintain at the stated trigger; for a new low-priority improvement, plan within 90 days.</t>
        </is>
      </c>
      <c r="Q69" s="38" t="inlineStr">
        <is>
          <t>A current example of the practice and a proportionate recheck record. A secure verification record and reminders for any restrictions or expiry dates that need action.</t>
        </is>
      </c>
      <c r="R69" s="38" t="inlineStr">
        <is>
          <t>A secure verification record and reminders for any restrictions or expiry dates that need action.</t>
        </is>
      </c>
      <c r="S69" s="38" t="inlineStr">
        <is>
          <t>Before commencement and when relevant conditions or evidence change.</t>
        </is>
      </c>
      <c r="T69" s="38" t="inlineStr">
        <is>
          <t>Hiring manager / coordinator</t>
        </is>
      </c>
      <c r="U69" s="38" t="inlineStr">
        <is>
          <t>No further purchase is implied by this result. Seek support only for a material change, unresolved exception or chosen improvement.</t>
        </is>
      </c>
      <c r="V69" s="38" t="inlineStr">
        <is>
          <t>START_SAFE</t>
        </is>
      </c>
      <c r="W69" s="38" t="inlineStr">
        <is>
          <t>A_ONB01</t>
        </is>
      </c>
      <c r="X69" s="38" t="inlineStr">
        <is>
          <t>S32;DESIGN</t>
        </is>
      </c>
      <c r="Y69" s="38" t="inlineStr">
        <is>
          <t>https://immi.homeaffairs.gov.au/visa-conditions-subsite/Pages/Check-conditions-online-vevo.aspx</t>
        </is>
      </c>
      <c r="Z69" s="38" t="inlineStr">
        <is>
          <t>Making assumptions from nationality, accent or appearance, or treating an old check as permanently current.</t>
        </is>
      </c>
    </row>
    <row r="70" ht="61" customHeight="1">
      <c r="A70" s="37" t="inlineStr">
        <is>
          <t>ONB01_DK</t>
        </is>
      </c>
      <c r="B70" s="37" t="inlineStr">
        <is>
          <t>ONB01</t>
        </is>
      </c>
      <c r="C70" s="37" t="inlineStr">
        <is>
          <t>DK</t>
        </is>
      </c>
      <c r="D70" s="37" t="inlineStr">
        <is>
          <t>I need to confirm this.</t>
        </is>
      </c>
      <c r="E70" s="37" t="inlineStr">
        <is>
          <t>Verify: verify work rights without making assumptions</t>
        </is>
      </c>
      <c r="F70" s="37" t="inlineStr">
        <is>
          <t>This answer identifies a knowledge gap. It does not establish that the practice is missing, that harm has occurred or that a legal duty has been breached.</t>
        </is>
      </c>
      <c r="G70" s="37" t="inlineStr">
        <is>
          <t>Without a reliable work-rights check, the business may allocate work a person is not authorised to perform. Missing evidence does not itself establish an unlawful engagement.</t>
        </is>
      </c>
      <c r="H70" s="37" t="inlineStr">
        <is>
          <t>Work authorisation</t>
        </is>
      </c>
      <c r="I70" s="48" t="n">
        <v>3</v>
      </c>
      <c r="J70" s="48" t="n">
        <v>0</v>
      </c>
      <c r="K70" s="48" t="n">
        <v>3</v>
      </c>
      <c r="L70" s="37" t="inlineStr">
        <is>
          <t>The risk is not rated from an unknown answer. Verification is High priority because: Without a reliable work-rights check, the business may allocate work a person is not authorised to perform. Missing evidence does not itself establish an unlawful engagement.</t>
        </is>
      </c>
      <c r="M70" s="37" t="inlineStr">
        <is>
          <t>Ask the hiring manager / coordinator to show a current example of the process and the evidence listed below. Confirm the answer before deciding what must be repaired.</t>
        </is>
      </c>
      <c r="N70" s="37" t="inlineStr">
        <is>
          <t>Compare the example with the established-practice description: We verify appropriate evidence before work starts and monitor relevant restrictions and expiry dates.</t>
        </is>
      </c>
      <c r="O70" s="37" t="inlineStr">
        <is>
          <t>Record what was checked, by whom and when. If it remains unclear, keep the verification task open and agree any proportionate interim safeguard.</t>
        </is>
      </c>
      <c r="P70" s="37" t="inlineStr">
        <is>
          <t>Review or verify within two business days and before the next affected event if earlier. Do not wait where a duty or current harm requires earlier action.</t>
        </is>
      </c>
      <c r="Q70" s="37" t="inlineStr">
        <is>
          <t>A dated verification record, the supporting example, an updated answer and any remaining action. No automatic compliance conclusion.</t>
        </is>
      </c>
      <c r="R70" s="37" t="inlineStr">
        <is>
          <t>A secure verification record and reminders for any restrictions or expiry dates that need action.</t>
        </is>
      </c>
      <c r="S70" s="37" t="inlineStr">
        <is>
          <t>Before commencement and when relevant conditions or evidence change.</t>
        </is>
      </c>
      <c r="T70" s="37" t="inlineStr">
        <is>
          <t>Hiring manager / coordinator</t>
        </is>
      </c>
      <c r="U70" s="37" t="inlineStr">
        <is>
          <t>Practical onboarding workflow and required-information controls.</t>
        </is>
      </c>
      <c r="V70" s="37" t="inlineStr">
        <is>
          <t>START_SAFE</t>
        </is>
      </c>
      <c r="W70" s="37" t="inlineStr">
        <is>
          <t>A_ONB01</t>
        </is>
      </c>
      <c r="X70" s="37" t="inlineStr">
        <is>
          <t>S32;DESIGN</t>
        </is>
      </c>
      <c r="Y70" s="37" t="inlineStr">
        <is>
          <t>https://immi.homeaffairs.gov.au/visa-conditions-subsite/Pages/Check-conditions-online-vevo.aspx</t>
        </is>
      </c>
      <c r="Z70" s="37" t="inlineStr">
        <is>
          <t>Making assumptions from nationality, accent or appearance, or treating an old check as permanently current.</t>
        </is>
      </c>
    </row>
    <row r="71" ht="106" customHeight="1">
      <c r="A71" s="38" t="inlineStr">
        <is>
          <t>ONB02_0</t>
        </is>
      </c>
      <c r="B71" s="38" t="inlineStr">
        <is>
          <t>ONB02</t>
        </is>
      </c>
      <c r="C71" s="49" t="n">
        <v>0</v>
      </c>
      <c r="D71" s="38" t="inlineStr">
        <is>
          <t>Statements are not provided consistently.</t>
        </is>
      </c>
      <c r="E71" s="38" t="inlineStr">
        <is>
          <t>Confirm statements are delivered, not merely stored</t>
        </is>
      </c>
      <c r="F71" s="38" t="inlineStr">
        <is>
          <t>The selected response reports a missing or unestablished element. Confirm the affected arrangements before drawing a conclusion about any actual breach or harm.</t>
        </is>
      </c>
      <c r="G71" s="38" t="inlineStr">
        <is>
          <t>A contract pack may not deliver every required information statement at the right time.</t>
        </is>
      </c>
      <c r="H71" s="38" t="inlineStr">
        <is>
          <t>Employment information obligations</t>
        </is>
      </c>
      <c r="I71" s="49" t="n">
        <v>2</v>
      </c>
      <c r="J71" s="49" t="n">
        <v>2</v>
      </c>
      <c r="K71" s="49" t="n">
        <v>2</v>
      </c>
      <c r="L71" s="38" t="inlineStr">
        <is>
          <t>Medium provisional concern: a material practice needs improvement. A contract pack may not deliver every required information statement at the right time.</t>
        </is>
      </c>
      <c r="M71" s="38" t="inlineStr">
        <is>
          <t>Check a recent new starter's delivery record and link the onboarding process to the current official statement versions.</t>
        </is>
      </c>
      <c r="N71" s="38" t="inlineStr">
        <is>
          <t>Identify the current statements needed for each engagement and assign responsibility for delivery and version control.</t>
        </is>
      </c>
      <c r="O71" s="38" t="inlineStr">
        <is>
          <t>Check a recent starter file for the actual version and delivery record, not merely a tick against the onboarding task.</t>
        </is>
      </c>
      <c r="P71" s="38" t="inlineStr">
        <is>
          <t>Agree an owner and plan within 30 days, or before the next affected event if earlier.</t>
        </is>
      </c>
      <c r="Q71" s="38" t="inlineStr">
        <is>
          <t>An onboarding delivery record, with additional reminders where the employment type requires them. Confirm that the change works in practice, not only that a document exists.</t>
        </is>
      </c>
      <c r="R71" s="38" t="inlineStr">
        <is>
          <t>An onboarding delivery record, with additional reminders where the employment type requires them.</t>
        </is>
      </c>
      <c r="S71" s="38" t="inlineStr">
        <is>
          <t>New starters and revised statement versions.</t>
        </is>
      </c>
      <c r="T71" s="38" t="inlineStr">
        <is>
          <t>Hiring manager / coordinator</t>
        </is>
      </c>
      <c r="U71" s="38" t="inlineStr">
        <is>
          <t>Practical onboarding workflow and required-information controls.</t>
        </is>
      </c>
      <c r="V71" s="38" t="inlineStr">
        <is>
          <t>START_SAFE</t>
        </is>
      </c>
      <c r="W71" s="38" t="inlineStr">
        <is>
          <t>A_ONB02</t>
        </is>
      </c>
      <c r="X71" s="38" t="inlineStr">
        <is>
          <t>S04;S09;S14;DESIGN</t>
        </is>
      </c>
      <c r="Y71" s="38"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Z71" s="38" t="inlineStr">
        <is>
          <t>Assuming the payroll provider, recruiter or manager has already sent it.</t>
        </is>
      </c>
    </row>
    <row r="72" ht="106" customHeight="1">
      <c r="A72" s="37" t="inlineStr">
        <is>
          <t>ONB02_1</t>
        </is>
      </c>
      <c r="B72" s="37" t="inlineStr">
        <is>
          <t>ONB02</t>
        </is>
      </c>
      <c r="C72" s="48" t="n">
        <v>1</v>
      </c>
      <c r="D72" s="37" t="inlineStr">
        <is>
          <t>We assume they are included in onboarding but do not check delivery.</t>
        </is>
      </c>
      <c r="E72" s="37" t="inlineStr">
        <is>
          <t>Confirm statements are delivered, not merely stored</t>
        </is>
      </c>
      <c r="F72" s="37" t="inlineStr">
        <is>
          <t>The selected response relies on assumptions, informal decisions or an inconsistent process. The action is to make the relevant check reliable in routine work.</t>
        </is>
      </c>
      <c r="G72" s="37" t="inlineStr">
        <is>
          <t>A contract pack may not deliver every required information statement at the right time.</t>
        </is>
      </c>
      <c r="H72" s="37" t="inlineStr">
        <is>
          <t>Employment information obligations</t>
        </is>
      </c>
      <c r="I72" s="48" t="n">
        <v>2</v>
      </c>
      <c r="J72" s="48" t="n">
        <v>2</v>
      </c>
      <c r="K72" s="48" t="n">
        <v>2</v>
      </c>
      <c r="L72" s="37" t="inlineStr">
        <is>
          <t>Medium provisional concern: a material practice needs improvement. A contract pack may not deliver every required information statement at the right time.</t>
        </is>
      </c>
      <c r="M72" s="37" t="inlineStr">
        <is>
          <t>Replace the assumption with a current check. Check a recent new starter's delivery record and link the onboarding process to the current official statement versions.</t>
        </is>
      </c>
      <c r="N72" s="37" t="inlineStr">
        <is>
          <t>Identify the current statements needed for each engagement and assign responsibility for delivery and version control.</t>
        </is>
      </c>
      <c r="O72" s="37" t="inlineStr">
        <is>
          <t>Check a recent starter file for the actual version and delivery record, not merely a tick against the onboarding task.</t>
        </is>
      </c>
      <c r="P72" s="37" t="inlineStr">
        <is>
          <t>Agree an owner and plan within 30 days, or before the next affected event if earlier.</t>
        </is>
      </c>
      <c r="Q72" s="37" t="inlineStr">
        <is>
          <t>An onboarding delivery record, with additional reminders where the employment type requires them. Confirm that the change works in practice, not only that a document exists.</t>
        </is>
      </c>
      <c r="R72" s="37" t="inlineStr">
        <is>
          <t>An onboarding delivery record, with additional reminders where the employment type requires them.</t>
        </is>
      </c>
      <c r="S72" s="37" t="inlineStr">
        <is>
          <t>New starters and revised statement versions.</t>
        </is>
      </c>
      <c r="T72" s="37" t="inlineStr">
        <is>
          <t>Hiring manager / coordinator</t>
        </is>
      </c>
      <c r="U72" s="37" t="inlineStr">
        <is>
          <t>Practical onboarding workflow and required-information controls.</t>
        </is>
      </c>
      <c r="V72" s="37" t="inlineStr">
        <is>
          <t>START_SAFE</t>
        </is>
      </c>
      <c r="W72" s="37" t="inlineStr">
        <is>
          <t>A_ONB02</t>
        </is>
      </c>
      <c r="X72" s="37" t="inlineStr">
        <is>
          <t>S04;S09;S14;DESIGN</t>
        </is>
      </c>
      <c r="Y72" s="37"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Z72" s="37" t="inlineStr">
        <is>
          <t>Assuming the payroll provider, recruiter or manager has already sent it.</t>
        </is>
      </c>
    </row>
    <row r="73" ht="106" customHeight="1">
      <c r="A73" s="38" t="inlineStr">
        <is>
          <t>ONB02_2</t>
        </is>
      </c>
      <c r="B73" s="38" t="inlineStr">
        <is>
          <t>ONB02</t>
        </is>
      </c>
      <c r="C73" s="49" t="n">
        <v>2</v>
      </c>
      <c r="D73" s="38" t="inlineStr">
        <is>
          <t>They are usually provided, but version control or delivery records are incomplete.</t>
        </is>
      </c>
      <c r="E73" s="38" t="inlineStr">
        <is>
          <t>Complete the remaining check: confirm statements are delivered, not merely stored</t>
        </is>
      </c>
      <c r="F73" s="38" t="inlineStr">
        <is>
          <t>The selected response identifies an incomplete element within an existing practice. Keep what works and target the unresolved part; the stronger elements do not cancel the gap.</t>
        </is>
      </c>
      <c r="G73" s="38" t="inlineStr">
        <is>
          <t>A contract pack may not deliver every required information statement at the right time.</t>
        </is>
      </c>
      <c r="H73" s="38" t="inlineStr">
        <is>
          <t>Employment information obligations</t>
        </is>
      </c>
      <c r="I73" s="49" t="n">
        <v>2</v>
      </c>
      <c r="J73" s="49" t="n">
        <v>2</v>
      </c>
      <c r="K73" s="49" t="n">
        <v>2</v>
      </c>
      <c r="L73" s="38" t="inlineStr">
        <is>
          <t>Medium provisional concern: a material practice needs improvement. A contract pack may not deliver every required information statement at the right time.</t>
        </is>
      </c>
      <c r="M73" s="38" t="inlineStr">
        <is>
          <t>Focus on the unresolved arrangements or exceptions. Check a recent new starter's delivery record and link the onboarding process to the current official statement versions.</t>
        </is>
      </c>
      <c r="N73" s="38" t="inlineStr">
        <is>
          <t>Identify the current statements needed for each engagement and assign responsibility for delivery and version control.</t>
        </is>
      </c>
      <c r="O73" s="38" t="inlineStr">
        <is>
          <t>Check a recent starter file for the actual version and delivery record, not merely a tick against the onboarding task.</t>
        </is>
      </c>
      <c r="P73" s="38" t="inlineStr">
        <is>
          <t>Agree an owner and plan within 30 days, or before the next affected event if earlier.</t>
        </is>
      </c>
      <c r="Q73" s="38" t="inlineStr">
        <is>
          <t>An onboarding delivery record, with additional reminders where the employment type requires them. Confirm that the change works in practice, not only that a document exists.</t>
        </is>
      </c>
      <c r="R73" s="38" t="inlineStr">
        <is>
          <t>An onboarding delivery record, with additional reminders where the employment type requires them.</t>
        </is>
      </c>
      <c r="S73" s="38" t="inlineStr">
        <is>
          <t>New starters and revised statement versions.</t>
        </is>
      </c>
      <c r="T73" s="38" t="inlineStr">
        <is>
          <t>Hiring manager / coordinator</t>
        </is>
      </c>
      <c r="U73" s="38" t="inlineStr">
        <is>
          <t>Practical onboarding workflow and required-information controls.</t>
        </is>
      </c>
      <c r="V73" s="38" t="inlineStr">
        <is>
          <t>START_SAFE</t>
        </is>
      </c>
      <c r="W73" s="38" t="inlineStr">
        <is>
          <t>A_ONB02</t>
        </is>
      </c>
      <c r="X73" s="38" t="inlineStr">
        <is>
          <t>S04;S09;S14;DESIGN</t>
        </is>
      </c>
      <c r="Y73" s="38"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Z73" s="38" t="inlineStr">
        <is>
          <t>Assuming the payroll provider, recruiter or manager has already sent it.</t>
        </is>
      </c>
    </row>
    <row r="74" ht="106" customHeight="1">
      <c r="A74" s="37" t="inlineStr">
        <is>
          <t>ONB02_3</t>
        </is>
      </c>
      <c r="B74" s="37" t="inlineStr">
        <is>
          <t>ONB02</t>
        </is>
      </c>
      <c r="C74" s="48" t="n">
        <v>3</v>
      </c>
      <c r="D74" s="37" t="inlineStr">
        <is>
          <t>We provide the current required statements at the relevant time and retain a record of delivery.</t>
        </is>
      </c>
      <c r="E74" s="37" t="inlineStr">
        <is>
          <t>Maintain and test: confirm statements are delivered, not merely stored</t>
        </is>
      </c>
      <c r="F74" s="37" t="inlineStr">
        <is>
          <t>The selected response reports an established and checked practice. The tool has not inspected the evidence and cannot certify the absence of risk.</t>
        </is>
      </c>
      <c r="G74" s="37" t="inlineStr">
        <is>
          <t>A contract pack may not deliver every required information statement at the right time.</t>
        </is>
      </c>
      <c r="H74" s="37" t="inlineStr">
        <is>
          <t>Employment information obligations</t>
        </is>
      </c>
      <c r="I74" s="48" t="n">
        <v>2</v>
      </c>
      <c r="J74" s="48" t="n">
        <v>1</v>
      </c>
      <c r="K74" s="48" t="n">
        <v>1</v>
      </c>
      <c r="L74" s="37" t="inlineStr">
        <is>
          <t>Lower reported concern, not a finding of no risk. The assumed controls are self-reported; a current incident, contrary evidence or failed control takes precedence.</t>
        </is>
      </c>
      <c r="M74" s="37" t="inlineStr">
        <is>
          <t>Maintain the practice described. At the next relevant review, check a recent starter file for the actual version and delivery record, not merely a tick against the onboarding task.</t>
        </is>
      </c>
      <c r="N74" s="37" t="inlineStr">
        <is>
          <t>Check whether changes in work, people or applicable requirements have made the original process less reliable.</t>
        </is>
      </c>
      <c r="O74" s="37" t="inlineStr">
        <is>
          <t>Retain the review outcome and act on any new exception. An unresolved live issue overrides this maintenance pathway.</t>
        </is>
      </c>
      <c r="P74" s="37" t="inlineStr">
        <is>
          <t>Maintain at the stated trigger; for a new low-priority improvement, plan within 90 days.</t>
        </is>
      </c>
      <c r="Q74" s="37" t="inlineStr">
        <is>
          <t>A current example of the practice and a proportionate recheck record. An onboarding delivery record, with additional reminders where the employment type requires them.</t>
        </is>
      </c>
      <c r="R74" s="37" t="inlineStr">
        <is>
          <t>An onboarding delivery record, with additional reminders where the employment type requires them.</t>
        </is>
      </c>
      <c r="S74" s="37" t="inlineStr">
        <is>
          <t>New starters and revised statement versions.</t>
        </is>
      </c>
      <c r="T74" s="37" t="inlineStr">
        <is>
          <t>Hiring manager / coordinator</t>
        </is>
      </c>
      <c r="U74" s="37" t="inlineStr">
        <is>
          <t>No further purchase is implied by this result. Seek support only for a material change, unresolved exception or chosen improvement.</t>
        </is>
      </c>
      <c r="V74" s="37" t="inlineStr">
        <is>
          <t>START_SAFE</t>
        </is>
      </c>
      <c r="W74" s="37" t="inlineStr">
        <is>
          <t>A_ONB02</t>
        </is>
      </c>
      <c r="X74" s="37" t="inlineStr">
        <is>
          <t>S04;S09;S14;DESIGN</t>
        </is>
      </c>
      <c r="Y74" s="37"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Z74" s="37" t="inlineStr">
        <is>
          <t>Assuming the payroll provider, recruiter or manager has already sent it.</t>
        </is>
      </c>
    </row>
    <row r="75" ht="106" customHeight="1">
      <c r="A75" s="38" t="inlineStr">
        <is>
          <t>ONB02_DK</t>
        </is>
      </c>
      <c r="B75" s="38" t="inlineStr">
        <is>
          <t>ONB02</t>
        </is>
      </c>
      <c r="C75" s="38" t="inlineStr">
        <is>
          <t>DK</t>
        </is>
      </c>
      <c r="D75" s="38" t="inlineStr">
        <is>
          <t>I need to confirm this.</t>
        </is>
      </c>
      <c r="E75" s="38" t="inlineStr">
        <is>
          <t>Verify: confirm statements are delivered, not merely stored</t>
        </is>
      </c>
      <c r="F75" s="38" t="inlineStr">
        <is>
          <t>This answer identifies a knowledge gap. It does not establish that the practice is missing, that harm has occurred or that a legal duty has been breached.</t>
        </is>
      </c>
      <c r="G75" s="38" t="inlineStr">
        <is>
          <t>A contract pack may not deliver every required information statement at the right time.</t>
        </is>
      </c>
      <c r="H75" s="38" t="inlineStr">
        <is>
          <t>Employment information obligations</t>
        </is>
      </c>
      <c r="I75" s="49" t="n">
        <v>2</v>
      </c>
      <c r="J75" s="49" t="n">
        <v>0</v>
      </c>
      <c r="K75" s="49" t="n">
        <v>2</v>
      </c>
      <c r="L75" s="38" t="inlineStr">
        <is>
          <t>The risk is not rated from an unknown answer. Verification is Medium priority because: A contract pack may not deliver every required information statement at the right time.</t>
        </is>
      </c>
      <c r="M75" s="38" t="inlineStr">
        <is>
          <t>Ask the hiring manager / coordinator to show a current example of the process and the evidence listed below. Confirm the answer before deciding what must be repaired.</t>
        </is>
      </c>
      <c r="N75" s="38" t="inlineStr">
        <is>
          <t>Compare the example with the established-practice description: We provide the current required statements at the relevant time and retain a record of delivery.</t>
        </is>
      </c>
      <c r="O75" s="38" t="inlineStr">
        <is>
          <t>Record what was checked, by whom and when. If it remains unclear, keep the verification task open and agree any proportionate interim safeguard.</t>
        </is>
      </c>
      <c r="P75" s="38" t="inlineStr">
        <is>
          <t>Agree an owner and plan within 30 days, or before the next affected event if earlier.</t>
        </is>
      </c>
      <c r="Q75" s="38" t="inlineStr">
        <is>
          <t>A dated verification record, the supporting example, an updated answer and any remaining action. No automatic compliance conclusion.</t>
        </is>
      </c>
      <c r="R75" s="38" t="inlineStr">
        <is>
          <t>An onboarding delivery record, with additional reminders where the employment type requires them.</t>
        </is>
      </c>
      <c r="S75" s="38" t="inlineStr">
        <is>
          <t>New starters and revised statement versions.</t>
        </is>
      </c>
      <c r="T75" s="38" t="inlineStr">
        <is>
          <t>Hiring manager / coordinator</t>
        </is>
      </c>
      <c r="U75" s="38" t="inlineStr">
        <is>
          <t>Practical onboarding workflow and required-information controls.</t>
        </is>
      </c>
      <c r="V75" s="38" t="inlineStr">
        <is>
          <t>START_SAFE</t>
        </is>
      </c>
      <c r="W75" s="38" t="inlineStr">
        <is>
          <t>A_ONB02</t>
        </is>
      </c>
      <c r="X75" s="38" t="inlineStr">
        <is>
          <t>S04;S09;S14;DESIGN</t>
        </is>
      </c>
      <c r="Y75" s="38"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c r="Z75" s="38" t="inlineStr">
        <is>
          <t>Assuming the payroll provider, recruiter or manager has already sent it.</t>
        </is>
      </c>
    </row>
    <row r="76" ht="91" customHeight="1">
      <c r="A76" s="37" t="inlineStr">
        <is>
          <t>ONB03_0</t>
        </is>
      </c>
      <c r="B76" s="37" t="inlineStr">
        <is>
          <t>ONB03</t>
        </is>
      </c>
      <c r="C76" s="48" t="n">
        <v>0</v>
      </c>
      <c r="D76" s="37" t="inlineStr">
        <is>
          <t>New starters are largely expected to work things out themselves.</t>
        </is>
      </c>
      <c r="E76" s="37" t="inlineStr">
        <is>
          <t>Turn induction into a supported start</t>
        </is>
      </c>
      <c r="F76" s="37" t="inlineStr">
        <is>
          <t>The selected response reports a missing or unestablished element. Confirm the affected arrangements before drawing a conclusion about any actual breach or harm.</t>
        </is>
      </c>
      <c r="G76" s="37" t="inlineStr">
        <is>
          <t>A completed induction checklist does not establish that a person can safely perform the work or knows when to ask for help.</t>
        </is>
      </c>
      <c r="H76" s="37" t="inlineStr">
        <is>
          <t>Safe work and early capability</t>
        </is>
      </c>
      <c r="I76" s="48" t="n">
        <v>3</v>
      </c>
      <c r="J76" s="48" t="n">
        <v>3</v>
      </c>
      <c r="K76" s="48" t="n">
        <v>3</v>
      </c>
      <c r="L76" s="37" t="inlineStr">
        <is>
          <t>High provisional concern: an essential element remains unresolved. A completed induction checklist does not establish that a person can safely perform the work or knows when to ask for help.</t>
        </is>
      </c>
      <c r="M76" s="37" t="inlineStr">
        <is>
          <t>For the next starter, identify what they must know before working independently and who will confirm it. Schedule a first-week and early-role check-in.</t>
        </is>
      </c>
      <c r="N76" s="37" t="inlineStr">
        <is>
          <t>Set role-specific learning and safety checks, a named support person and an early follow-up date.</t>
        </is>
      </c>
      <c r="O76" s="37" t="inlineStr">
        <is>
          <t>Ask the starter to explain or demonstrate critical tasks and reporting routes; address any gap before unsupported work.</t>
        </is>
      </c>
      <c r="P76" s="37" t="inlineStr">
        <is>
          <t>Review or verify within two business days and before the next affected event if earlier. Do not wait where a duty or current harm requires earlier action.</t>
        </is>
      </c>
      <c r="Q76" s="37" t="inlineStr">
        <is>
          <t>The new starter has completed the role-relevant induction, demonstrated the required understanding or capability and received follow-up support. Unresolved safety or capability restrictions remain active until addressed. Confirm that the change works in practice, not only that a document exists.</t>
        </is>
      </c>
      <c r="R76" s="37" t="inlineStr">
        <is>
          <t>The new starter has completed the role-relevant induction, demonstrated the required understanding or capability and received follow-up support. Unresolved safety or capability restrictions remain active until addressed.</t>
        </is>
      </c>
      <c r="S76" s="37" t="inlineStr">
        <is>
          <t>A new starter, unfamiliar task or early incident.</t>
        </is>
      </c>
      <c r="T76" s="37" t="inlineStr">
        <is>
          <t>Hiring manager / coordinator</t>
        </is>
      </c>
      <c r="U76" s="37" t="inlineStr">
        <is>
          <t>Practical onboarding workflow and required-information controls.</t>
        </is>
      </c>
      <c r="V76" s="37" t="inlineStr">
        <is>
          <t>START_SAFE</t>
        </is>
      </c>
      <c r="W76" s="37" t="inlineStr">
        <is>
          <t>A_ONB03</t>
        </is>
      </c>
      <c r="X76" s="37" t="inlineStr">
        <is>
          <t>S13;S27;DESIGN</t>
        </is>
      </c>
      <c r="Y76" s="37" t="inlineStr">
        <is>
          <t>https://www.safeworkaustralia.gov.au/safety-topic/managing-health-and-safety/identify-assess-and-control-hazards/managing-risks
https://www.fairwork.gov.au/sites/default/files/migration/711/managing-underperformance-best-practice-guide.pdf</t>
        </is>
      </c>
      <c r="Z76" s="37" t="inlineStr">
        <is>
          <t>Treating online-module completion as sufficient evidence of practical readiness.</t>
        </is>
      </c>
    </row>
    <row r="77" ht="91" customHeight="1">
      <c r="A77" s="38" t="inlineStr">
        <is>
          <t>ONB03_1</t>
        </is>
      </c>
      <c r="B77" s="38" t="inlineStr">
        <is>
          <t>ONB03</t>
        </is>
      </c>
      <c r="C77" s="49" t="n">
        <v>1</v>
      </c>
      <c r="D77" s="38" t="inlineStr">
        <is>
          <t>We cover practical basics, but training and follow-up depend on who is available.</t>
        </is>
      </c>
      <c r="E77" s="38" t="inlineStr">
        <is>
          <t>Turn induction into a supported start</t>
        </is>
      </c>
      <c r="F77" s="38" t="inlineStr">
        <is>
          <t>The selected response relies on assumptions, informal decisions or an inconsistent process. The action is to make the relevant check reliable in routine work.</t>
        </is>
      </c>
      <c r="G77" s="38" t="inlineStr">
        <is>
          <t>A completed induction checklist does not establish that a person can safely perform the work or knows when to ask for help.</t>
        </is>
      </c>
      <c r="H77" s="38" t="inlineStr">
        <is>
          <t>Safe work and early capability</t>
        </is>
      </c>
      <c r="I77" s="49" t="n">
        <v>3</v>
      </c>
      <c r="J77" s="49" t="n">
        <v>3</v>
      </c>
      <c r="K77" s="49" t="n">
        <v>3</v>
      </c>
      <c r="L77" s="38" t="inlineStr">
        <is>
          <t>High provisional concern: an essential element remains unresolved. A completed induction checklist does not establish that a person can safely perform the work or knows when to ask for help.</t>
        </is>
      </c>
      <c r="M77" s="38" t="inlineStr">
        <is>
          <t>Replace the assumption with a current check. For the next starter, identify what they must know before working independently and who will confirm it. Schedule a first-week and early-role check-in.</t>
        </is>
      </c>
      <c r="N77" s="38" t="inlineStr">
        <is>
          <t>Set role-specific learning and safety checks, a named support person and an early follow-up date.</t>
        </is>
      </c>
      <c r="O77" s="38" t="inlineStr">
        <is>
          <t>Ask the starter to explain or demonstrate critical tasks and reporting routes; address any gap before unsupported work.</t>
        </is>
      </c>
      <c r="P77" s="38" t="inlineStr">
        <is>
          <t>Review or verify within two business days and before the next affected event if earlier. Do not wait where a duty or current harm requires earlier action.</t>
        </is>
      </c>
      <c r="Q77" s="38" t="inlineStr">
        <is>
          <t>The new starter has completed the role-relevant induction, demonstrated the required understanding or capability and received follow-up support. Unresolved safety or capability restrictions remain active until addressed. Confirm that the change works in practice, not only that a document exists.</t>
        </is>
      </c>
      <c r="R77" s="38" t="inlineStr">
        <is>
          <t>The new starter has completed the role-relevant induction, demonstrated the required understanding or capability and received follow-up support. Unresolved safety or capability restrictions remain active until addressed.</t>
        </is>
      </c>
      <c r="S77" s="38" t="inlineStr">
        <is>
          <t>A new starter, unfamiliar task or early incident.</t>
        </is>
      </c>
      <c r="T77" s="38" t="inlineStr">
        <is>
          <t>Hiring manager / coordinator</t>
        </is>
      </c>
      <c r="U77" s="38" t="inlineStr">
        <is>
          <t>Practical onboarding workflow and required-information controls.</t>
        </is>
      </c>
      <c r="V77" s="38" t="inlineStr">
        <is>
          <t>START_SAFE</t>
        </is>
      </c>
      <c r="W77" s="38" t="inlineStr">
        <is>
          <t>A_ONB03</t>
        </is>
      </c>
      <c r="X77" s="38" t="inlineStr">
        <is>
          <t>S13;S27;DESIGN</t>
        </is>
      </c>
      <c r="Y77" s="38" t="inlineStr">
        <is>
          <t>https://www.safeworkaustralia.gov.au/safety-topic/managing-health-and-safety/identify-assess-and-control-hazards/managing-risks
https://www.fairwork.gov.au/sites/default/files/migration/711/managing-underperformance-best-practice-guide.pdf</t>
        </is>
      </c>
      <c r="Z77" s="38" t="inlineStr">
        <is>
          <t>Treating online-module completion as sufficient evidence of practical readiness.</t>
        </is>
      </c>
    </row>
    <row r="78" ht="91" customHeight="1">
      <c r="A78" s="37" t="inlineStr">
        <is>
          <t>ONB03_2</t>
        </is>
      </c>
      <c r="B78" s="37" t="inlineStr">
        <is>
          <t>ONB03</t>
        </is>
      </c>
      <c r="C78" s="48" t="n">
        <v>2</v>
      </c>
      <c r="D78" s="37" t="inlineStr">
        <is>
          <t>We use an induction plan, but understanding or follow-up is not consistently checked.</t>
        </is>
      </c>
      <c r="E78" s="37" t="inlineStr">
        <is>
          <t>Complete the remaining check: turn induction into a supported start</t>
        </is>
      </c>
      <c r="F78" s="37" t="inlineStr">
        <is>
          <t>The selected response identifies an incomplete element within an existing practice. Keep what works and target the unresolved part; the stronger elements do not cancel the gap.</t>
        </is>
      </c>
      <c r="G78" s="37" t="inlineStr">
        <is>
          <t>A completed induction checklist does not establish that a person can safely perform the work or knows when to ask for help.</t>
        </is>
      </c>
      <c r="H78" s="37" t="inlineStr">
        <is>
          <t>Safe work and early capability</t>
        </is>
      </c>
      <c r="I78" s="48" t="n">
        <v>3</v>
      </c>
      <c r="J78" s="48" t="n">
        <v>2</v>
      </c>
      <c r="K78" s="48" t="n">
        <v>2</v>
      </c>
      <c r="L78" s="37" t="inlineStr">
        <is>
          <t>Medium provisional concern: a material practice needs improvement. A completed induction checklist does not establish that a person can safely perform the work or knows when to ask for help.</t>
        </is>
      </c>
      <c r="M78" s="37" t="inlineStr">
        <is>
          <t>Focus on the unresolved arrangements or exceptions. For the next starter, identify what they must know before working independently and who will confirm it. Schedule a first-week and early-role check-in.</t>
        </is>
      </c>
      <c r="N78" s="37" t="inlineStr">
        <is>
          <t>Set role-specific learning and safety checks, a named support person and an early follow-up date.</t>
        </is>
      </c>
      <c r="O78" s="37" t="inlineStr">
        <is>
          <t>Ask the starter to explain or demonstrate critical tasks and reporting routes; address any gap before unsupported work.</t>
        </is>
      </c>
      <c r="P78" s="37" t="inlineStr">
        <is>
          <t>Agree an owner and plan within 30 days, or before the next affected event if earlier.</t>
        </is>
      </c>
      <c r="Q78" s="37" t="inlineStr">
        <is>
          <t>The new starter has completed the role-relevant induction, demonstrated the required understanding or capability and received follow-up support. Unresolved safety or capability restrictions remain active until addressed. Confirm that the change works in practice, not only that a document exists.</t>
        </is>
      </c>
      <c r="R78" s="37" t="inlineStr">
        <is>
          <t>The new starter has completed the role-relevant induction, demonstrated the required understanding or capability and received follow-up support. Unresolved safety or capability restrictions remain active until addressed.</t>
        </is>
      </c>
      <c r="S78" s="37" t="inlineStr">
        <is>
          <t>A new starter, unfamiliar task or early incident.</t>
        </is>
      </c>
      <c r="T78" s="37" t="inlineStr">
        <is>
          <t>Hiring manager / coordinator</t>
        </is>
      </c>
      <c r="U78" s="37" t="inlineStr">
        <is>
          <t>Practical onboarding workflow and required-information controls.</t>
        </is>
      </c>
      <c r="V78" s="37" t="inlineStr">
        <is>
          <t>START_SAFE</t>
        </is>
      </c>
      <c r="W78" s="37" t="inlineStr">
        <is>
          <t>A_ONB03</t>
        </is>
      </c>
      <c r="X78" s="37" t="inlineStr">
        <is>
          <t>S13;S27;DESIGN</t>
        </is>
      </c>
      <c r="Y78" s="37" t="inlineStr">
        <is>
          <t>https://www.safeworkaustralia.gov.au/safety-topic/managing-health-and-safety/identify-assess-and-control-hazards/managing-risks
https://www.fairwork.gov.au/sites/default/files/migration/711/managing-underperformance-best-practice-guide.pdf</t>
        </is>
      </c>
      <c r="Z78" s="37" t="inlineStr">
        <is>
          <t>Treating online-module completion as sufficient evidence of practical readiness.</t>
        </is>
      </c>
    </row>
    <row r="79" ht="91" customHeight="1">
      <c r="A79" s="38" t="inlineStr">
        <is>
          <t>ONB03_3</t>
        </is>
      </c>
      <c r="B79" s="38" t="inlineStr">
        <is>
          <t>ONB03</t>
        </is>
      </c>
      <c r="C79" s="49" t="n">
        <v>3</v>
      </c>
      <c r="D79" s="38" t="inlineStr">
        <is>
          <t>We provide a role-appropriate induction, check understanding and schedule early follow-up on capability and support.</t>
        </is>
      </c>
      <c r="E79" s="38" t="inlineStr">
        <is>
          <t>Maintain and test: turn induction into a supported start</t>
        </is>
      </c>
      <c r="F79" s="38" t="inlineStr">
        <is>
          <t>The selected response reports an established and checked practice. The tool has not inspected the evidence and cannot certify the absence of risk.</t>
        </is>
      </c>
      <c r="G79" s="38" t="inlineStr">
        <is>
          <t>A completed induction checklist does not establish that a person can safely perform the work or knows when to ask for help.</t>
        </is>
      </c>
      <c r="H79" s="38" t="inlineStr">
        <is>
          <t>Safe work and early capability</t>
        </is>
      </c>
      <c r="I79" s="49" t="n">
        <v>3</v>
      </c>
      <c r="J79" s="49" t="n">
        <v>1</v>
      </c>
      <c r="K79" s="49" t="n">
        <v>1</v>
      </c>
      <c r="L79" s="38" t="inlineStr">
        <is>
          <t>Lower reported concern, not a finding of no risk. The assumed controls are self-reported; a current incident, contrary evidence or failed control takes precedence.</t>
        </is>
      </c>
      <c r="M79" s="38" t="inlineStr">
        <is>
          <t>Maintain the practice described. At the next relevant review, ask the starter to explain or demonstrate critical tasks and reporting routes; address any gap before unsupported work.</t>
        </is>
      </c>
      <c r="N79" s="38" t="inlineStr">
        <is>
          <t>Check whether changes in work, people or applicable requirements have made the original process less reliable.</t>
        </is>
      </c>
      <c r="O79" s="38" t="inlineStr">
        <is>
          <t>Retain the review outcome and act on any new exception. An unresolved live issue overrides this maintenance pathway.</t>
        </is>
      </c>
      <c r="P79" s="38" t="inlineStr">
        <is>
          <t>Maintain at the stated trigger; for a new low-priority improvement, plan within 90 days.</t>
        </is>
      </c>
      <c r="Q79" s="38" t="inlineStr">
        <is>
          <t>A current example of the practice and a proportionate recheck record. The new starter has completed the role-relevant induction, demonstrated the required understanding or capability and received follow-up support. Unresolved safety or capability restrictions remain active until addressed.</t>
        </is>
      </c>
      <c r="R79" s="38" t="inlineStr">
        <is>
          <t>The new starter has completed the role-relevant induction, demonstrated the required understanding or capability and received follow-up support. Unresolved safety or capability restrictions remain active until addressed.</t>
        </is>
      </c>
      <c r="S79" s="38" t="inlineStr">
        <is>
          <t>A new starter, unfamiliar task or early incident.</t>
        </is>
      </c>
      <c r="T79" s="38" t="inlineStr">
        <is>
          <t>Hiring manager / coordinator</t>
        </is>
      </c>
      <c r="U79" s="38" t="inlineStr">
        <is>
          <t>No further purchase is implied by this result. Seek support only for a material change, unresolved exception or chosen improvement.</t>
        </is>
      </c>
      <c r="V79" s="38" t="inlineStr">
        <is>
          <t>START_SAFE</t>
        </is>
      </c>
      <c r="W79" s="38" t="inlineStr">
        <is>
          <t>A_ONB03</t>
        </is>
      </c>
      <c r="X79" s="38" t="inlineStr">
        <is>
          <t>S13;S27;DESIGN</t>
        </is>
      </c>
      <c r="Y79" s="38" t="inlineStr">
        <is>
          <t>https://www.safeworkaustralia.gov.au/safety-topic/managing-health-and-safety/identify-assess-and-control-hazards/managing-risks
https://www.fairwork.gov.au/sites/default/files/migration/711/managing-underperformance-best-practice-guide.pdf</t>
        </is>
      </c>
      <c r="Z79" s="38" t="inlineStr">
        <is>
          <t>Treating online-module completion as sufficient evidence of practical readiness.</t>
        </is>
      </c>
    </row>
    <row r="80" ht="91" customHeight="1">
      <c r="A80" s="37" t="inlineStr">
        <is>
          <t>ONB03_DK</t>
        </is>
      </c>
      <c r="B80" s="37" t="inlineStr">
        <is>
          <t>ONB03</t>
        </is>
      </c>
      <c r="C80" s="37" t="inlineStr">
        <is>
          <t>DK</t>
        </is>
      </c>
      <c r="D80" s="37" t="inlineStr">
        <is>
          <t>I need to confirm this.</t>
        </is>
      </c>
      <c r="E80" s="37" t="inlineStr">
        <is>
          <t>Verify: turn induction into a supported start</t>
        </is>
      </c>
      <c r="F80" s="37" t="inlineStr">
        <is>
          <t>This answer identifies a knowledge gap. It does not establish that the practice is missing, that harm has occurred or that a legal duty has been breached.</t>
        </is>
      </c>
      <c r="G80" s="37" t="inlineStr">
        <is>
          <t>A completed induction checklist does not establish that a person can safely perform the work or knows when to ask for help.</t>
        </is>
      </c>
      <c r="H80" s="37" t="inlineStr">
        <is>
          <t>Safe work and early capability</t>
        </is>
      </c>
      <c r="I80" s="48" t="n">
        <v>3</v>
      </c>
      <c r="J80" s="48" t="n">
        <v>0</v>
      </c>
      <c r="K80" s="48" t="n">
        <v>3</v>
      </c>
      <c r="L80" s="37" t="inlineStr">
        <is>
          <t>The risk is not rated from an unknown answer. Verification is High priority because: A completed induction checklist does not establish that a person can safely perform the work or knows when to ask for help.</t>
        </is>
      </c>
      <c r="M80" s="37" t="inlineStr">
        <is>
          <t>Ask the hiring manager / coordinator to show a current example of the process and the evidence listed below. Confirm the answer before deciding what must be repaired.</t>
        </is>
      </c>
      <c r="N80" s="37" t="inlineStr">
        <is>
          <t>Compare the example with the established-practice description: We provide a role-appropriate induction, check understanding and schedule early follow-up on capability and support.</t>
        </is>
      </c>
      <c r="O80" s="37" t="inlineStr">
        <is>
          <t>Record what was checked, by whom and when. If it remains unclear, keep the verification task open and agree any proportionate interim safeguard.</t>
        </is>
      </c>
      <c r="P80" s="37" t="inlineStr">
        <is>
          <t>Review or verify within two business days and before the next affected event if earlier. Do not wait where a duty or current harm requires earlier action.</t>
        </is>
      </c>
      <c r="Q80" s="37" t="inlineStr">
        <is>
          <t>A dated verification record, the supporting example, an updated answer and any remaining action. No automatic compliance conclusion.</t>
        </is>
      </c>
      <c r="R80" s="37" t="inlineStr">
        <is>
          <t>The new starter has completed the role-relevant induction, demonstrated the required understanding or capability and received follow-up support. Unresolved safety or capability restrictions remain active until addressed.</t>
        </is>
      </c>
      <c r="S80" s="37" t="inlineStr">
        <is>
          <t>A new starter, unfamiliar task or early incident.</t>
        </is>
      </c>
      <c r="T80" s="37" t="inlineStr">
        <is>
          <t>Hiring manager / coordinator</t>
        </is>
      </c>
      <c r="U80" s="37" t="inlineStr">
        <is>
          <t>Practical onboarding workflow and required-information controls.</t>
        </is>
      </c>
      <c r="V80" s="37" t="inlineStr">
        <is>
          <t>START_SAFE</t>
        </is>
      </c>
      <c r="W80" s="37" t="inlineStr">
        <is>
          <t>A_ONB03</t>
        </is>
      </c>
      <c r="X80" s="37" t="inlineStr">
        <is>
          <t>S13;S27;DESIGN</t>
        </is>
      </c>
      <c r="Y80" s="37" t="inlineStr">
        <is>
          <t>https://www.safeworkaustralia.gov.au/safety-topic/managing-health-and-safety/identify-assess-and-control-hazards/managing-risks
https://www.fairwork.gov.au/sites/default/files/migration/711/managing-underperformance-best-practice-guide.pdf</t>
        </is>
      </c>
      <c r="Z80" s="37" t="inlineStr">
        <is>
          <t>Treating online-module completion as sufficient evidence of practical readiness.</t>
        </is>
      </c>
    </row>
    <row r="81" ht="166" customHeight="1">
      <c r="A81" s="38" t="inlineStr">
        <is>
          <t>POL01_0</t>
        </is>
      </c>
      <c r="B81" s="38" t="inlineStr">
        <is>
          <t>POL01</t>
        </is>
      </c>
      <c r="C81" s="49" t="n">
        <v>0</v>
      </c>
      <c r="D81" s="38" t="inlineStr">
        <is>
          <t>Key workplace expectations and processes are not clearly documented.</t>
        </is>
      </c>
      <c r="E81" s="38" t="inlineStr">
        <is>
          <t>Keep the policies that help people make the right decision</t>
        </is>
      </c>
      <c r="F81" s="38" t="inlineStr">
        <is>
          <t>The selected response reports a missing or unestablished element. Confirm the affected arrangements before drawing a conclusion about any actual breach or harm.</t>
        </is>
      </c>
      <c r="G81" s="38" t="inlineStr">
        <is>
          <t>Generic or inaccessible policies can leave employees and managers without a reliable guide to important decisions.</t>
        </is>
      </c>
      <c r="H81" s="38" t="inlineStr">
        <is>
          <t>Usable workplace standards</t>
        </is>
      </c>
      <c r="I81" s="49" t="n">
        <v>2</v>
      </c>
      <c r="J81" s="49" t="n">
        <v>2</v>
      </c>
      <c r="K81" s="49" t="n">
        <v>2</v>
      </c>
      <c r="L81" s="38" t="inlineStr">
        <is>
          <t>Medium provisional concern: a material practice needs improvement. Generic or inaccessible policies can leave employees and managers without a reliable guide to important decisions.</t>
        </is>
      </c>
      <c r="M81" s="38" t="inlineStr">
        <is>
          <t>Identify the decisions managers and employees regularly need to make. Check that the relevant policies are current, understandable and easy to find.</t>
        </is>
      </c>
      <c r="N81" s="38" t="inlineStr">
        <is>
          <t>Identify the small set of policies needed for the actual work and obligations. Allocate an owner and remove outdated competing versions.</t>
        </is>
      </c>
      <c r="O81" s="38" t="inlineStr">
        <is>
          <t>Test whether a worker and a manager can find the current policy and explain what they would do in a realistic situation.</t>
        </is>
      </c>
      <c r="P81" s="38" t="inlineStr">
        <is>
          <t>Agree an owner and plan within 30 days, or before the next affected event if earlier.</t>
        </is>
      </c>
      <c r="Q81" s="38" t="inlineStr">
        <is>
          <t>A proportionate policy register with owners, current versions and accessible locations. Confirm that the change works in practice, not only that a document exists.</t>
        </is>
      </c>
      <c r="R81" s="38" t="inlineStr">
        <is>
          <t>A proportionate policy register with owners, current versions and accessible locations.</t>
        </is>
      </c>
      <c r="S81" s="38" t="inlineStr">
        <is>
          <t>Changed work, law, workforce or repeated uncertainty about a process.</t>
        </is>
      </c>
      <c r="T81" s="38" t="inlineStr">
        <is>
          <t>Owner / HR lead</t>
        </is>
      </c>
      <c r="U81" s="38" t="inlineStr">
        <is>
          <t>Proportionate policy review and manager implementation support.</t>
        </is>
      </c>
      <c r="V81" s="38" t="inlineStr">
        <is>
          <t>POLICY</t>
        </is>
      </c>
      <c r="W81" s="38" t="inlineStr">
        <is>
          <t>A_POL01</t>
        </is>
      </c>
      <c r="X81" s="38" t="inlineStr">
        <is>
          <t>S10;S13;S15;DESIGN</t>
        </is>
      </c>
      <c r="Y81" s="38"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Z81" s="38" t="inlineStr">
        <is>
          <t>Measuring quality by the size of the handbook or the number of policies.</t>
        </is>
      </c>
    </row>
    <row r="82" ht="166" customHeight="1">
      <c r="A82" s="37" t="inlineStr">
        <is>
          <t>POL01_1</t>
        </is>
      </c>
      <c r="B82" s="37" t="inlineStr">
        <is>
          <t>POL01</t>
        </is>
      </c>
      <c r="C82" s="48" t="n">
        <v>1</v>
      </c>
      <c r="D82" s="37" t="inlineStr">
        <is>
          <t>We use generic documents that have not been checked against our work.</t>
        </is>
      </c>
      <c r="E82" s="37" t="inlineStr">
        <is>
          <t>Keep the policies that help people make the right decision</t>
        </is>
      </c>
      <c r="F82" s="37" t="inlineStr">
        <is>
          <t>The selected response relies on assumptions, informal decisions or an inconsistent process. The action is to make the relevant check reliable in routine work.</t>
        </is>
      </c>
      <c r="G82" s="37" t="inlineStr">
        <is>
          <t>Generic or inaccessible policies can leave employees and managers without a reliable guide to important decisions.</t>
        </is>
      </c>
      <c r="H82" s="37" t="inlineStr">
        <is>
          <t>Usable workplace standards</t>
        </is>
      </c>
      <c r="I82" s="48" t="n">
        <v>2</v>
      </c>
      <c r="J82" s="48" t="n">
        <v>2</v>
      </c>
      <c r="K82" s="48" t="n">
        <v>2</v>
      </c>
      <c r="L82" s="37" t="inlineStr">
        <is>
          <t>Medium provisional concern: a material practice needs improvement. Generic or inaccessible policies can leave employees and managers without a reliable guide to important decisions.</t>
        </is>
      </c>
      <c r="M82" s="37" t="inlineStr">
        <is>
          <t>Replace the assumption with a current check. Identify the decisions managers and employees regularly need to make. Check that the relevant policies are current, understandable and easy to find.</t>
        </is>
      </c>
      <c r="N82" s="37" t="inlineStr">
        <is>
          <t>Identify the small set of policies needed for the actual work and obligations. Allocate an owner and remove outdated competing versions.</t>
        </is>
      </c>
      <c r="O82" s="37" t="inlineStr">
        <is>
          <t>Test whether a worker and a manager can find the current policy and explain what they would do in a realistic situation.</t>
        </is>
      </c>
      <c r="P82" s="37" t="inlineStr">
        <is>
          <t>Agree an owner and plan within 30 days, or before the next affected event if earlier.</t>
        </is>
      </c>
      <c r="Q82" s="37" t="inlineStr">
        <is>
          <t>A proportionate policy register with owners, current versions and accessible locations. Confirm that the change works in practice, not only that a document exists.</t>
        </is>
      </c>
      <c r="R82" s="37" t="inlineStr">
        <is>
          <t>A proportionate policy register with owners, current versions and accessible locations.</t>
        </is>
      </c>
      <c r="S82" s="37" t="inlineStr">
        <is>
          <t>Changed work, law, workforce or repeated uncertainty about a process.</t>
        </is>
      </c>
      <c r="T82" s="37" t="inlineStr">
        <is>
          <t>Owner / HR lead</t>
        </is>
      </c>
      <c r="U82" s="37" t="inlineStr">
        <is>
          <t>Proportionate policy review and manager implementation support.</t>
        </is>
      </c>
      <c r="V82" s="37" t="inlineStr">
        <is>
          <t>POLICY</t>
        </is>
      </c>
      <c r="W82" s="37" t="inlineStr">
        <is>
          <t>A_POL01</t>
        </is>
      </c>
      <c r="X82" s="37" t="inlineStr">
        <is>
          <t>S10;S13;S15;DESIGN</t>
        </is>
      </c>
      <c r="Y82" s="37"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Z82" s="37" t="inlineStr">
        <is>
          <t>Measuring quality by the size of the handbook or the number of policies.</t>
        </is>
      </c>
    </row>
    <row r="83" ht="166" customHeight="1">
      <c r="A83" s="38" t="inlineStr">
        <is>
          <t>POL01_2</t>
        </is>
      </c>
      <c r="B83" s="38" t="inlineStr">
        <is>
          <t>POL01</t>
        </is>
      </c>
      <c r="C83" s="49" t="n">
        <v>2</v>
      </c>
      <c r="D83" s="38" t="inlineStr">
        <is>
          <t>We have relevant policies, but ownership, updates or accessibility are inconsistent.</t>
        </is>
      </c>
      <c r="E83" s="38" t="inlineStr">
        <is>
          <t>Complete the remaining check: keep the policies that help people make the right decision</t>
        </is>
      </c>
      <c r="F83" s="38" t="inlineStr">
        <is>
          <t>The selected response identifies an incomplete element within an existing practice. Keep what works and target the unresolved part; the stronger elements do not cancel the gap.</t>
        </is>
      </c>
      <c r="G83" s="38" t="inlineStr">
        <is>
          <t>Generic or inaccessible policies can leave employees and managers without a reliable guide to important decisions.</t>
        </is>
      </c>
      <c r="H83" s="38" t="inlineStr">
        <is>
          <t>Usable workplace standards</t>
        </is>
      </c>
      <c r="I83" s="49" t="n">
        <v>2</v>
      </c>
      <c r="J83" s="49" t="n">
        <v>2</v>
      </c>
      <c r="K83" s="49" t="n">
        <v>2</v>
      </c>
      <c r="L83" s="38" t="inlineStr">
        <is>
          <t>Medium provisional concern: a material practice needs improvement. Generic or inaccessible policies can leave employees and managers without a reliable guide to important decisions.</t>
        </is>
      </c>
      <c r="M83" s="38" t="inlineStr">
        <is>
          <t>Focus on the unresolved arrangements or exceptions. Identify the decisions managers and employees regularly need to make. Check that the relevant policies are current, understandable and easy to find.</t>
        </is>
      </c>
      <c r="N83" s="38" t="inlineStr">
        <is>
          <t>Identify the small set of policies needed for the actual work and obligations. Allocate an owner and remove outdated competing versions.</t>
        </is>
      </c>
      <c r="O83" s="38" t="inlineStr">
        <is>
          <t>Test whether a worker and a manager can find the current policy and explain what they would do in a realistic situation.</t>
        </is>
      </c>
      <c r="P83" s="38" t="inlineStr">
        <is>
          <t>Agree an owner and plan within 30 days, or before the next affected event if earlier.</t>
        </is>
      </c>
      <c r="Q83" s="38" t="inlineStr">
        <is>
          <t>A proportionate policy register with owners, current versions and accessible locations. Confirm that the change works in practice, not only that a document exists.</t>
        </is>
      </c>
      <c r="R83" s="38" t="inlineStr">
        <is>
          <t>A proportionate policy register with owners, current versions and accessible locations.</t>
        </is>
      </c>
      <c r="S83" s="38" t="inlineStr">
        <is>
          <t>Changed work, law, workforce or repeated uncertainty about a process.</t>
        </is>
      </c>
      <c r="T83" s="38" t="inlineStr">
        <is>
          <t>Owner / HR lead</t>
        </is>
      </c>
      <c r="U83" s="38" t="inlineStr">
        <is>
          <t>Proportionate policy review and manager implementation support.</t>
        </is>
      </c>
      <c r="V83" s="38" t="inlineStr">
        <is>
          <t>POLICY</t>
        </is>
      </c>
      <c r="W83" s="38" t="inlineStr">
        <is>
          <t>A_POL01</t>
        </is>
      </c>
      <c r="X83" s="38" t="inlineStr">
        <is>
          <t>S10;S13;S15;DESIGN</t>
        </is>
      </c>
      <c r="Y83" s="38"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Z83" s="38" t="inlineStr">
        <is>
          <t>Measuring quality by the size of the handbook or the number of policies.</t>
        </is>
      </c>
    </row>
    <row r="84" ht="166" customHeight="1">
      <c r="A84" s="37" t="inlineStr">
        <is>
          <t>POL01_3</t>
        </is>
      </c>
      <c r="B84" s="37" t="inlineStr">
        <is>
          <t>POL01</t>
        </is>
      </c>
      <c r="C84" s="48" t="n">
        <v>3</v>
      </c>
      <c r="D84" s="37" t="inlineStr">
        <is>
          <t>Our policies address the business's actual requirements, are accessible and have a named owner and review process.</t>
        </is>
      </c>
      <c r="E84" s="37" t="inlineStr">
        <is>
          <t>Maintain and test: keep the policies that help people make the right decision</t>
        </is>
      </c>
      <c r="F84" s="37" t="inlineStr">
        <is>
          <t>The selected response reports an established and checked practice. The tool has not inspected the evidence and cannot certify the absence of risk.</t>
        </is>
      </c>
      <c r="G84" s="37" t="inlineStr">
        <is>
          <t>Generic or inaccessible policies can leave employees and managers without a reliable guide to important decisions.</t>
        </is>
      </c>
      <c r="H84" s="37" t="inlineStr">
        <is>
          <t>Usable workplace standards</t>
        </is>
      </c>
      <c r="I84" s="48" t="n">
        <v>2</v>
      </c>
      <c r="J84" s="48" t="n">
        <v>1</v>
      </c>
      <c r="K84" s="48" t="n">
        <v>1</v>
      </c>
      <c r="L84" s="37" t="inlineStr">
        <is>
          <t>Lower reported concern, not a finding of no risk. The assumed controls are self-reported; a current incident, contrary evidence or failed control takes precedence.</t>
        </is>
      </c>
      <c r="M84" s="37" t="inlineStr">
        <is>
          <t>Maintain the practice described. At the next relevant review, test whether a worker and a manager can find the current policy and explain what they would do in a realistic situation.</t>
        </is>
      </c>
      <c r="N84" s="37" t="inlineStr">
        <is>
          <t>Check whether changes in work, people or applicable requirements have made the original process less reliable.</t>
        </is>
      </c>
      <c r="O84" s="37" t="inlineStr">
        <is>
          <t>Retain the review outcome and act on any new exception. An unresolved live issue overrides this maintenance pathway.</t>
        </is>
      </c>
      <c r="P84" s="37" t="inlineStr">
        <is>
          <t>Maintain at the stated trigger; for a new low-priority improvement, plan within 90 days.</t>
        </is>
      </c>
      <c r="Q84" s="37" t="inlineStr">
        <is>
          <t>A current example of the practice and a proportionate recheck record. A proportionate policy register with owners, current versions and accessible locations.</t>
        </is>
      </c>
      <c r="R84" s="37" t="inlineStr">
        <is>
          <t>A proportionate policy register with owners, current versions and accessible locations.</t>
        </is>
      </c>
      <c r="S84" s="37" t="inlineStr">
        <is>
          <t>Changed work, law, workforce or repeated uncertainty about a process.</t>
        </is>
      </c>
      <c r="T84" s="37" t="inlineStr">
        <is>
          <t>Owner / HR lead</t>
        </is>
      </c>
      <c r="U84" s="37" t="inlineStr">
        <is>
          <t>No further purchase is implied by this result. Seek support only for a material change, unresolved exception or chosen improvement.</t>
        </is>
      </c>
      <c r="V84" s="37" t="inlineStr">
        <is>
          <t>POLICY</t>
        </is>
      </c>
      <c r="W84" s="37" t="inlineStr">
        <is>
          <t>A_POL01</t>
        </is>
      </c>
      <c r="X84" s="37" t="inlineStr">
        <is>
          <t>S10;S13;S15;DESIGN</t>
        </is>
      </c>
      <c r="Y84" s="37"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Z84" s="37" t="inlineStr">
        <is>
          <t>Measuring quality by the size of the handbook or the number of policies.</t>
        </is>
      </c>
    </row>
    <row r="85" ht="166" customHeight="1">
      <c r="A85" s="38" t="inlineStr">
        <is>
          <t>POL01_DK</t>
        </is>
      </c>
      <c r="B85" s="38" t="inlineStr">
        <is>
          <t>POL01</t>
        </is>
      </c>
      <c r="C85" s="38" t="inlineStr">
        <is>
          <t>DK</t>
        </is>
      </c>
      <c r="D85" s="38" t="inlineStr">
        <is>
          <t>I need to confirm this.</t>
        </is>
      </c>
      <c r="E85" s="38" t="inlineStr">
        <is>
          <t>Verify: keep the policies that help people make the right decision</t>
        </is>
      </c>
      <c r="F85" s="38" t="inlineStr">
        <is>
          <t>This answer identifies a knowledge gap. It does not establish that the practice is missing, that harm has occurred or that a legal duty has been breached.</t>
        </is>
      </c>
      <c r="G85" s="38" t="inlineStr">
        <is>
          <t>Generic or inaccessible policies can leave employees and managers without a reliable guide to important decisions.</t>
        </is>
      </c>
      <c r="H85" s="38" t="inlineStr">
        <is>
          <t>Usable workplace standards</t>
        </is>
      </c>
      <c r="I85" s="49" t="n">
        <v>2</v>
      </c>
      <c r="J85" s="49" t="n">
        <v>0</v>
      </c>
      <c r="K85" s="49" t="n">
        <v>2</v>
      </c>
      <c r="L85" s="38" t="inlineStr">
        <is>
          <t>The risk is not rated from an unknown answer. Verification is Medium priority because: Generic or inaccessible policies can leave employees and managers without a reliable guide to important decisions.</t>
        </is>
      </c>
      <c r="M85" s="38" t="inlineStr">
        <is>
          <t>Ask the owner / hr lead to show a current example of the process and the evidence listed below. Confirm the answer before deciding what must be repaired.</t>
        </is>
      </c>
      <c r="N85" s="38" t="inlineStr">
        <is>
          <t>Compare the example with the established-practice description: Our policies address the business's actual requirements, are accessible and have a named owner and review process.</t>
        </is>
      </c>
      <c r="O85" s="38" t="inlineStr">
        <is>
          <t>Record what was checked, by whom and when. If it remains unclear, keep the verification task open and agree any proportionate interim safeguard.</t>
        </is>
      </c>
      <c r="P85" s="38" t="inlineStr">
        <is>
          <t>Agree an owner and plan within 30 days, or before the next affected event if earlier.</t>
        </is>
      </c>
      <c r="Q85" s="38" t="inlineStr">
        <is>
          <t>A dated verification record, the supporting example, an updated answer and any remaining action. No automatic compliance conclusion.</t>
        </is>
      </c>
      <c r="R85" s="38" t="inlineStr">
        <is>
          <t>A proportionate policy register with owners, current versions and accessible locations.</t>
        </is>
      </c>
      <c r="S85" s="38" t="inlineStr">
        <is>
          <t>Changed work, law, workforce or repeated uncertainty about a process.</t>
        </is>
      </c>
      <c r="T85" s="38" t="inlineStr">
        <is>
          <t>Owner / HR lead</t>
        </is>
      </c>
      <c r="U85" s="38" t="inlineStr">
        <is>
          <t>Proportionate policy review and manager implementation support.</t>
        </is>
      </c>
      <c r="V85" s="38" t="inlineStr">
        <is>
          <t>POLICY</t>
        </is>
      </c>
      <c r="W85" s="38" t="inlineStr">
        <is>
          <t>A_POL01</t>
        </is>
      </c>
      <c r="X85" s="38" t="inlineStr">
        <is>
          <t>S10;S13;S15;DESIGN</t>
        </is>
      </c>
      <c r="Y85" s="38"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c r="Z85" s="38" t="inlineStr">
        <is>
          <t>Measuring quality by the size of the handbook or the number of policies.</t>
        </is>
      </c>
    </row>
    <row r="86" ht="106" customHeight="1">
      <c r="A86" s="37" t="inlineStr">
        <is>
          <t>POL02_0</t>
        </is>
      </c>
      <c r="B86" s="37" t="inlineStr">
        <is>
          <t>POL02</t>
        </is>
      </c>
      <c r="C86" s="48" t="n">
        <v>0</v>
      </c>
      <c r="D86" s="37" t="inlineStr">
        <is>
          <t>Policies are rarely explained or consistently followed.</t>
        </is>
      </c>
      <c r="E86" s="37" t="inlineStr">
        <is>
          <t>Check the distance between the policy and daily practice</t>
        </is>
      </c>
      <c r="F86" s="37" t="inlineStr">
        <is>
          <t>The selected response reports a missing or unestablished element. Confirm the affected arrangements before drawing a conclusion about any actual breach or harm.</t>
        </is>
      </c>
      <c r="G86" s="37" t="inlineStr">
        <is>
          <t>Rules applied selectively can weaken trust and leave decisions difficult to defend, including when a senior employee is involved.</t>
        </is>
      </c>
      <c r="H86" s="37" t="inlineStr">
        <is>
          <t>Consistency and fair treatment</t>
        </is>
      </c>
      <c r="I86" s="48" t="n">
        <v>2</v>
      </c>
      <c r="J86" s="48" t="n">
        <v>2</v>
      </c>
      <c r="K86" s="48" t="n">
        <v>2</v>
      </c>
      <c r="L86" s="37" t="inlineStr">
        <is>
          <t>Medium provisional concern: a material practice needs improvement. Rules applied selectively can weaken trust and leave decisions difficult to defend, including when a senior employee is involved.</t>
        </is>
      </c>
      <c r="M86" s="37" t="inlineStr">
        <is>
          <t>Choose one important policy and review a recent real example of its application. Ask an employee and manager to explain the relevant process.</t>
        </is>
      </c>
      <c r="N86" s="37" t="inlineStr">
        <is>
          <t>Explain the relevant expectations and review a small set of actual decisions or exceptions.</t>
        </is>
      </c>
      <c r="O86" s="37" t="inlineStr">
        <is>
          <t>Address unexplained variation and check later decisions for improved consistency.</t>
        </is>
      </c>
      <c r="P86" s="37" t="inlineStr">
        <is>
          <t>Agree an owner and plan within 30 days, or before the next affected event if earlier.</t>
        </is>
      </c>
      <c r="Q86" s="37" t="inlineStr">
        <is>
          <t>A practical implementation check shows that staff and managers understand the relevant expectations, use the process and handle exceptions consistently. Required guidance or process changes have been implemented and checked. Confirm that the change works in practice, not only that a document exists.</t>
        </is>
      </c>
      <c r="R86" s="37" t="inlineStr">
        <is>
          <t>A practical implementation check shows that staff and managers understand the relevant expectations, use the process and handle exceptions consistently. Required guidance or process changes have been implemented and checked.</t>
        </is>
      </c>
      <c r="S86" s="37" t="inlineStr">
        <is>
          <t>A policy change, exception or repeated manager inconsistency.</t>
        </is>
      </c>
      <c r="T86" s="37" t="inlineStr">
        <is>
          <t>Owner / HR lead</t>
        </is>
      </c>
      <c r="U86" s="37" t="inlineStr">
        <is>
          <t>Proportionate policy review and manager implementation support.</t>
        </is>
      </c>
      <c r="V86" s="37" t="inlineStr">
        <is>
          <t>POLICY</t>
        </is>
      </c>
      <c r="W86" s="37" t="inlineStr">
        <is>
          <t>A_POL02</t>
        </is>
      </c>
      <c r="X86" s="37" t="inlineStr">
        <is>
          <t>S10;S27;DESIGN</t>
        </is>
      </c>
      <c r="Y86"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86" s="37" t="inlineStr">
        <is>
          <t>Treating acknowledgement of receipt as proof of understanding or practice.</t>
        </is>
      </c>
    </row>
    <row r="87" ht="106" customHeight="1">
      <c r="A87" s="38" t="inlineStr">
        <is>
          <t>POL02_1</t>
        </is>
      </c>
      <c r="B87" s="38" t="inlineStr">
        <is>
          <t>POL02</t>
        </is>
      </c>
      <c r="C87" s="49" t="n">
        <v>1</v>
      </c>
      <c r="D87" s="38" t="inlineStr">
        <is>
          <t>We collect acknowledgements, but do not check understanding or application.</t>
        </is>
      </c>
      <c r="E87" s="38" t="inlineStr">
        <is>
          <t>Check the distance between the policy and daily practice</t>
        </is>
      </c>
      <c r="F87" s="38" t="inlineStr">
        <is>
          <t>The selected response relies on assumptions, informal decisions or an inconsistent process. The action is to make the relevant check reliable in routine work.</t>
        </is>
      </c>
      <c r="G87" s="38" t="inlineStr">
        <is>
          <t>Rules applied selectively can weaken trust and leave decisions difficult to defend, including when a senior employee is involved.</t>
        </is>
      </c>
      <c r="H87" s="38" t="inlineStr">
        <is>
          <t>Consistency and fair treatment</t>
        </is>
      </c>
      <c r="I87" s="49" t="n">
        <v>2</v>
      </c>
      <c r="J87" s="49" t="n">
        <v>2</v>
      </c>
      <c r="K87" s="49" t="n">
        <v>2</v>
      </c>
      <c r="L87" s="38" t="inlineStr">
        <is>
          <t>Medium provisional concern: a material practice needs improvement. Rules applied selectively can weaken trust and leave decisions difficult to defend, including when a senior employee is involved.</t>
        </is>
      </c>
      <c r="M87" s="38" t="inlineStr">
        <is>
          <t>Replace the assumption with a current check. Choose one important policy and review a recent real example of its application. Ask an employee and manager to explain the relevant process.</t>
        </is>
      </c>
      <c r="N87" s="38" t="inlineStr">
        <is>
          <t>Explain the relevant expectations and review a small set of actual decisions or exceptions.</t>
        </is>
      </c>
      <c r="O87" s="38" t="inlineStr">
        <is>
          <t>Address unexplained variation and check later decisions for improved consistency.</t>
        </is>
      </c>
      <c r="P87" s="38" t="inlineStr">
        <is>
          <t>Agree an owner and plan within 30 days, or before the next affected event if earlier.</t>
        </is>
      </c>
      <c r="Q87" s="38" t="inlineStr">
        <is>
          <t>A practical implementation check shows that staff and managers understand the relevant expectations, use the process and handle exceptions consistently. Required guidance or process changes have been implemented and checked. Confirm that the change works in practice, not only that a document exists.</t>
        </is>
      </c>
      <c r="R87" s="38" t="inlineStr">
        <is>
          <t>A practical implementation check shows that staff and managers understand the relevant expectations, use the process and handle exceptions consistently. Required guidance or process changes have been implemented and checked.</t>
        </is>
      </c>
      <c r="S87" s="38" t="inlineStr">
        <is>
          <t>A policy change, exception or repeated manager inconsistency.</t>
        </is>
      </c>
      <c r="T87" s="38" t="inlineStr">
        <is>
          <t>Owner / HR lead</t>
        </is>
      </c>
      <c r="U87" s="38" t="inlineStr">
        <is>
          <t>Proportionate policy review and manager implementation support.</t>
        </is>
      </c>
      <c r="V87" s="38" t="inlineStr">
        <is>
          <t>POLICY</t>
        </is>
      </c>
      <c r="W87" s="38" t="inlineStr">
        <is>
          <t>A_POL02</t>
        </is>
      </c>
      <c r="X87" s="38" t="inlineStr">
        <is>
          <t>S10;S27;DESIGN</t>
        </is>
      </c>
      <c r="Y87" s="38"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87" s="38" t="inlineStr">
        <is>
          <t>Treating acknowledgement of receipt as proof of understanding or practice.</t>
        </is>
      </c>
    </row>
    <row r="88" ht="106" customHeight="1">
      <c r="A88" s="37" t="inlineStr">
        <is>
          <t>POL02_2</t>
        </is>
      </c>
      <c r="B88" s="37" t="inlineStr">
        <is>
          <t>POL02</t>
        </is>
      </c>
      <c r="C88" s="48" t="n">
        <v>2</v>
      </c>
      <c r="D88" s="37" t="inlineStr">
        <is>
          <t>Managers usually follow the policies, but exceptions or gaps are not consistently addressed.</t>
        </is>
      </c>
      <c r="E88" s="37" t="inlineStr">
        <is>
          <t>Complete the remaining check: check the distance between the policy and daily practice</t>
        </is>
      </c>
      <c r="F88" s="37" t="inlineStr">
        <is>
          <t>The selected response identifies an incomplete element within an existing practice. Keep what works and target the unresolved part; the stronger elements do not cancel the gap.</t>
        </is>
      </c>
      <c r="G88" s="37" t="inlineStr">
        <is>
          <t>Rules applied selectively can weaken trust and leave decisions difficult to defend, including when a senior employee is involved.</t>
        </is>
      </c>
      <c r="H88" s="37" t="inlineStr">
        <is>
          <t>Consistency and fair treatment</t>
        </is>
      </c>
      <c r="I88" s="48" t="n">
        <v>2</v>
      </c>
      <c r="J88" s="48" t="n">
        <v>2</v>
      </c>
      <c r="K88" s="48" t="n">
        <v>2</v>
      </c>
      <c r="L88" s="37" t="inlineStr">
        <is>
          <t>Medium provisional concern: a material practice needs improvement. Rules applied selectively can weaken trust and leave decisions difficult to defend, including when a senior employee is involved.</t>
        </is>
      </c>
      <c r="M88" s="37" t="inlineStr">
        <is>
          <t>Focus on the unresolved arrangements or exceptions. Choose one important policy and review a recent real example of its application. Ask an employee and manager to explain the relevant process.</t>
        </is>
      </c>
      <c r="N88" s="37" t="inlineStr">
        <is>
          <t>Explain the relevant expectations and review a small set of actual decisions or exceptions.</t>
        </is>
      </c>
      <c r="O88" s="37" t="inlineStr">
        <is>
          <t>Address unexplained variation and check later decisions for improved consistency.</t>
        </is>
      </c>
      <c r="P88" s="37" t="inlineStr">
        <is>
          <t>Agree an owner and plan within 30 days, or before the next affected event if earlier.</t>
        </is>
      </c>
      <c r="Q88" s="37" t="inlineStr">
        <is>
          <t>A practical implementation check shows that staff and managers understand the relevant expectations, use the process and handle exceptions consistently. Required guidance or process changes have been implemented and checked. Confirm that the change works in practice, not only that a document exists.</t>
        </is>
      </c>
      <c r="R88" s="37" t="inlineStr">
        <is>
          <t>A practical implementation check shows that staff and managers understand the relevant expectations, use the process and handle exceptions consistently. Required guidance or process changes have been implemented and checked.</t>
        </is>
      </c>
      <c r="S88" s="37" t="inlineStr">
        <is>
          <t>A policy change, exception or repeated manager inconsistency.</t>
        </is>
      </c>
      <c r="T88" s="37" t="inlineStr">
        <is>
          <t>Owner / HR lead</t>
        </is>
      </c>
      <c r="U88" s="37" t="inlineStr">
        <is>
          <t>Proportionate policy review and manager implementation support.</t>
        </is>
      </c>
      <c r="V88" s="37" t="inlineStr">
        <is>
          <t>POLICY</t>
        </is>
      </c>
      <c r="W88" s="37" t="inlineStr">
        <is>
          <t>A_POL02</t>
        </is>
      </c>
      <c r="X88" s="37" t="inlineStr">
        <is>
          <t>S10;S27;DESIGN</t>
        </is>
      </c>
      <c r="Y88"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88" s="37" t="inlineStr">
        <is>
          <t>Treating acknowledgement of receipt as proof of understanding or practice.</t>
        </is>
      </c>
    </row>
    <row r="89" ht="106" customHeight="1">
      <c r="A89" s="38" t="inlineStr">
        <is>
          <t>POL02_3</t>
        </is>
      </c>
      <c r="B89" s="38" t="inlineStr">
        <is>
          <t>POL02</t>
        </is>
      </c>
      <c r="C89" s="49" t="n">
        <v>3</v>
      </c>
      <c r="D89" s="38" t="inlineStr">
        <is>
          <t>We explain the relevant expectations, check understanding and review how policies are applied across the business.</t>
        </is>
      </c>
      <c r="E89" s="38" t="inlineStr">
        <is>
          <t>Maintain and test: check the distance between the policy and daily practice</t>
        </is>
      </c>
      <c r="F89" s="38" t="inlineStr">
        <is>
          <t>The selected response reports an established and checked practice. The tool has not inspected the evidence and cannot certify the absence of risk.</t>
        </is>
      </c>
      <c r="G89" s="38" t="inlineStr">
        <is>
          <t>Rules applied selectively can weaken trust and leave decisions difficult to defend, including when a senior employee is involved.</t>
        </is>
      </c>
      <c r="H89" s="38" t="inlineStr">
        <is>
          <t>Consistency and fair treatment</t>
        </is>
      </c>
      <c r="I89" s="49" t="n">
        <v>2</v>
      </c>
      <c r="J89" s="49" t="n">
        <v>1</v>
      </c>
      <c r="K89" s="49" t="n">
        <v>1</v>
      </c>
      <c r="L89" s="38" t="inlineStr">
        <is>
          <t>Lower reported concern, not a finding of no risk. The assumed controls are self-reported; a current incident, contrary evidence or failed control takes precedence.</t>
        </is>
      </c>
      <c r="M89" s="38" t="inlineStr">
        <is>
          <t>Maintain the practice described. At the next relevant review, address unexplained variation and check later decisions for improved consistency.</t>
        </is>
      </c>
      <c r="N89" s="38" t="inlineStr">
        <is>
          <t>Check whether changes in work, people or applicable requirements have made the original process less reliable.</t>
        </is>
      </c>
      <c r="O89" s="38" t="inlineStr">
        <is>
          <t>Retain the review outcome and act on any new exception. An unresolved live issue overrides this maintenance pathway.</t>
        </is>
      </c>
      <c r="P89" s="38" t="inlineStr">
        <is>
          <t>Maintain at the stated trigger; for a new low-priority improvement, plan within 90 days.</t>
        </is>
      </c>
      <c r="Q89" s="38" t="inlineStr">
        <is>
          <t>A current example of the practice and a proportionate recheck record. A practical implementation check shows that staff and managers understand the relevant expectations, use the process and handle exceptions consistently. Required guidance or process changes have been implemented and checked.</t>
        </is>
      </c>
      <c r="R89" s="38" t="inlineStr">
        <is>
          <t>A practical implementation check shows that staff and managers understand the relevant expectations, use the process and handle exceptions consistently. Required guidance or process changes have been implemented and checked.</t>
        </is>
      </c>
      <c r="S89" s="38" t="inlineStr">
        <is>
          <t>A policy change, exception or repeated manager inconsistency.</t>
        </is>
      </c>
      <c r="T89" s="38" t="inlineStr">
        <is>
          <t>Owner / HR lead</t>
        </is>
      </c>
      <c r="U89" s="38" t="inlineStr">
        <is>
          <t>No further purchase is implied by this result. Seek support only for a material change, unresolved exception or chosen improvement.</t>
        </is>
      </c>
      <c r="V89" s="38" t="inlineStr">
        <is>
          <t>POLICY</t>
        </is>
      </c>
      <c r="W89" s="38" t="inlineStr">
        <is>
          <t>A_POL02</t>
        </is>
      </c>
      <c r="X89" s="38" t="inlineStr">
        <is>
          <t>S10;S27;DESIGN</t>
        </is>
      </c>
      <c r="Y89" s="38"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89" s="38" t="inlineStr">
        <is>
          <t>Treating acknowledgement of receipt as proof of understanding or practice.</t>
        </is>
      </c>
    </row>
    <row r="90" ht="106" customHeight="1">
      <c r="A90" s="37" t="inlineStr">
        <is>
          <t>POL02_DK</t>
        </is>
      </c>
      <c r="B90" s="37" t="inlineStr">
        <is>
          <t>POL02</t>
        </is>
      </c>
      <c r="C90" s="37" t="inlineStr">
        <is>
          <t>DK</t>
        </is>
      </c>
      <c r="D90" s="37" t="inlineStr">
        <is>
          <t>I need to confirm this.</t>
        </is>
      </c>
      <c r="E90" s="37" t="inlineStr">
        <is>
          <t>Verify: check the distance between the policy and daily practice</t>
        </is>
      </c>
      <c r="F90" s="37" t="inlineStr">
        <is>
          <t>This answer identifies a knowledge gap. It does not establish that the practice is missing, that harm has occurred or that a legal duty has been breached.</t>
        </is>
      </c>
      <c r="G90" s="37" t="inlineStr">
        <is>
          <t>Rules applied selectively can weaken trust and leave decisions difficult to defend, including when a senior employee is involved.</t>
        </is>
      </c>
      <c r="H90" s="37" t="inlineStr">
        <is>
          <t>Consistency and fair treatment</t>
        </is>
      </c>
      <c r="I90" s="48" t="n">
        <v>2</v>
      </c>
      <c r="J90" s="48" t="n">
        <v>0</v>
      </c>
      <c r="K90" s="48" t="n">
        <v>2</v>
      </c>
      <c r="L90" s="37" t="inlineStr">
        <is>
          <t>The risk is not rated from an unknown answer. Verification is Medium priority because: Rules applied selectively can weaken trust and leave decisions difficult to defend, including when a senior employee is involved.</t>
        </is>
      </c>
      <c r="M90" s="37" t="inlineStr">
        <is>
          <t>Ask the owner / hr lead to show a current example of the process and the evidence listed below. Confirm the answer before deciding what must be repaired.</t>
        </is>
      </c>
      <c r="N90" s="37" t="inlineStr">
        <is>
          <t>Compare the example with the established-practice description: We explain the relevant expectations, check understanding and review how policies are applied across the business.</t>
        </is>
      </c>
      <c r="O90" s="37" t="inlineStr">
        <is>
          <t>Record what was checked, by whom and when. If it remains unclear, keep the verification task open and agree any proportionate interim safeguard.</t>
        </is>
      </c>
      <c r="P90" s="37" t="inlineStr">
        <is>
          <t>Agree an owner and plan within 30 days, or before the next affected event if earlier.</t>
        </is>
      </c>
      <c r="Q90" s="37" t="inlineStr">
        <is>
          <t>A dated verification record, the supporting example, an updated answer and any remaining action. No automatic compliance conclusion.</t>
        </is>
      </c>
      <c r="R90" s="37" t="inlineStr">
        <is>
          <t>A practical implementation check shows that staff and managers understand the relevant expectations, use the process and handle exceptions consistently. Required guidance or process changes have been implemented and checked.</t>
        </is>
      </c>
      <c r="S90" s="37" t="inlineStr">
        <is>
          <t>A policy change, exception or repeated manager inconsistency.</t>
        </is>
      </c>
      <c r="T90" s="37" t="inlineStr">
        <is>
          <t>Owner / HR lead</t>
        </is>
      </c>
      <c r="U90" s="37" t="inlineStr">
        <is>
          <t>Proportionate policy review and manager implementation support.</t>
        </is>
      </c>
      <c r="V90" s="37" t="inlineStr">
        <is>
          <t>POLICY</t>
        </is>
      </c>
      <c r="W90" s="37" t="inlineStr">
        <is>
          <t>A_POL02</t>
        </is>
      </c>
      <c r="X90" s="37" t="inlineStr">
        <is>
          <t>S10;S27;DESIGN</t>
        </is>
      </c>
      <c r="Y90"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90" s="37" t="inlineStr">
        <is>
          <t>Treating acknowledgement of receipt as proof of understanding or practice.</t>
        </is>
      </c>
    </row>
    <row r="91" ht="61" customHeight="1">
      <c r="A91" s="38" t="inlineStr">
        <is>
          <t>POL03_0</t>
        </is>
      </c>
      <c r="B91" s="38" t="inlineStr">
        <is>
          <t>POL03</t>
        </is>
      </c>
      <c r="C91" s="49" t="n">
        <v>0</v>
      </c>
      <c r="D91" s="38" t="inlineStr">
        <is>
          <t>We do not have a process for considering these requests.</t>
        </is>
      </c>
      <c r="E91" s="38" t="inlineStr">
        <is>
          <t>Assess flexibility requests individually</t>
        </is>
      </c>
      <c r="F91" s="38" t="inlineStr">
        <is>
          <t>The selected response reports a missing or unestablished element. Confirm the affected arrangements before drawing a conclusion about any actual breach or harm.</t>
        </is>
      </c>
      <c r="G91" s="38" t="inlineStr">
        <is>
          <t>A request handled only through a blanket policy or manager preference may miss the employee's circumstances and the applicable process.</t>
        </is>
      </c>
      <c r="H91" s="38" t="inlineStr">
        <is>
          <t>Individual rights and fair decisions</t>
        </is>
      </c>
      <c r="I91" s="49" t="n">
        <v>3</v>
      </c>
      <c r="J91" s="49" t="n">
        <v>3</v>
      </c>
      <c r="K91" s="49" t="n">
        <v>3</v>
      </c>
      <c r="L91" s="38" t="inlineStr">
        <is>
          <t>High provisional concern: an essential element remains unresolved. A request handled only through a blanket policy or manager preference may miss the employee's circumstances and the applicable process.</t>
        </is>
      </c>
      <c r="M91" s="38" t="inlineStr">
        <is>
          <t>Create a short request-and-response checklist covering eligibility, discussion, alternatives, reasons and due date. Test it against a fictional request.</t>
        </is>
      </c>
      <c r="N91" s="38" t="inlineStr">
        <is>
          <t>Check eligibility and the applicable rules, discuss the request and alternatives, and prepare a reasoned response.</t>
        </is>
      </c>
      <c r="O91" s="38" t="inlineStr">
        <is>
          <t>Track the response deadline and review any arrangement after implementation with the employee.</t>
        </is>
      </c>
      <c r="P91" s="38" t="inlineStr">
        <is>
          <t>Review or verify within two business days and before the next affected event if earlier. Do not wait where a duty or current harm requires earlier action.</t>
        </is>
      </c>
      <c r="Q91" s="38" t="inlineStr">
        <is>
          <t>A tested request-handling process and, where a request exists, a documented decision and response meeting the applicable requirements. Agreed arrangements are implemented and reviewed; an unanswered request remains open. Confirm that the change works in practice, not only that a document exists.</t>
        </is>
      </c>
      <c r="R91" s="38" t="inlineStr">
        <is>
          <t>A tested request-handling process and, where a request exists, a documented decision and response meeting the applicable requirements. Agreed arrangements are implemented and reviewed; an unanswered request remains open.</t>
        </is>
      </c>
      <c r="S91" s="38" t="inlineStr">
        <is>
          <t>An eligible request, changed circumstances or a proposed refusal.</t>
        </is>
      </c>
      <c r="T91" s="38" t="inlineStr">
        <is>
          <t>Owner / HR lead</t>
        </is>
      </c>
      <c r="U91" s="38" t="inlineStr">
        <is>
          <t>Proportionate policy review and manager implementation support.</t>
        </is>
      </c>
      <c r="V91" s="38" t="inlineStr">
        <is>
          <t>FLEXIBILITY</t>
        </is>
      </c>
      <c r="W91" s="38" t="inlineStr">
        <is>
          <t>A_POL03</t>
        </is>
      </c>
      <c r="X91" s="38" t="inlineStr">
        <is>
          <t>S22;DESIGN</t>
        </is>
      </c>
      <c r="Y91" s="38" t="inlineStr">
        <is>
          <t>https://www.fairwork.gov.au/tools-and-resources/fact-sheets/minimum-workplace-entitlements/requests-for-flexible-working-arrangements</t>
        </is>
      </c>
      <c r="Z91" s="38" t="inlineStr">
        <is>
          <t>Confusing a statutory flexible-work request with a discretionary work-from-home policy.</t>
        </is>
      </c>
    </row>
    <row r="92" ht="61" customHeight="1">
      <c r="A92" s="37" t="inlineStr">
        <is>
          <t>POL03_1</t>
        </is>
      </c>
      <c r="B92" s="37" t="inlineStr">
        <is>
          <t>POL03</t>
        </is>
      </c>
      <c r="C92" s="48" t="n">
        <v>1</v>
      </c>
      <c r="D92" s="37" t="inlineStr">
        <is>
          <t>We would apply a general policy or manager preference without considering the individual request.</t>
        </is>
      </c>
      <c r="E92" s="37" t="inlineStr">
        <is>
          <t>Assess flexibility requests individually</t>
        </is>
      </c>
      <c r="F92" s="37" t="inlineStr">
        <is>
          <t>The selected response relies on assumptions, informal decisions or an inconsistent process. The action is to make the relevant check reliable in routine work.</t>
        </is>
      </c>
      <c r="G92" s="37" t="inlineStr">
        <is>
          <t>A request handled only through a blanket policy or manager preference may miss the employee's circumstances and the applicable process.</t>
        </is>
      </c>
      <c r="H92" s="37" t="inlineStr">
        <is>
          <t>Individual rights and fair decisions</t>
        </is>
      </c>
      <c r="I92" s="48" t="n">
        <v>3</v>
      </c>
      <c r="J92" s="48" t="n">
        <v>3</v>
      </c>
      <c r="K92" s="48" t="n">
        <v>3</v>
      </c>
      <c r="L92" s="37" t="inlineStr">
        <is>
          <t>High provisional concern: an essential element remains unresolved. A request handled only through a blanket policy or manager preference may miss the employee's circumstances and the applicable process.</t>
        </is>
      </c>
      <c r="M92" s="37" t="inlineStr">
        <is>
          <t>Replace the assumption with a current check. Create a short request-and-response checklist covering eligibility, discussion, alternatives, reasons and due date. Test it against a fictional request.</t>
        </is>
      </c>
      <c r="N92" s="37" t="inlineStr">
        <is>
          <t>Check eligibility and the applicable rules, discuss the request and alternatives, and prepare a reasoned response.</t>
        </is>
      </c>
      <c r="O92" s="37" t="inlineStr">
        <is>
          <t>Track the response deadline and review any arrangement after implementation with the employee.</t>
        </is>
      </c>
      <c r="P92" s="37" t="inlineStr">
        <is>
          <t>Review or verify within two business days and before the next affected event if earlier. Do not wait where a duty or current harm requires earlier action.</t>
        </is>
      </c>
      <c r="Q92" s="37" t="inlineStr">
        <is>
          <t>A tested request-handling process and, where a request exists, a documented decision and response meeting the applicable requirements. Agreed arrangements are implemented and reviewed; an unanswered request remains open. Confirm that the change works in practice, not only that a document exists.</t>
        </is>
      </c>
      <c r="R92" s="37" t="inlineStr">
        <is>
          <t>A tested request-handling process and, where a request exists, a documented decision and response meeting the applicable requirements. Agreed arrangements are implemented and reviewed; an unanswered request remains open.</t>
        </is>
      </c>
      <c r="S92" s="37" t="inlineStr">
        <is>
          <t>An eligible request, changed circumstances or a proposed refusal.</t>
        </is>
      </c>
      <c r="T92" s="37" t="inlineStr">
        <is>
          <t>Owner / HR lead</t>
        </is>
      </c>
      <c r="U92" s="37" t="inlineStr">
        <is>
          <t>Proportionate policy review and manager implementation support.</t>
        </is>
      </c>
      <c r="V92" s="37" t="inlineStr">
        <is>
          <t>FLEXIBILITY</t>
        </is>
      </c>
      <c r="W92" s="37" t="inlineStr">
        <is>
          <t>A_POL03</t>
        </is>
      </c>
      <c r="X92" s="37" t="inlineStr">
        <is>
          <t>S22;DESIGN</t>
        </is>
      </c>
      <c r="Y92" s="37" t="inlineStr">
        <is>
          <t>https://www.fairwork.gov.au/tools-and-resources/fact-sheets/minimum-workplace-entitlements/requests-for-flexible-working-arrangements</t>
        </is>
      </c>
      <c r="Z92" s="37" t="inlineStr">
        <is>
          <t>Confusing a statutory flexible-work request with a discretionary work-from-home policy.</t>
        </is>
      </c>
    </row>
    <row r="93" ht="61" customHeight="1">
      <c r="A93" s="38" t="inlineStr">
        <is>
          <t>POL03_2</t>
        </is>
      </c>
      <c r="B93" s="38" t="inlineStr">
        <is>
          <t>POL03</t>
        </is>
      </c>
      <c r="C93" s="49" t="n">
        <v>2</v>
      </c>
      <c r="D93" s="38" t="inlineStr">
        <is>
          <t>We consider individual circumstances, but timing, discussion or written reasons are inconsistent.</t>
        </is>
      </c>
      <c r="E93" s="38" t="inlineStr">
        <is>
          <t>Complete the remaining check: assess flexibility requests individually</t>
        </is>
      </c>
      <c r="F93" s="38" t="inlineStr">
        <is>
          <t>The selected response identifies an incomplete element within an existing practice. Keep what works and target the unresolved part; the stronger elements do not cancel the gap.</t>
        </is>
      </c>
      <c r="G93" s="38" t="inlineStr">
        <is>
          <t>A request handled only through a blanket policy or manager preference may miss the employee's circumstances and the applicable process.</t>
        </is>
      </c>
      <c r="H93" s="38" t="inlineStr">
        <is>
          <t>Individual rights and fair decisions</t>
        </is>
      </c>
      <c r="I93" s="49" t="n">
        <v>3</v>
      </c>
      <c r="J93" s="49" t="n">
        <v>2</v>
      </c>
      <c r="K93" s="49" t="n">
        <v>2</v>
      </c>
      <c r="L93" s="38" t="inlineStr">
        <is>
          <t>Medium provisional concern: a material practice needs improvement. A request handled only through a blanket policy or manager preference may miss the employee's circumstances and the applicable process.</t>
        </is>
      </c>
      <c r="M93" s="38" t="inlineStr">
        <is>
          <t>Focus on the unresolved arrangements or exceptions. Create a short request-and-response checklist covering eligibility, discussion, alternatives, reasons and due date. Test it against a fictional request.</t>
        </is>
      </c>
      <c r="N93" s="38" t="inlineStr">
        <is>
          <t>Check eligibility and the applicable rules, discuss the request and alternatives, and prepare a reasoned response.</t>
        </is>
      </c>
      <c r="O93" s="38" t="inlineStr">
        <is>
          <t>Track the response deadline and review any arrangement after implementation with the employee.</t>
        </is>
      </c>
      <c r="P93" s="38" t="inlineStr">
        <is>
          <t>Agree an owner and plan within 30 days, or before the next affected event if earlier.</t>
        </is>
      </c>
      <c r="Q93" s="38" t="inlineStr">
        <is>
          <t>A tested request-handling process and, where a request exists, a documented decision and response meeting the applicable requirements. Agreed arrangements are implemented and reviewed; an unanswered request remains open. Confirm that the change works in practice, not only that a document exists.</t>
        </is>
      </c>
      <c r="R93" s="38" t="inlineStr">
        <is>
          <t>A tested request-handling process and, where a request exists, a documented decision and response meeting the applicable requirements. Agreed arrangements are implemented and reviewed; an unanswered request remains open.</t>
        </is>
      </c>
      <c r="S93" s="38" t="inlineStr">
        <is>
          <t>An eligible request, changed circumstances or a proposed refusal.</t>
        </is>
      </c>
      <c r="T93" s="38" t="inlineStr">
        <is>
          <t>Owner / HR lead</t>
        </is>
      </c>
      <c r="U93" s="38" t="inlineStr">
        <is>
          <t>Proportionate policy review and manager implementation support.</t>
        </is>
      </c>
      <c r="V93" s="38" t="inlineStr">
        <is>
          <t>FLEXIBILITY</t>
        </is>
      </c>
      <c r="W93" s="38" t="inlineStr">
        <is>
          <t>A_POL03</t>
        </is>
      </c>
      <c r="X93" s="38" t="inlineStr">
        <is>
          <t>S22;DESIGN</t>
        </is>
      </c>
      <c r="Y93" s="38" t="inlineStr">
        <is>
          <t>https://www.fairwork.gov.au/tools-and-resources/fact-sheets/minimum-workplace-entitlements/requests-for-flexible-working-arrangements</t>
        </is>
      </c>
      <c r="Z93" s="38" t="inlineStr">
        <is>
          <t>Confusing a statutory flexible-work request with a discretionary work-from-home policy.</t>
        </is>
      </c>
    </row>
    <row r="94" ht="61" customHeight="1">
      <c r="A94" s="37" t="inlineStr">
        <is>
          <t>POL03_3</t>
        </is>
      </c>
      <c r="B94" s="37" t="inlineStr">
        <is>
          <t>POL03</t>
        </is>
      </c>
      <c r="C94" s="48" t="n">
        <v>3</v>
      </c>
      <c r="D94" s="37" t="inlineStr">
        <is>
          <t>We assess eligibility, discuss the request and alternatives, and provide a reasoned written response within the applicable timeframe.</t>
        </is>
      </c>
      <c r="E94" s="37" t="inlineStr">
        <is>
          <t>Maintain and test: assess flexibility requests individually</t>
        </is>
      </c>
      <c r="F94" s="37" t="inlineStr">
        <is>
          <t>The selected response reports an established and checked practice. The tool has not inspected the evidence and cannot certify the absence of risk.</t>
        </is>
      </c>
      <c r="G94" s="37" t="inlineStr">
        <is>
          <t>A request handled only through a blanket policy or manager preference may miss the employee's circumstances and the applicable process.</t>
        </is>
      </c>
      <c r="H94" s="37" t="inlineStr">
        <is>
          <t>Individual rights and fair decisions</t>
        </is>
      </c>
      <c r="I94" s="48" t="n">
        <v>3</v>
      </c>
      <c r="J94" s="48" t="n">
        <v>1</v>
      </c>
      <c r="K94" s="48" t="n">
        <v>1</v>
      </c>
      <c r="L94" s="37" t="inlineStr">
        <is>
          <t>Lower reported concern, not a finding of no risk. The assumed controls are self-reported; a current incident, contrary evidence or failed control takes precedence.</t>
        </is>
      </c>
      <c r="M94" s="37" t="inlineStr">
        <is>
          <t>Maintain the practice described. At the next relevant review, track the response deadline and review any arrangement after implementation with the employee.</t>
        </is>
      </c>
      <c r="N94" s="37" t="inlineStr">
        <is>
          <t>Check whether changes in work, people or applicable requirements have made the original process less reliable.</t>
        </is>
      </c>
      <c r="O94" s="37" t="inlineStr">
        <is>
          <t>Retain the review outcome and act on any new exception. An unresolved live issue overrides this maintenance pathway.</t>
        </is>
      </c>
      <c r="P94" s="37" t="inlineStr">
        <is>
          <t>Maintain at the stated trigger; for a new low-priority improvement, plan within 90 days.</t>
        </is>
      </c>
      <c r="Q94" s="37" t="inlineStr">
        <is>
          <t>A current example of the practice and a proportionate recheck record. A tested request-handling process and, where a request exists, a documented decision and response meeting the applicable requirements. Agreed arrangements are implemented and reviewed; an unanswered request remains open.</t>
        </is>
      </c>
      <c r="R94" s="37" t="inlineStr">
        <is>
          <t>A tested request-handling process and, where a request exists, a documented decision and response meeting the applicable requirements. Agreed arrangements are implemented and reviewed; an unanswered request remains open.</t>
        </is>
      </c>
      <c r="S94" s="37" t="inlineStr">
        <is>
          <t>An eligible request, changed circumstances or a proposed refusal.</t>
        </is>
      </c>
      <c r="T94" s="37" t="inlineStr">
        <is>
          <t>Owner / HR lead</t>
        </is>
      </c>
      <c r="U94" s="37" t="inlineStr">
        <is>
          <t>No further purchase is implied by this result. Seek support only for a material change, unresolved exception or chosen improvement.</t>
        </is>
      </c>
      <c r="V94" s="37" t="inlineStr">
        <is>
          <t>FLEXIBILITY</t>
        </is>
      </c>
      <c r="W94" s="37" t="inlineStr">
        <is>
          <t>A_POL03</t>
        </is>
      </c>
      <c r="X94" s="37" t="inlineStr">
        <is>
          <t>S22;DESIGN</t>
        </is>
      </c>
      <c r="Y94" s="37" t="inlineStr">
        <is>
          <t>https://www.fairwork.gov.au/tools-and-resources/fact-sheets/minimum-workplace-entitlements/requests-for-flexible-working-arrangements</t>
        </is>
      </c>
      <c r="Z94" s="37" t="inlineStr">
        <is>
          <t>Confusing a statutory flexible-work request with a discretionary work-from-home policy.</t>
        </is>
      </c>
    </row>
    <row r="95" ht="61" customHeight="1">
      <c r="A95" s="38" t="inlineStr">
        <is>
          <t>POL03_DK</t>
        </is>
      </c>
      <c r="B95" s="38" t="inlineStr">
        <is>
          <t>POL03</t>
        </is>
      </c>
      <c r="C95" s="38" t="inlineStr">
        <is>
          <t>DK</t>
        </is>
      </c>
      <c r="D95" s="38" t="inlineStr">
        <is>
          <t>I need to confirm this.</t>
        </is>
      </c>
      <c r="E95" s="38" t="inlineStr">
        <is>
          <t>Verify: assess flexibility requests individually</t>
        </is>
      </c>
      <c r="F95" s="38" t="inlineStr">
        <is>
          <t>This answer identifies a knowledge gap. It does not establish that the practice is missing, that harm has occurred or that a legal duty has been breached.</t>
        </is>
      </c>
      <c r="G95" s="38" t="inlineStr">
        <is>
          <t>A request handled only through a blanket policy or manager preference may miss the employee's circumstances and the applicable process.</t>
        </is>
      </c>
      <c r="H95" s="38" t="inlineStr">
        <is>
          <t>Individual rights and fair decisions</t>
        </is>
      </c>
      <c r="I95" s="49" t="n">
        <v>3</v>
      </c>
      <c r="J95" s="49" t="n">
        <v>0</v>
      </c>
      <c r="K95" s="49" t="n">
        <v>3</v>
      </c>
      <c r="L95" s="38" t="inlineStr">
        <is>
          <t>The risk is not rated from an unknown answer. Verification is High priority because: A request handled only through a blanket policy or manager preference may miss the employee's circumstances and the applicable process.</t>
        </is>
      </c>
      <c r="M95" s="38" t="inlineStr">
        <is>
          <t>Ask the owner / hr lead to show a current example of the process and the evidence listed below. Confirm the answer before deciding what must be repaired.</t>
        </is>
      </c>
      <c r="N95" s="38" t="inlineStr">
        <is>
          <t>Compare the example with the established-practice description: We assess eligibility, discuss the request and alternatives, and provide a reasoned written response within the applicable timeframe.</t>
        </is>
      </c>
      <c r="O95" s="38" t="inlineStr">
        <is>
          <t>Record what was checked, by whom and when. If it remains unclear, keep the verification task open and agree any proportionate interim safeguard.</t>
        </is>
      </c>
      <c r="P95" s="38" t="inlineStr">
        <is>
          <t>Review or verify within two business days and before the next affected event if earlier. Do not wait where a duty or current harm requires earlier action.</t>
        </is>
      </c>
      <c r="Q95" s="38" t="inlineStr">
        <is>
          <t>A dated verification record, the supporting example, an updated answer and any remaining action. No automatic compliance conclusion.</t>
        </is>
      </c>
      <c r="R95" s="38" t="inlineStr">
        <is>
          <t>A tested request-handling process and, where a request exists, a documented decision and response meeting the applicable requirements. Agreed arrangements are implemented and reviewed; an unanswered request remains open.</t>
        </is>
      </c>
      <c r="S95" s="38" t="inlineStr">
        <is>
          <t>An eligible request, changed circumstances or a proposed refusal.</t>
        </is>
      </c>
      <c r="T95" s="38" t="inlineStr">
        <is>
          <t>Owner / HR lead</t>
        </is>
      </c>
      <c r="U95" s="38" t="inlineStr">
        <is>
          <t>Proportionate policy review and manager implementation support.</t>
        </is>
      </c>
      <c r="V95" s="38" t="inlineStr">
        <is>
          <t>FLEXIBILITY</t>
        </is>
      </c>
      <c r="W95" s="38" t="inlineStr">
        <is>
          <t>A_POL03</t>
        </is>
      </c>
      <c r="X95" s="38" t="inlineStr">
        <is>
          <t>S22;DESIGN</t>
        </is>
      </c>
      <c r="Y95" s="38" t="inlineStr">
        <is>
          <t>https://www.fairwork.gov.au/tools-and-resources/fact-sheets/minimum-workplace-entitlements/requests-for-flexible-working-arrangements</t>
        </is>
      </c>
      <c r="Z95" s="38" t="inlineStr">
        <is>
          <t>Confusing a statutory flexible-work request with a discretionary work-from-home policy.</t>
        </is>
      </c>
    </row>
    <row r="96" ht="61" customHeight="1">
      <c r="A96" s="37" t="inlineStr">
        <is>
          <t>WHS01_0</t>
        </is>
      </c>
      <c r="B96" s="37" t="inlineStr">
        <is>
          <t>WHS01</t>
        </is>
      </c>
      <c r="C96" s="48" t="n">
        <v>0</v>
      </c>
      <c r="D96" s="37" t="inlineStr">
        <is>
          <t>We have not systematically identified the hazards.</t>
        </is>
      </c>
      <c r="E96" s="37" t="inlineStr">
        <is>
          <t>Check the work, not only the safety documents</t>
        </is>
      </c>
      <c r="F96" s="37" t="inlineStr">
        <is>
          <t>The selected response reports a missing or unestablished element. Confirm the affected arrangements before drawing a conclusion about any actual breach or harm.</t>
        </is>
      </c>
      <c r="G96" s="37" t="inlineStr">
        <is>
          <t>Unidentified or ineffective controls can leave workers exposed to physical harm. The nature of the work determines the actual severity and likelihood.</t>
        </is>
      </c>
      <c r="H96" s="37" t="inlineStr">
        <is>
          <t>Physical safety</t>
        </is>
      </c>
      <c r="I96" s="48" t="n">
        <v>3</v>
      </c>
      <c r="J96" s="48" t="n">
        <v>3</v>
      </c>
      <c r="K96" s="48" t="n">
        <v>3</v>
      </c>
      <c r="L96" s="37" t="inlineStr">
        <is>
          <t>High provisional concern: an essential element remains unresolved. Unidentified or ineffective controls can leave workers exposed to physical harm. The nature of the work determines the actual severity and likelihood.</t>
        </is>
      </c>
      <c r="M96" s="37" t="inlineStr">
        <is>
          <t>Review the highest-risk tasks with the people doing them. Record the hazard, control, responsible person and how effectiveness will be checked.</t>
        </is>
      </c>
      <c r="N96" s="37" t="inlineStr">
        <is>
          <t>Assess the priority hazards with worker input and select controls that eliminate or reduce the exposure, using competent advice where needed.</t>
        </is>
      </c>
      <c r="O96" s="37" t="inlineStr">
        <is>
          <t>Check the controls in the work itself, including unusual tasks and workers away from the main site.</t>
        </is>
      </c>
      <c r="P96" s="37" t="inlineStr">
        <is>
          <t>Review or verify within two business days and before the next affected event if earlier. Do not wait where a duty or current harm requires earlier action.</t>
        </is>
      </c>
      <c r="Q96" s="37" t="inlineStr">
        <is>
          <t>A task-relevant risk and control record with workers' input and completed follow-up. Confirm that the change works in practice, not only that a document exists.</t>
        </is>
      </c>
      <c r="R96" s="37" t="inlineStr">
        <is>
          <t>A task-relevant risk and control record with workers' input and completed follow-up.</t>
        </is>
      </c>
      <c r="S96" s="37" t="inlineStr">
        <is>
          <t>Changed work, equipment, location, incident or failed control.</t>
        </is>
      </c>
      <c r="T96" s="37" t="inlineStr">
        <is>
          <t>Safety lead / owner</t>
        </is>
      </c>
      <c r="U96" s="37" t="inlineStr">
        <is>
          <t>HR/return-to-work coordination and referral to a competent WHS or insurance specialist where needed.</t>
        </is>
      </c>
      <c r="V96" s="37" t="inlineStr">
        <is>
          <t>SAFETY</t>
        </is>
      </c>
      <c r="W96" s="37" t="inlineStr">
        <is>
          <t>A_WHS01</t>
        </is>
      </c>
      <c r="X96" s="37" t="inlineStr">
        <is>
          <t>S13;DESIGN</t>
        </is>
      </c>
      <c r="Y96" s="37" t="inlineStr">
        <is>
          <t>https://www.safeworkaustralia.gov.au/safety-topic/managing-health-and-safety/identify-assess-and-control-hazards/managing-risks</t>
        </is>
      </c>
      <c r="Z96" s="37" t="inlineStr">
        <is>
          <t>Replacing hazard controls with a policy, warning sign or training alone.</t>
        </is>
      </c>
    </row>
    <row r="97" ht="61" customHeight="1">
      <c r="A97" s="38" t="inlineStr">
        <is>
          <t>WHS01_1</t>
        </is>
      </c>
      <c r="B97" s="38" t="inlineStr">
        <is>
          <t>WHS01</t>
        </is>
      </c>
      <c r="C97" s="49" t="n">
        <v>1</v>
      </c>
      <c r="D97" s="38" t="inlineStr">
        <is>
          <t>We mainly respond after an incident or rely on general safety reminders.</t>
        </is>
      </c>
      <c r="E97" s="38" t="inlineStr">
        <is>
          <t>Check the work, not only the safety documents</t>
        </is>
      </c>
      <c r="F97" s="38" t="inlineStr">
        <is>
          <t>The selected response relies on assumptions, informal decisions or an inconsistent process. The action is to make the relevant check reliable in routine work.</t>
        </is>
      </c>
      <c r="G97" s="38" t="inlineStr">
        <is>
          <t>Unidentified or ineffective controls can leave workers exposed to physical harm. The nature of the work determines the actual severity and likelihood.</t>
        </is>
      </c>
      <c r="H97" s="38" t="inlineStr">
        <is>
          <t>Physical safety</t>
        </is>
      </c>
      <c r="I97" s="49" t="n">
        <v>3</v>
      </c>
      <c r="J97" s="49" t="n">
        <v>3</v>
      </c>
      <c r="K97" s="49" t="n">
        <v>3</v>
      </c>
      <c r="L97" s="38" t="inlineStr">
        <is>
          <t>High provisional concern: an essential element remains unresolved. Unidentified or ineffective controls can leave workers exposed to physical harm. The nature of the work determines the actual severity and likelihood.</t>
        </is>
      </c>
      <c r="M97" s="38" t="inlineStr">
        <is>
          <t>Replace the assumption with a current check. Review the highest-risk tasks with the people doing them. Record the hazard, control, responsible person and how effectiveness will be checked.</t>
        </is>
      </c>
      <c r="N97" s="38" t="inlineStr">
        <is>
          <t>Assess the priority hazards with worker input and select controls that eliminate or reduce the exposure, using competent advice where needed.</t>
        </is>
      </c>
      <c r="O97" s="38" t="inlineStr">
        <is>
          <t>Check the controls in the work itself, including unusual tasks and workers away from the main site.</t>
        </is>
      </c>
      <c r="P97" s="38" t="inlineStr">
        <is>
          <t>Review or verify within two business days and before the next affected event if earlier. Do not wait where a duty or current harm requires earlier action.</t>
        </is>
      </c>
      <c r="Q97" s="38" t="inlineStr">
        <is>
          <t>A task-relevant risk and control record with workers' input and completed follow-up. Confirm that the change works in practice, not only that a document exists.</t>
        </is>
      </c>
      <c r="R97" s="38" t="inlineStr">
        <is>
          <t>A task-relevant risk and control record with workers' input and completed follow-up.</t>
        </is>
      </c>
      <c r="S97" s="38" t="inlineStr">
        <is>
          <t>Changed work, equipment, location, incident or failed control.</t>
        </is>
      </c>
      <c r="T97" s="38" t="inlineStr">
        <is>
          <t>Safety lead / owner</t>
        </is>
      </c>
      <c r="U97" s="38" t="inlineStr">
        <is>
          <t>HR/return-to-work coordination and referral to a competent WHS or insurance specialist where needed.</t>
        </is>
      </c>
      <c r="V97" s="38" t="inlineStr">
        <is>
          <t>SAFETY</t>
        </is>
      </c>
      <c r="W97" s="38" t="inlineStr">
        <is>
          <t>A_WHS01</t>
        </is>
      </c>
      <c r="X97" s="38" t="inlineStr">
        <is>
          <t>S13;DESIGN</t>
        </is>
      </c>
      <c r="Y97" s="38" t="inlineStr">
        <is>
          <t>https://www.safeworkaustralia.gov.au/safety-topic/managing-health-and-safety/identify-assess-and-control-hazards/managing-risks</t>
        </is>
      </c>
      <c r="Z97" s="38" t="inlineStr">
        <is>
          <t>Replacing hazard controls with a policy, warning sign or training alone.</t>
        </is>
      </c>
    </row>
    <row r="98" ht="61" customHeight="1">
      <c r="A98" s="37" t="inlineStr">
        <is>
          <t>WHS01_2</t>
        </is>
      </c>
      <c r="B98" s="37" t="inlineStr">
        <is>
          <t>WHS01</t>
        </is>
      </c>
      <c r="C98" s="48" t="n">
        <v>2</v>
      </c>
      <c r="D98" s="37" t="inlineStr">
        <is>
          <t>We have identified hazards and controls, but some tasks, workers or reviews are missing.</t>
        </is>
      </c>
      <c r="E98" s="37" t="inlineStr">
        <is>
          <t>Complete the remaining check: check the work, not only the safety documents</t>
        </is>
      </c>
      <c r="F98" s="37" t="inlineStr">
        <is>
          <t>The selected response identifies an incomplete element within an existing practice. Keep what works and target the unresolved part; the stronger elements do not cancel the gap.</t>
        </is>
      </c>
      <c r="G98" s="37" t="inlineStr">
        <is>
          <t>Unidentified or ineffective controls can leave workers exposed to physical harm. The nature of the work determines the actual severity and likelihood.</t>
        </is>
      </c>
      <c r="H98" s="37" t="inlineStr">
        <is>
          <t>Physical safety</t>
        </is>
      </c>
      <c r="I98" s="48" t="n">
        <v>3</v>
      </c>
      <c r="J98" s="48" t="n">
        <v>3</v>
      </c>
      <c r="K98" s="48" t="n">
        <v>3</v>
      </c>
      <c r="L98" s="37" t="inlineStr">
        <is>
          <t>High provisional concern: an essential element remains unresolved. Unidentified or ineffective controls can leave workers exposed to physical harm. The nature of the work determines the actual severity and likelihood.</t>
        </is>
      </c>
      <c r="M98" s="37" t="inlineStr">
        <is>
          <t>Focus on the unresolved arrangements or exceptions. Review the highest-risk tasks with the people doing them. Record the hazard, control, responsible person and how effectiveness will be checked.</t>
        </is>
      </c>
      <c r="N98" s="37" t="inlineStr">
        <is>
          <t>Assess the priority hazards with worker input and select controls that eliminate or reduce the exposure, using competent advice where needed.</t>
        </is>
      </c>
      <c r="O98" s="37" t="inlineStr">
        <is>
          <t>Check the controls in the work itself, including unusual tasks and workers away from the main site.</t>
        </is>
      </c>
      <c r="P98" s="37" t="inlineStr">
        <is>
          <t>Review or verify within two business days and before the next affected event if earlier. Do not wait where a duty or current harm requires earlier action.</t>
        </is>
      </c>
      <c r="Q98" s="37" t="inlineStr">
        <is>
          <t>A task-relevant risk and control record with workers' input and completed follow-up. Confirm that the change works in practice, not only that a document exists.</t>
        </is>
      </c>
      <c r="R98" s="37" t="inlineStr">
        <is>
          <t>A task-relevant risk and control record with workers' input and completed follow-up.</t>
        </is>
      </c>
      <c r="S98" s="37" t="inlineStr">
        <is>
          <t>Changed work, equipment, location, incident or failed control.</t>
        </is>
      </c>
      <c r="T98" s="37" t="inlineStr">
        <is>
          <t>Safety lead / owner</t>
        </is>
      </c>
      <c r="U98" s="37" t="inlineStr">
        <is>
          <t>HR/return-to-work coordination and referral to a competent WHS or insurance specialist where needed.</t>
        </is>
      </c>
      <c r="V98" s="37" t="inlineStr">
        <is>
          <t>SAFETY</t>
        </is>
      </c>
      <c r="W98" s="37" t="inlineStr">
        <is>
          <t>A_WHS01</t>
        </is>
      </c>
      <c r="X98" s="37" t="inlineStr">
        <is>
          <t>S13;DESIGN</t>
        </is>
      </c>
      <c r="Y98" s="37" t="inlineStr">
        <is>
          <t>https://www.safeworkaustralia.gov.au/safety-topic/managing-health-and-safety/identify-assess-and-control-hazards/managing-risks</t>
        </is>
      </c>
      <c r="Z98" s="37" t="inlineStr">
        <is>
          <t>Replacing hazard controls with a policy, warning sign or training alone.</t>
        </is>
      </c>
    </row>
    <row r="99" ht="61" customHeight="1">
      <c r="A99" s="38" t="inlineStr">
        <is>
          <t>WHS01_3</t>
        </is>
      </c>
      <c r="B99" s="38" t="inlineStr">
        <is>
          <t>WHS01</t>
        </is>
      </c>
      <c r="C99" s="49" t="n">
        <v>3</v>
      </c>
      <c r="D99" s="38" t="inlineStr">
        <is>
          <t>We consult workers, identify relevant hazards, implement suitable controls and check that they work.</t>
        </is>
      </c>
      <c r="E99" s="38" t="inlineStr">
        <is>
          <t>Maintain and test: check the work, not only the safety documents</t>
        </is>
      </c>
      <c r="F99" s="38" t="inlineStr">
        <is>
          <t>The selected response reports an established and checked practice. The tool has not inspected the evidence and cannot certify the absence of risk.</t>
        </is>
      </c>
      <c r="G99" s="38" t="inlineStr">
        <is>
          <t>Unidentified or ineffective controls can leave workers exposed to physical harm. The nature of the work determines the actual severity and likelihood.</t>
        </is>
      </c>
      <c r="H99" s="38" t="inlineStr">
        <is>
          <t>Physical safety</t>
        </is>
      </c>
      <c r="I99" s="49" t="n">
        <v>3</v>
      </c>
      <c r="J99" s="49" t="n">
        <v>1</v>
      </c>
      <c r="K99" s="49" t="n">
        <v>1</v>
      </c>
      <c r="L99" s="38" t="inlineStr">
        <is>
          <t>Lower reported concern, not a finding of no risk. The assumed controls are self-reported; a current incident, contrary evidence or failed control takes precedence.</t>
        </is>
      </c>
      <c r="M99" s="38" t="inlineStr">
        <is>
          <t>Maintain the practice described. At the next relevant review, check the controls in the work itself, including unusual tasks and workers away from the main site.</t>
        </is>
      </c>
      <c r="N99" s="38" t="inlineStr">
        <is>
          <t>Check whether changes in work, people or applicable requirements have made the original process less reliable.</t>
        </is>
      </c>
      <c r="O99" s="38" t="inlineStr">
        <is>
          <t>Retain the review outcome and act on any new exception. An unresolved live issue overrides this maintenance pathway.</t>
        </is>
      </c>
      <c r="P99" s="38" t="inlineStr">
        <is>
          <t>Maintain at the stated trigger; for a new low-priority improvement, plan within 90 days.</t>
        </is>
      </c>
      <c r="Q99" s="38" t="inlineStr">
        <is>
          <t>A current example of the practice and a proportionate recheck record. A task-relevant risk and control record with workers' input and completed follow-up.</t>
        </is>
      </c>
      <c r="R99" s="38" t="inlineStr">
        <is>
          <t>A task-relevant risk and control record with workers' input and completed follow-up.</t>
        </is>
      </c>
      <c r="S99" s="38" t="inlineStr">
        <is>
          <t>Changed work, equipment, location, incident or failed control.</t>
        </is>
      </c>
      <c r="T99" s="38" t="inlineStr">
        <is>
          <t>Safety lead / owner</t>
        </is>
      </c>
      <c r="U99" s="38" t="inlineStr">
        <is>
          <t>No further purchase is implied by this result. Seek support only for a material change, unresolved exception or chosen improvement.</t>
        </is>
      </c>
      <c r="V99" s="38" t="inlineStr">
        <is>
          <t>SAFETY</t>
        </is>
      </c>
      <c r="W99" s="38" t="inlineStr">
        <is>
          <t>A_WHS01</t>
        </is>
      </c>
      <c r="X99" s="38" t="inlineStr">
        <is>
          <t>S13;DESIGN</t>
        </is>
      </c>
      <c r="Y99" s="38" t="inlineStr">
        <is>
          <t>https://www.safeworkaustralia.gov.au/safety-topic/managing-health-and-safety/identify-assess-and-control-hazards/managing-risks</t>
        </is>
      </c>
      <c r="Z99" s="38" t="inlineStr">
        <is>
          <t>Replacing hazard controls with a policy, warning sign or training alone.</t>
        </is>
      </c>
    </row>
    <row r="100" ht="61" customHeight="1">
      <c r="A100" s="37" t="inlineStr">
        <is>
          <t>WHS01_DK</t>
        </is>
      </c>
      <c r="B100" s="37" t="inlineStr">
        <is>
          <t>WHS01</t>
        </is>
      </c>
      <c r="C100" s="37" t="inlineStr">
        <is>
          <t>DK</t>
        </is>
      </c>
      <c r="D100" s="37" t="inlineStr">
        <is>
          <t>I need to confirm this.</t>
        </is>
      </c>
      <c r="E100" s="37" t="inlineStr">
        <is>
          <t>Verify: check the work, not only the safety documents</t>
        </is>
      </c>
      <c r="F100" s="37" t="inlineStr">
        <is>
          <t>This answer identifies a knowledge gap. It does not establish that the practice is missing, that harm has occurred or that a legal duty has been breached.</t>
        </is>
      </c>
      <c r="G100" s="37" t="inlineStr">
        <is>
          <t>Unidentified or ineffective controls can leave workers exposed to physical harm. The nature of the work determines the actual severity and likelihood.</t>
        </is>
      </c>
      <c r="H100" s="37" t="inlineStr">
        <is>
          <t>Physical safety</t>
        </is>
      </c>
      <c r="I100" s="48" t="n">
        <v>3</v>
      </c>
      <c r="J100" s="48" t="n">
        <v>0</v>
      </c>
      <c r="K100" s="48" t="n">
        <v>3</v>
      </c>
      <c r="L100" s="37" t="inlineStr">
        <is>
          <t>The risk is not rated from an unknown answer. Verification is High priority because: Unidentified or ineffective controls can leave workers exposed to physical harm. The nature of the work determines the actual severity and likelihood.</t>
        </is>
      </c>
      <c r="M100" s="37" t="inlineStr">
        <is>
          <t>Ask the safety lead / owner to show a current example of the process and the evidence listed below. Confirm the answer before deciding what must be repaired.</t>
        </is>
      </c>
      <c r="N100" s="37" t="inlineStr">
        <is>
          <t>Compare the example with the established-practice description: We consult workers, identify relevant hazards, implement suitable controls and check that they work.</t>
        </is>
      </c>
      <c r="O100" s="37" t="inlineStr">
        <is>
          <t>Record what was checked, by whom and when. If it remains unclear, keep the verification task open and agree any proportionate interim safeguard.</t>
        </is>
      </c>
      <c r="P100" s="37" t="inlineStr">
        <is>
          <t>Review or verify within two business days and before the next affected event if earlier. Do not wait where a duty or current harm requires earlier action.</t>
        </is>
      </c>
      <c r="Q100" s="37" t="inlineStr">
        <is>
          <t>A dated verification record, the supporting example, an updated answer and any remaining action. No automatic compliance conclusion.</t>
        </is>
      </c>
      <c r="R100" s="37" t="inlineStr">
        <is>
          <t>A task-relevant risk and control record with workers' input and completed follow-up.</t>
        </is>
      </c>
      <c r="S100" s="37" t="inlineStr">
        <is>
          <t>Changed work, equipment, location, incident or failed control.</t>
        </is>
      </c>
      <c r="T100" s="37" t="inlineStr">
        <is>
          <t>Safety lead / owner</t>
        </is>
      </c>
      <c r="U100" s="37" t="inlineStr">
        <is>
          <t>HR/return-to-work coordination and referral to a competent WHS or insurance specialist where needed.</t>
        </is>
      </c>
      <c r="V100" s="37" t="inlineStr">
        <is>
          <t>SAFETY</t>
        </is>
      </c>
      <c r="W100" s="37" t="inlineStr">
        <is>
          <t>A_WHS01</t>
        </is>
      </c>
      <c r="X100" s="37" t="inlineStr">
        <is>
          <t>S13;DESIGN</t>
        </is>
      </c>
      <c r="Y100" s="37" t="inlineStr">
        <is>
          <t>https://www.safeworkaustralia.gov.au/safety-topic/managing-health-and-safety/identify-assess-and-control-hazards/managing-risks</t>
        </is>
      </c>
      <c r="Z100" s="37" t="inlineStr">
        <is>
          <t>Replacing hazard controls with a policy, warning sign or training alone.</t>
        </is>
      </c>
    </row>
    <row r="101" ht="61" customHeight="1">
      <c r="A101" s="38" t="inlineStr">
        <is>
          <t>WHS02_0</t>
        </is>
      </c>
      <c r="B101" s="38" t="inlineStr">
        <is>
          <t>WHS02</t>
        </is>
      </c>
      <c r="C101" s="49" t="n">
        <v>0</v>
      </c>
      <c r="D101" s="38" t="inlineStr">
        <is>
          <t>We do not have workable emergency arrangements.</t>
        </is>
      </c>
      <c r="E101" s="38" t="inlineStr">
        <is>
          <t>Test whether the emergency arrangements work</t>
        </is>
      </c>
      <c r="F101" s="38" t="inlineStr">
        <is>
          <t>The selected response reports a missing or unestablished element. Confirm the affected arrangements before drawing a conclusion about any actual breach or harm.</t>
        </is>
      </c>
      <c r="G101" s="38" t="inlineStr">
        <is>
          <t>A response gap may only become visible during an emergency, when there is little time to find an alternative.</t>
        </is>
      </c>
      <c r="H101" s="38" t="inlineStr">
        <is>
          <t>Emergency readiness</t>
        </is>
      </c>
      <c r="I101" s="49" t="n">
        <v>3</v>
      </c>
      <c r="J101" s="49" t="n">
        <v>3</v>
      </c>
      <c r="K101" s="49" t="n">
        <v>3</v>
      </c>
      <c r="L101" s="38" t="inlineStr">
        <is>
          <t>High provisional concern: an essential element remains unresolved. A response gap may only become visible during an emergency, when there is little time to find an alternative.</t>
        </is>
      </c>
      <c r="M101" s="38" t="inlineStr">
        <is>
          <t>Check foreseeable emergencies, first-aid coverage and communication for each work setting, then run a practical walk-through and record gaps.</t>
        </is>
      </c>
      <c r="N101" s="38" t="inlineStr">
        <is>
          <t>Allocate clear response roles, suitable first-aid and communication arrangements for relevant shifts and locations.</t>
        </is>
      </c>
      <c r="O101" s="38" t="inlineStr">
        <is>
          <t>Run an appropriate drill or tabletop test; correct gaps and retest the part that failed.</t>
        </is>
      </c>
      <c r="P101" s="38" t="inlineStr">
        <is>
          <t>Review or verify within two business days and before the next affected event if earlier. Do not wait where a duty or current harm requires earlier action.</t>
        </is>
      </c>
      <c r="Q101" s="38" t="inlineStr">
        <is>
          <t>A reviewed emergency plan and readiness check covering relevant people, shifts and locations. Confirm that the change works in practice, not only that a document exists.</t>
        </is>
      </c>
      <c r="R101" s="38" t="inlineStr">
        <is>
          <t>A reviewed emergency plan and readiness check covering relevant people, shifts and locations.</t>
        </is>
      </c>
      <c r="S101" s="38" t="inlineStr">
        <is>
          <t>Changed premises, shifts, responders or foreseeable emergency scenarios.</t>
        </is>
      </c>
      <c r="T101" s="38" t="inlineStr">
        <is>
          <t>Safety lead / owner</t>
        </is>
      </c>
      <c r="U101" s="38" t="inlineStr">
        <is>
          <t>HR/return-to-work coordination and referral to a competent WHS or insurance specialist where needed.</t>
        </is>
      </c>
      <c r="V101" s="38" t="inlineStr">
        <is>
          <t>SAFETY</t>
        </is>
      </c>
      <c r="W101" s="38" t="inlineStr">
        <is>
          <t>A_WHS02</t>
        </is>
      </c>
      <c r="X101" s="38" t="inlineStr">
        <is>
          <t>S13;DESIGN</t>
        </is>
      </c>
      <c r="Y101" s="38" t="inlineStr">
        <is>
          <t>https://www.safeworkaustralia.gov.au/safety-topic/managing-health-and-safety/identify-assess-and-control-hazards/managing-risks</t>
        </is>
      </c>
      <c r="Z101" s="38" t="inlineStr">
        <is>
          <t>Assuming equipment on site means responders are available and know what to do.</t>
        </is>
      </c>
    </row>
    <row r="102" ht="61" customHeight="1">
      <c r="A102" s="37" t="inlineStr">
        <is>
          <t>WHS02_1</t>
        </is>
      </c>
      <c r="B102" s="37" t="inlineStr">
        <is>
          <t>WHS02</t>
        </is>
      </c>
      <c r="C102" s="48" t="n">
        <v>1</v>
      </c>
      <c r="D102" s="37" t="inlineStr">
        <is>
          <t>We have instructions or equipment, but staff roles and response have not been tested.</t>
        </is>
      </c>
      <c r="E102" s="37" t="inlineStr">
        <is>
          <t>Test whether the emergency arrangements work</t>
        </is>
      </c>
      <c r="F102" s="37" t="inlineStr">
        <is>
          <t>The selected response relies on assumptions, informal decisions or an inconsistent process. The action is to make the relevant check reliable in routine work.</t>
        </is>
      </c>
      <c r="G102" s="37" t="inlineStr">
        <is>
          <t>A response gap may only become visible during an emergency, when there is little time to find an alternative.</t>
        </is>
      </c>
      <c r="H102" s="37" t="inlineStr">
        <is>
          <t>Emergency readiness</t>
        </is>
      </c>
      <c r="I102" s="48" t="n">
        <v>3</v>
      </c>
      <c r="J102" s="48" t="n">
        <v>3</v>
      </c>
      <c r="K102" s="48" t="n">
        <v>3</v>
      </c>
      <c r="L102" s="37" t="inlineStr">
        <is>
          <t>High provisional concern: an essential element remains unresolved. A response gap may only become visible during an emergency, when there is little time to find an alternative.</t>
        </is>
      </c>
      <c r="M102" s="37" t="inlineStr">
        <is>
          <t>Replace the assumption with a current check. Check foreseeable emergencies, first-aid coverage and communication for each work setting, then run a practical walk-through and record gaps.</t>
        </is>
      </c>
      <c r="N102" s="37" t="inlineStr">
        <is>
          <t>Allocate clear response roles, suitable first-aid and communication arrangements for relevant shifts and locations.</t>
        </is>
      </c>
      <c r="O102" s="37" t="inlineStr">
        <is>
          <t>Run an appropriate drill or tabletop test; correct gaps and retest the part that failed.</t>
        </is>
      </c>
      <c r="P102" s="37" t="inlineStr">
        <is>
          <t>Review or verify within two business days and before the next affected event if earlier. Do not wait where a duty or current harm requires earlier action.</t>
        </is>
      </c>
      <c r="Q102" s="37" t="inlineStr">
        <is>
          <t>A reviewed emergency plan and readiness check covering relevant people, shifts and locations. Confirm that the change works in practice, not only that a document exists.</t>
        </is>
      </c>
      <c r="R102" s="37" t="inlineStr">
        <is>
          <t>A reviewed emergency plan and readiness check covering relevant people, shifts and locations.</t>
        </is>
      </c>
      <c r="S102" s="37" t="inlineStr">
        <is>
          <t>Changed premises, shifts, responders or foreseeable emergency scenarios.</t>
        </is>
      </c>
      <c r="T102" s="37" t="inlineStr">
        <is>
          <t>Safety lead / owner</t>
        </is>
      </c>
      <c r="U102" s="37" t="inlineStr">
        <is>
          <t>HR/return-to-work coordination and referral to a competent WHS or insurance specialist where needed.</t>
        </is>
      </c>
      <c r="V102" s="37" t="inlineStr">
        <is>
          <t>SAFETY</t>
        </is>
      </c>
      <c r="W102" s="37" t="inlineStr">
        <is>
          <t>A_WHS02</t>
        </is>
      </c>
      <c r="X102" s="37" t="inlineStr">
        <is>
          <t>S13;DESIGN</t>
        </is>
      </c>
      <c r="Y102" s="37" t="inlineStr">
        <is>
          <t>https://www.safeworkaustralia.gov.au/safety-topic/managing-health-and-safety/identify-assess-and-control-hazards/managing-risks</t>
        </is>
      </c>
      <c r="Z102" s="37" t="inlineStr">
        <is>
          <t>Assuming equipment on site means responders are available and know what to do.</t>
        </is>
      </c>
    </row>
    <row r="103" ht="61" customHeight="1">
      <c r="A103" s="38" t="inlineStr">
        <is>
          <t>WHS02_2</t>
        </is>
      </c>
      <c r="B103" s="38" t="inlineStr">
        <is>
          <t>WHS02</t>
        </is>
      </c>
      <c r="C103" s="49" t="n">
        <v>2</v>
      </c>
      <c r="D103" s="38" t="inlineStr">
        <is>
          <t>We have arrangements and trained people, but some locations, shifts or tests are missing.</t>
        </is>
      </c>
      <c r="E103" s="38" t="inlineStr">
        <is>
          <t>Complete the remaining check: test whether the emergency arrangements work</t>
        </is>
      </c>
      <c r="F103" s="38" t="inlineStr">
        <is>
          <t>The selected response identifies an incomplete element within an existing practice. Keep what works and target the unresolved part; the stronger elements do not cancel the gap.</t>
        </is>
      </c>
      <c r="G103" s="38" t="inlineStr">
        <is>
          <t>A response gap may only become visible during an emergency, when there is little time to find an alternative.</t>
        </is>
      </c>
      <c r="H103" s="38" t="inlineStr">
        <is>
          <t>Emergency readiness</t>
        </is>
      </c>
      <c r="I103" s="49" t="n">
        <v>3</v>
      </c>
      <c r="J103" s="49" t="n">
        <v>3</v>
      </c>
      <c r="K103" s="49" t="n">
        <v>3</v>
      </c>
      <c r="L103" s="38" t="inlineStr">
        <is>
          <t>High provisional concern: an essential element remains unresolved. A response gap may only become visible during an emergency, when there is little time to find an alternative.</t>
        </is>
      </c>
      <c r="M103" s="38" t="inlineStr">
        <is>
          <t>Focus on the unresolved arrangements or exceptions. Check foreseeable emergencies, first-aid coverage and communication for each work setting, then run a practical walk-through and record gaps.</t>
        </is>
      </c>
      <c r="N103" s="38" t="inlineStr">
        <is>
          <t>Allocate clear response roles, suitable first-aid and communication arrangements for relevant shifts and locations.</t>
        </is>
      </c>
      <c r="O103" s="38" t="inlineStr">
        <is>
          <t>Run an appropriate drill or tabletop test; correct gaps and retest the part that failed.</t>
        </is>
      </c>
      <c r="P103" s="38" t="inlineStr">
        <is>
          <t>Review or verify within two business days and before the next affected event if earlier. Do not wait where a duty or current harm requires earlier action.</t>
        </is>
      </c>
      <c r="Q103" s="38" t="inlineStr">
        <is>
          <t>A reviewed emergency plan and readiness check covering relevant people, shifts and locations. Confirm that the change works in practice, not only that a document exists.</t>
        </is>
      </c>
      <c r="R103" s="38" t="inlineStr">
        <is>
          <t>A reviewed emergency plan and readiness check covering relevant people, shifts and locations.</t>
        </is>
      </c>
      <c r="S103" s="38" t="inlineStr">
        <is>
          <t>Changed premises, shifts, responders or foreseeable emergency scenarios.</t>
        </is>
      </c>
      <c r="T103" s="38" t="inlineStr">
        <is>
          <t>Safety lead / owner</t>
        </is>
      </c>
      <c r="U103" s="38" t="inlineStr">
        <is>
          <t>HR/return-to-work coordination and referral to a competent WHS or insurance specialist where needed.</t>
        </is>
      </c>
      <c r="V103" s="38" t="inlineStr">
        <is>
          <t>SAFETY</t>
        </is>
      </c>
      <c r="W103" s="38" t="inlineStr">
        <is>
          <t>A_WHS02</t>
        </is>
      </c>
      <c r="X103" s="38" t="inlineStr">
        <is>
          <t>S13;DESIGN</t>
        </is>
      </c>
      <c r="Y103" s="38" t="inlineStr">
        <is>
          <t>https://www.safeworkaustralia.gov.au/safety-topic/managing-health-and-safety/identify-assess-and-control-hazards/managing-risks</t>
        </is>
      </c>
      <c r="Z103" s="38" t="inlineStr">
        <is>
          <t>Assuming equipment on site means responders are available and know what to do.</t>
        </is>
      </c>
    </row>
    <row r="104" ht="61" customHeight="1">
      <c r="A104" s="37" t="inlineStr">
        <is>
          <t>WHS02_3</t>
        </is>
      </c>
      <c r="B104" s="37" t="inlineStr">
        <is>
          <t>WHS02</t>
        </is>
      </c>
      <c r="C104" s="48" t="n">
        <v>3</v>
      </c>
      <c r="D104" s="37" t="inlineStr">
        <is>
          <t>We have task- and location-appropriate arrangements, capable responders and a recent test or review of readiness.</t>
        </is>
      </c>
      <c r="E104" s="37" t="inlineStr">
        <is>
          <t>Maintain and test: test whether the emergency arrangements work</t>
        </is>
      </c>
      <c r="F104" s="37" t="inlineStr">
        <is>
          <t>The selected response reports an established and checked practice. The tool has not inspected the evidence and cannot certify the absence of risk.</t>
        </is>
      </c>
      <c r="G104" s="37" t="inlineStr">
        <is>
          <t>A response gap may only become visible during an emergency, when there is little time to find an alternative.</t>
        </is>
      </c>
      <c r="H104" s="37" t="inlineStr">
        <is>
          <t>Emergency readiness</t>
        </is>
      </c>
      <c r="I104" s="48" t="n">
        <v>3</v>
      </c>
      <c r="J104" s="48" t="n">
        <v>1</v>
      </c>
      <c r="K104" s="48" t="n">
        <v>1</v>
      </c>
      <c r="L104" s="37" t="inlineStr">
        <is>
          <t>Lower reported concern, not a finding of no risk. The assumed controls are self-reported; a current incident, contrary evidence or failed control takes precedence.</t>
        </is>
      </c>
      <c r="M104" s="37" t="inlineStr">
        <is>
          <t>Maintain the practice described. At the next relevant review, run an appropriate drill or tabletop test; correct gaps and retest the part that failed.</t>
        </is>
      </c>
      <c r="N104" s="37" t="inlineStr">
        <is>
          <t>Check whether changes in work, people or applicable requirements have made the original process less reliable.</t>
        </is>
      </c>
      <c r="O104" s="37" t="inlineStr">
        <is>
          <t>Retain the review outcome and act on any new exception. An unresolved live issue overrides this maintenance pathway.</t>
        </is>
      </c>
      <c r="P104" s="37" t="inlineStr">
        <is>
          <t>Maintain at the stated trigger; for a new low-priority improvement, plan within 90 days.</t>
        </is>
      </c>
      <c r="Q104" s="37" t="inlineStr">
        <is>
          <t>A current example of the practice and a proportionate recheck record. A reviewed emergency plan and readiness check covering relevant people, shifts and locations.</t>
        </is>
      </c>
      <c r="R104" s="37" t="inlineStr">
        <is>
          <t>A reviewed emergency plan and readiness check covering relevant people, shifts and locations.</t>
        </is>
      </c>
      <c r="S104" s="37" t="inlineStr">
        <is>
          <t>Changed premises, shifts, responders or foreseeable emergency scenarios.</t>
        </is>
      </c>
      <c r="T104" s="37" t="inlineStr">
        <is>
          <t>Safety lead / owner</t>
        </is>
      </c>
      <c r="U104" s="37" t="inlineStr">
        <is>
          <t>No further purchase is implied by this result. Seek support only for a material change, unresolved exception or chosen improvement.</t>
        </is>
      </c>
      <c r="V104" s="37" t="inlineStr">
        <is>
          <t>SAFETY</t>
        </is>
      </c>
      <c r="W104" s="37" t="inlineStr">
        <is>
          <t>A_WHS02</t>
        </is>
      </c>
      <c r="X104" s="37" t="inlineStr">
        <is>
          <t>S13;DESIGN</t>
        </is>
      </c>
      <c r="Y104" s="37" t="inlineStr">
        <is>
          <t>https://www.safeworkaustralia.gov.au/safety-topic/managing-health-and-safety/identify-assess-and-control-hazards/managing-risks</t>
        </is>
      </c>
      <c r="Z104" s="37" t="inlineStr">
        <is>
          <t>Assuming equipment on site means responders are available and know what to do.</t>
        </is>
      </c>
    </row>
    <row r="105" ht="61" customHeight="1">
      <c r="A105" s="38" t="inlineStr">
        <is>
          <t>WHS02_DK</t>
        </is>
      </c>
      <c r="B105" s="38" t="inlineStr">
        <is>
          <t>WHS02</t>
        </is>
      </c>
      <c r="C105" s="38" t="inlineStr">
        <is>
          <t>DK</t>
        </is>
      </c>
      <c r="D105" s="38" t="inlineStr">
        <is>
          <t>I need to confirm this.</t>
        </is>
      </c>
      <c r="E105" s="38" t="inlineStr">
        <is>
          <t>Verify: test whether the emergency arrangements work</t>
        </is>
      </c>
      <c r="F105" s="38" t="inlineStr">
        <is>
          <t>This answer identifies a knowledge gap. It does not establish that the practice is missing, that harm has occurred or that a legal duty has been breached.</t>
        </is>
      </c>
      <c r="G105" s="38" t="inlineStr">
        <is>
          <t>A response gap may only become visible during an emergency, when there is little time to find an alternative.</t>
        </is>
      </c>
      <c r="H105" s="38" t="inlineStr">
        <is>
          <t>Emergency readiness</t>
        </is>
      </c>
      <c r="I105" s="49" t="n">
        <v>3</v>
      </c>
      <c r="J105" s="49" t="n">
        <v>0</v>
      </c>
      <c r="K105" s="49" t="n">
        <v>3</v>
      </c>
      <c r="L105" s="38" t="inlineStr">
        <is>
          <t>The risk is not rated from an unknown answer. Verification is High priority because: A response gap may only become visible during an emergency, when there is little time to find an alternative.</t>
        </is>
      </c>
      <c r="M105" s="38" t="inlineStr">
        <is>
          <t>Ask the safety lead / owner to show a current example of the process and the evidence listed below. Confirm the answer before deciding what must be repaired.</t>
        </is>
      </c>
      <c r="N105" s="38" t="inlineStr">
        <is>
          <t>Compare the example with the established-practice description: We have task- and location-appropriate arrangements, capable responders and a recent test or review of readiness.</t>
        </is>
      </c>
      <c r="O105" s="38" t="inlineStr">
        <is>
          <t>Record what was checked, by whom and when. If it remains unclear, keep the verification task open and agree any proportionate interim safeguard.</t>
        </is>
      </c>
      <c r="P105" s="38" t="inlineStr">
        <is>
          <t>Review or verify within two business days and before the next affected event if earlier. Do not wait where a duty or current harm requires earlier action.</t>
        </is>
      </c>
      <c r="Q105" s="38" t="inlineStr">
        <is>
          <t>A dated verification record, the supporting example, an updated answer and any remaining action. No automatic compliance conclusion.</t>
        </is>
      </c>
      <c r="R105" s="38" t="inlineStr">
        <is>
          <t>A reviewed emergency plan and readiness check covering relevant people, shifts and locations.</t>
        </is>
      </c>
      <c r="S105" s="38" t="inlineStr">
        <is>
          <t>Changed premises, shifts, responders or foreseeable emergency scenarios.</t>
        </is>
      </c>
      <c r="T105" s="38" t="inlineStr">
        <is>
          <t>Safety lead / owner</t>
        </is>
      </c>
      <c r="U105" s="38" t="inlineStr">
        <is>
          <t>HR/return-to-work coordination and referral to a competent WHS or insurance specialist where needed.</t>
        </is>
      </c>
      <c r="V105" s="38" t="inlineStr">
        <is>
          <t>SAFETY</t>
        </is>
      </c>
      <c r="W105" s="38" t="inlineStr">
        <is>
          <t>A_WHS02</t>
        </is>
      </c>
      <c r="X105" s="38" t="inlineStr">
        <is>
          <t>S13;DESIGN</t>
        </is>
      </c>
      <c r="Y105" s="38" t="inlineStr">
        <is>
          <t>https://www.safeworkaustralia.gov.au/safety-topic/managing-health-and-safety/identify-assess-and-control-hazards/managing-risks</t>
        </is>
      </c>
      <c r="Z105" s="38" t="inlineStr">
        <is>
          <t>Assuming equipment on site means responders are available and know what to do.</t>
        </is>
      </c>
    </row>
    <row r="106" ht="46" customHeight="1">
      <c r="A106" s="37" t="inlineStr">
        <is>
          <t>WHS03_0</t>
        </is>
      </c>
      <c r="B106" s="37" t="inlineStr">
        <is>
          <t>WHS03</t>
        </is>
      </c>
      <c r="C106" s="48" t="n">
        <v>0</v>
      </c>
      <c r="D106" s="37" t="inlineStr">
        <is>
          <t>Required coverage has not been arranged or checked.</t>
        </is>
      </c>
      <c r="E106" s="37" t="inlineStr">
        <is>
          <t>Verify the scope of workers' compensation cover</t>
        </is>
      </c>
      <c r="F106" s="37" t="inlineStr">
        <is>
          <t>The selected response reports a missing or unestablished element. Confirm the affected arrangements before drawing a conclusion about any actual breach or harm.</t>
        </is>
      </c>
      <c r="G106" s="37" t="inlineStr">
        <is>
          <t>An inaccurate declaration or unsupported assumption about an exemption may leave required coverage unresolved.</t>
        </is>
      </c>
      <c r="H106" s="37" t="inlineStr">
        <is>
          <t>Workers' compensation coverage</t>
        </is>
      </c>
      <c r="I106" s="48" t="n">
        <v>3</v>
      </c>
      <c r="J106" s="48" t="n">
        <v>3</v>
      </c>
      <c r="K106" s="48" t="n">
        <v>3</v>
      </c>
      <c r="L106" s="37" t="inlineStr">
        <is>
          <t>High provisional concern: an essential element remains unresolved. An inaccurate declaration or unsupported assumption about an exemption may leave required coverage unresolved.</t>
        </is>
      </c>
      <c r="M106" s="37" t="inlineStr">
        <is>
          <t>Ask the insurer or relevant authority to confirm the cover required for your workforce and activities. Reconcile declarations with current records.</t>
        </is>
      </c>
      <c r="N106" s="37" t="inlineStr">
        <is>
          <t>Ask the insurer, broker or scheme authority to confirm relevant workers, activities, locations and declarations, including unusual arrangements.</t>
        </is>
      </c>
      <c r="O106" s="37" t="inlineStr">
        <is>
          <t>Retain the supported coverage position and introduce a trigger for changes before the next renewal.</t>
        </is>
      </c>
      <c r="P106" s="37" t="inlineStr">
        <is>
          <t>Review or verify within two business days and before the next affected event if earlier. Do not wait where a duty or current harm requires earlier action.</t>
        </is>
      </c>
      <c r="Q106" s="37" t="inlineStr">
        <is>
          <t>Current cover or a supported exemption assessment, with accurate declarations and a review owner. Confirm that the change works in practice, not only that a document exists.</t>
        </is>
      </c>
      <c r="R106" s="37" t="inlineStr">
        <is>
          <t>Current cover or a supported exemption assessment, with accurate declarations and a review owner.</t>
        </is>
      </c>
      <c r="S106" s="37" t="inlineStr">
        <is>
          <t>Changed workers, activities, wages, locations or scheme requirements.</t>
        </is>
      </c>
      <c r="T106" s="37" t="inlineStr">
        <is>
          <t>Safety lead / owner</t>
        </is>
      </c>
      <c r="U106" s="37" t="inlineStr">
        <is>
          <t>HR/return-to-work coordination and referral to a competent WHS or insurance specialist where needed.</t>
        </is>
      </c>
      <c r="V106" s="37" t="inlineStr">
        <is>
          <t>INJURY</t>
        </is>
      </c>
      <c r="W106" s="37" t="inlineStr">
        <is>
          <t>A_WHS03</t>
        </is>
      </c>
      <c r="X106" s="37" t="inlineStr">
        <is>
          <t>S38;DESIGN</t>
        </is>
      </c>
      <c r="Y106" s="37" t="inlineStr">
        <is>
          <t>https://www.safeworkaustralia.gov.au/workers-compensation</t>
        </is>
      </c>
      <c r="Z106" s="37" t="inlineStr">
        <is>
          <t>Holding an insurance certificate without checking what activities and people it covers.</t>
        </is>
      </c>
    </row>
    <row r="107" ht="46" customHeight="1">
      <c r="A107" s="38" t="inlineStr">
        <is>
          <t>WHS03_1</t>
        </is>
      </c>
      <c r="B107" s="38" t="inlineStr">
        <is>
          <t>WHS03</t>
        </is>
      </c>
      <c r="C107" s="49" t="n">
        <v>1</v>
      </c>
      <c r="D107" s="38" t="inlineStr">
        <is>
          <t>We have a policy or assume an exemption, but have not checked its scope.</t>
        </is>
      </c>
      <c r="E107" s="38" t="inlineStr">
        <is>
          <t>Verify the scope of workers' compensation cover</t>
        </is>
      </c>
      <c r="F107" s="38" t="inlineStr">
        <is>
          <t>The selected response relies on assumptions, informal decisions or an inconsistent process. The action is to make the relevant check reliable in routine work.</t>
        </is>
      </c>
      <c r="G107" s="38" t="inlineStr">
        <is>
          <t>An inaccurate declaration or unsupported assumption about an exemption may leave required coverage unresolved.</t>
        </is>
      </c>
      <c r="H107" s="38" t="inlineStr">
        <is>
          <t>Workers' compensation coverage</t>
        </is>
      </c>
      <c r="I107" s="49" t="n">
        <v>3</v>
      </c>
      <c r="J107" s="49" t="n">
        <v>3</v>
      </c>
      <c r="K107" s="49" t="n">
        <v>3</v>
      </c>
      <c r="L107" s="38" t="inlineStr">
        <is>
          <t>High provisional concern: an essential element remains unresolved. An inaccurate declaration or unsupported assumption about an exemption may leave required coverage unresolved.</t>
        </is>
      </c>
      <c r="M107" s="38" t="inlineStr">
        <is>
          <t>Replace the assumption with a current check. Ask the insurer or relevant authority to confirm the cover required for your workforce and activities. Reconcile declarations with current records.</t>
        </is>
      </c>
      <c r="N107" s="38" t="inlineStr">
        <is>
          <t>Ask the insurer, broker or scheme authority to confirm relevant workers, activities, locations and declarations, including unusual arrangements.</t>
        </is>
      </c>
      <c r="O107" s="38" t="inlineStr">
        <is>
          <t>Retain the supported coverage position and introduce a trigger for changes before the next renewal.</t>
        </is>
      </c>
      <c r="P107" s="38" t="inlineStr">
        <is>
          <t>Review or verify within two business days and before the next affected event if earlier. Do not wait where a duty or current harm requires earlier action.</t>
        </is>
      </c>
      <c r="Q107" s="38" t="inlineStr">
        <is>
          <t>Current cover or a supported exemption assessment, with accurate declarations and a review owner. Confirm that the change works in practice, not only that a document exists.</t>
        </is>
      </c>
      <c r="R107" s="38" t="inlineStr">
        <is>
          <t>Current cover or a supported exemption assessment, with accurate declarations and a review owner.</t>
        </is>
      </c>
      <c r="S107" s="38" t="inlineStr">
        <is>
          <t>Changed workers, activities, wages, locations or scheme requirements.</t>
        </is>
      </c>
      <c r="T107" s="38" t="inlineStr">
        <is>
          <t>Safety lead / owner</t>
        </is>
      </c>
      <c r="U107" s="38" t="inlineStr">
        <is>
          <t>HR/return-to-work coordination and referral to a competent WHS or insurance specialist where needed.</t>
        </is>
      </c>
      <c r="V107" s="38" t="inlineStr">
        <is>
          <t>INJURY</t>
        </is>
      </c>
      <c r="W107" s="38" t="inlineStr">
        <is>
          <t>A_WHS03</t>
        </is>
      </c>
      <c r="X107" s="38" t="inlineStr">
        <is>
          <t>S38;DESIGN</t>
        </is>
      </c>
      <c r="Y107" s="38" t="inlineStr">
        <is>
          <t>https://www.safeworkaustralia.gov.au/workers-compensation</t>
        </is>
      </c>
      <c r="Z107" s="38" t="inlineStr">
        <is>
          <t>Holding an insurance certificate without checking what activities and people it covers.</t>
        </is>
      </c>
    </row>
    <row r="108" ht="46" customHeight="1">
      <c r="A108" s="37" t="inlineStr">
        <is>
          <t>WHS03_2</t>
        </is>
      </c>
      <c r="B108" s="37" t="inlineStr">
        <is>
          <t>WHS03</t>
        </is>
      </c>
      <c r="C108" s="48" t="n">
        <v>2</v>
      </c>
      <c r="D108" s="37" t="inlineStr">
        <is>
          <t>We review renewals, but some workers, activities or declarations may be missing.</t>
        </is>
      </c>
      <c r="E108" s="37" t="inlineStr">
        <is>
          <t>Complete the remaining check: verify the scope of workers' compensation cover</t>
        </is>
      </c>
      <c r="F108" s="37" t="inlineStr">
        <is>
          <t>The selected response identifies an incomplete element within an existing practice. Keep what works and target the unresolved part; the stronger elements do not cancel the gap.</t>
        </is>
      </c>
      <c r="G108" s="37" t="inlineStr">
        <is>
          <t>An inaccurate declaration or unsupported assumption about an exemption may leave required coverage unresolved.</t>
        </is>
      </c>
      <c r="H108" s="37" t="inlineStr">
        <is>
          <t>Workers' compensation coverage</t>
        </is>
      </c>
      <c r="I108" s="48" t="n">
        <v>3</v>
      </c>
      <c r="J108" s="48" t="n">
        <v>3</v>
      </c>
      <c r="K108" s="48" t="n">
        <v>3</v>
      </c>
      <c r="L108" s="37" t="inlineStr">
        <is>
          <t>High provisional concern: an essential element remains unresolved. An inaccurate declaration or unsupported assumption about an exemption may leave required coverage unresolved.</t>
        </is>
      </c>
      <c r="M108" s="37" t="inlineStr">
        <is>
          <t>Focus on the unresolved arrangements or exceptions. Ask the insurer or relevant authority to confirm the cover required for your workforce and activities. Reconcile declarations with current records.</t>
        </is>
      </c>
      <c r="N108" s="37" t="inlineStr">
        <is>
          <t>Ask the insurer, broker or scheme authority to confirm relevant workers, activities, locations and declarations, including unusual arrangements.</t>
        </is>
      </c>
      <c r="O108" s="37" t="inlineStr">
        <is>
          <t>Retain the supported coverage position and introduce a trigger for changes before the next renewal.</t>
        </is>
      </c>
      <c r="P108" s="37" t="inlineStr">
        <is>
          <t>Review or verify within two business days and before the next affected event if earlier. Do not wait where a duty or current harm requires earlier action.</t>
        </is>
      </c>
      <c r="Q108" s="37" t="inlineStr">
        <is>
          <t>Current cover or a supported exemption assessment, with accurate declarations and a review owner. Confirm that the change works in practice, not only that a document exists.</t>
        </is>
      </c>
      <c r="R108" s="37" t="inlineStr">
        <is>
          <t>Current cover or a supported exemption assessment, with accurate declarations and a review owner.</t>
        </is>
      </c>
      <c r="S108" s="37" t="inlineStr">
        <is>
          <t>Changed workers, activities, wages, locations or scheme requirements.</t>
        </is>
      </c>
      <c r="T108" s="37" t="inlineStr">
        <is>
          <t>Safety lead / owner</t>
        </is>
      </c>
      <c r="U108" s="37" t="inlineStr">
        <is>
          <t>HR/return-to-work coordination and referral to a competent WHS or insurance specialist where needed.</t>
        </is>
      </c>
      <c r="V108" s="37" t="inlineStr">
        <is>
          <t>INJURY</t>
        </is>
      </c>
      <c r="W108" s="37" t="inlineStr">
        <is>
          <t>A_WHS03</t>
        </is>
      </c>
      <c r="X108" s="37" t="inlineStr">
        <is>
          <t>S38;DESIGN</t>
        </is>
      </c>
      <c r="Y108" s="37" t="inlineStr">
        <is>
          <t>https://www.safeworkaustralia.gov.au/workers-compensation</t>
        </is>
      </c>
      <c r="Z108" s="37" t="inlineStr">
        <is>
          <t>Holding an insurance certificate without checking what activities and people it covers.</t>
        </is>
      </c>
    </row>
    <row r="109" ht="46" customHeight="1">
      <c r="A109" s="38" t="inlineStr">
        <is>
          <t>WHS03_3</t>
        </is>
      </c>
      <c r="B109" s="38" t="inlineStr">
        <is>
          <t>WHS03</t>
        </is>
      </c>
      <c r="C109" s="49" t="n">
        <v>3</v>
      </c>
      <c r="D109" s="38" t="inlineStr">
        <is>
          <t>We have checked the applicable coverage and declarations, and review them when the workforce or work changes.</t>
        </is>
      </c>
      <c r="E109" s="38" t="inlineStr">
        <is>
          <t>Maintain and test: verify the scope of workers' compensation cover</t>
        </is>
      </c>
      <c r="F109" s="38" t="inlineStr">
        <is>
          <t>The selected response reports an established and checked practice. The tool has not inspected the evidence and cannot certify the absence of risk.</t>
        </is>
      </c>
      <c r="G109" s="38" t="inlineStr">
        <is>
          <t>An inaccurate declaration or unsupported assumption about an exemption may leave required coverage unresolved.</t>
        </is>
      </c>
      <c r="H109" s="38" t="inlineStr">
        <is>
          <t>Workers' compensation coverage</t>
        </is>
      </c>
      <c r="I109" s="49" t="n">
        <v>3</v>
      </c>
      <c r="J109" s="49" t="n">
        <v>1</v>
      </c>
      <c r="K109" s="49" t="n">
        <v>1</v>
      </c>
      <c r="L109" s="38" t="inlineStr">
        <is>
          <t>Lower reported concern, not a finding of no risk. The assumed controls are self-reported; a current incident, contrary evidence or failed control takes precedence.</t>
        </is>
      </c>
      <c r="M109" s="38" t="inlineStr">
        <is>
          <t>Maintain the practice described. At the next relevant review, retain the supported coverage position and introduce a trigger for changes before the next renewal.</t>
        </is>
      </c>
      <c r="N109" s="38" t="inlineStr">
        <is>
          <t>Check whether changes in work, people or applicable requirements have made the original process less reliable.</t>
        </is>
      </c>
      <c r="O109" s="38" t="inlineStr">
        <is>
          <t>Retain the review outcome and act on any new exception. An unresolved live issue overrides this maintenance pathway.</t>
        </is>
      </c>
      <c r="P109" s="38" t="inlineStr">
        <is>
          <t>Maintain at the stated trigger; for a new low-priority improvement, plan within 90 days.</t>
        </is>
      </c>
      <c r="Q109" s="38" t="inlineStr">
        <is>
          <t>A current example of the practice and a proportionate recheck record. Current cover or a supported exemption assessment, with accurate declarations and a review owner.</t>
        </is>
      </c>
      <c r="R109" s="38" t="inlineStr">
        <is>
          <t>Current cover or a supported exemption assessment, with accurate declarations and a review owner.</t>
        </is>
      </c>
      <c r="S109" s="38" t="inlineStr">
        <is>
          <t>Changed workers, activities, wages, locations or scheme requirements.</t>
        </is>
      </c>
      <c r="T109" s="38" t="inlineStr">
        <is>
          <t>Safety lead / owner</t>
        </is>
      </c>
      <c r="U109" s="38" t="inlineStr">
        <is>
          <t>No further purchase is implied by this result. Seek support only for a material change, unresolved exception or chosen improvement.</t>
        </is>
      </c>
      <c r="V109" s="38" t="inlineStr">
        <is>
          <t>INJURY</t>
        </is>
      </c>
      <c r="W109" s="38" t="inlineStr">
        <is>
          <t>A_WHS03</t>
        </is>
      </c>
      <c r="X109" s="38" t="inlineStr">
        <is>
          <t>S38;DESIGN</t>
        </is>
      </c>
      <c r="Y109" s="38" t="inlineStr">
        <is>
          <t>https://www.safeworkaustralia.gov.au/workers-compensation</t>
        </is>
      </c>
      <c r="Z109" s="38" t="inlineStr">
        <is>
          <t>Holding an insurance certificate without checking what activities and people it covers.</t>
        </is>
      </c>
    </row>
    <row r="110" ht="61" customHeight="1">
      <c r="A110" s="37" t="inlineStr">
        <is>
          <t>WHS03_DK</t>
        </is>
      </c>
      <c r="B110" s="37" t="inlineStr">
        <is>
          <t>WHS03</t>
        </is>
      </c>
      <c r="C110" s="37" t="inlineStr">
        <is>
          <t>DK</t>
        </is>
      </c>
      <c r="D110" s="37" t="inlineStr">
        <is>
          <t>I need to confirm this.</t>
        </is>
      </c>
      <c r="E110" s="37" t="inlineStr">
        <is>
          <t>Verify: verify the scope of workers' compensation cover</t>
        </is>
      </c>
      <c r="F110" s="37" t="inlineStr">
        <is>
          <t>This answer identifies a knowledge gap. It does not establish that the practice is missing, that harm has occurred or that a legal duty has been breached.</t>
        </is>
      </c>
      <c r="G110" s="37" t="inlineStr">
        <is>
          <t>An inaccurate declaration or unsupported assumption about an exemption may leave required coverage unresolved.</t>
        </is>
      </c>
      <c r="H110" s="37" t="inlineStr">
        <is>
          <t>Workers' compensation coverage</t>
        </is>
      </c>
      <c r="I110" s="48" t="n">
        <v>3</v>
      </c>
      <c r="J110" s="48" t="n">
        <v>0</v>
      </c>
      <c r="K110" s="48" t="n">
        <v>3</v>
      </c>
      <c r="L110" s="37" t="inlineStr">
        <is>
          <t>The risk is not rated from an unknown answer. Verification is High priority because: An inaccurate declaration or unsupported assumption about an exemption may leave required coverage unresolved.</t>
        </is>
      </c>
      <c r="M110" s="37" t="inlineStr">
        <is>
          <t>Ask the safety lead / owner to show a current example of the process and the evidence listed below. Confirm the answer before deciding what must be repaired.</t>
        </is>
      </c>
      <c r="N110" s="37" t="inlineStr">
        <is>
          <t>Compare the example with the established-practice description: We have checked the applicable coverage and declarations, and review them when the workforce or work changes.</t>
        </is>
      </c>
      <c r="O110" s="37" t="inlineStr">
        <is>
          <t>Record what was checked, by whom and when. If it remains unclear, keep the verification task open and agree any proportionate interim safeguard.</t>
        </is>
      </c>
      <c r="P110" s="37" t="inlineStr">
        <is>
          <t>Review or verify within two business days and before the next affected event if earlier. Do not wait where a duty or current harm requires earlier action.</t>
        </is>
      </c>
      <c r="Q110" s="37" t="inlineStr">
        <is>
          <t>A dated verification record, the supporting example, an updated answer and any remaining action. No automatic compliance conclusion.</t>
        </is>
      </c>
      <c r="R110" s="37" t="inlineStr">
        <is>
          <t>Current cover or a supported exemption assessment, with accurate declarations and a review owner.</t>
        </is>
      </c>
      <c r="S110" s="37" t="inlineStr">
        <is>
          <t>Changed workers, activities, wages, locations or scheme requirements.</t>
        </is>
      </c>
      <c r="T110" s="37" t="inlineStr">
        <is>
          <t>Safety lead / owner</t>
        </is>
      </c>
      <c r="U110" s="37" t="inlineStr">
        <is>
          <t>HR/return-to-work coordination and referral to a competent WHS or insurance specialist where needed.</t>
        </is>
      </c>
      <c r="V110" s="37" t="inlineStr">
        <is>
          <t>INJURY</t>
        </is>
      </c>
      <c r="W110" s="37" t="inlineStr">
        <is>
          <t>A_WHS03</t>
        </is>
      </c>
      <c r="X110" s="37" t="inlineStr">
        <is>
          <t>S38;DESIGN</t>
        </is>
      </c>
      <c r="Y110" s="37" t="inlineStr">
        <is>
          <t>https://www.safeworkaustralia.gov.au/workers-compensation</t>
        </is>
      </c>
      <c r="Z110" s="37" t="inlineStr">
        <is>
          <t>Holding an insurance certificate without checking what activities and people it covers.</t>
        </is>
      </c>
    </row>
    <row r="111" ht="76" customHeight="1">
      <c r="A111" s="38" t="inlineStr">
        <is>
          <t>WHS04_0</t>
        </is>
      </c>
      <c r="B111" s="38" t="inlineStr">
        <is>
          <t>WHS04</t>
        </is>
      </c>
      <c r="C111" s="49" t="n">
        <v>0</v>
      </c>
      <c r="D111" s="38" t="inlineStr">
        <is>
          <t>Staff and managers do not know the response process.</t>
        </is>
      </c>
      <c r="E111" s="38" t="inlineStr">
        <is>
          <t>Clarify the handovers after an injury</t>
        </is>
      </c>
      <c r="F111" s="38" t="inlineStr">
        <is>
          <t>The selected response reports a missing or unestablished element. Confirm the affected arrangements before drawing a conclusion about any actual breach or harm.</t>
        </is>
      </c>
      <c r="G111" s="38" t="inlineStr">
        <is>
          <t>Delay or uncertainty after an incident can compromise immediate care, required notifications and recovery support.</t>
        </is>
      </c>
      <c r="H111" s="38" t="inlineStr">
        <is>
          <t>Incident response and recovery</t>
        </is>
      </c>
      <c r="I111" s="49" t="n">
        <v>3</v>
      </c>
      <c r="J111" s="49" t="n">
        <v>3</v>
      </c>
      <c r="K111" s="49" t="n">
        <v>3</v>
      </c>
      <c r="L111" s="38" t="inlineStr">
        <is>
          <t>High provisional concern: an essential element remains unresolved. Delay or uncertainty after an incident can compromise immediate care, required notifications and recovery support.</t>
        </is>
      </c>
      <c r="M111" s="38" t="inlineStr">
        <is>
          <t>Walk through a fictional injury from first report to return-to-work follow-up. Confirm escalation contacts and jurisdiction-specific requirements.</t>
        </is>
      </c>
      <c r="N111" s="38" t="inlineStr">
        <is>
          <t>Allocate responsibility for immediate response, scheme or regulator contact, record preservation and return-to-work coordination.</t>
        </is>
      </c>
      <c r="O111" s="38" t="inlineStr">
        <is>
          <t>Walk through a realistic scenario and confirm each handover reaches the responsible person on time.</t>
        </is>
      </c>
      <c r="P111" s="38" t="inlineStr">
        <is>
          <t>Review or verify within two business days and before the next affected event if earlier. Do not wait where a duty or current harm requires earlier action.</t>
        </is>
      </c>
      <c r="Q111" s="38" t="inlineStr">
        <is>
          <t>A tested response checklist with named responsibilities and current insurer/regulator contacts. Confirm that the change works in practice, not only that a document exists.</t>
        </is>
      </c>
      <c r="R111" s="38" t="inlineStr">
        <is>
          <t>A tested response checklist with named responsibilities and current insurer/regulator contacts.</t>
        </is>
      </c>
      <c r="S111" s="38" t="inlineStr">
        <is>
          <t>An incident, changed notification rules or failed handover.</t>
        </is>
      </c>
      <c r="T111" s="38" t="inlineStr">
        <is>
          <t>Safety lead / owner</t>
        </is>
      </c>
      <c r="U111" s="38" t="inlineStr">
        <is>
          <t>HR/return-to-work coordination and referral to a competent WHS or insurance specialist where needed.</t>
        </is>
      </c>
      <c r="V111" s="38" t="inlineStr">
        <is>
          <t>INJURY</t>
        </is>
      </c>
      <c r="W111" s="38" t="inlineStr">
        <is>
          <t>A_WHS04</t>
        </is>
      </c>
      <c r="X111" s="38" t="inlineStr">
        <is>
          <t>S13;S38;DESIGN</t>
        </is>
      </c>
      <c r="Y111" s="38" t="inlineStr">
        <is>
          <t>https://www.safeworkaustralia.gov.au/safety-topic/managing-health-and-safety/identify-assess-and-control-hazards/managing-risks
https://www.safeworkaustralia.gov.au/workers-compensation</t>
        </is>
      </c>
      <c r="Z111" s="38" t="inlineStr">
        <is>
          <t>Waiting for an insurer to determine every action the employer should take.</t>
        </is>
      </c>
    </row>
    <row r="112" ht="76" customHeight="1">
      <c r="A112" s="37" t="inlineStr">
        <is>
          <t>WHS04_1</t>
        </is>
      </c>
      <c r="B112" s="37" t="inlineStr">
        <is>
          <t>WHS04</t>
        </is>
      </c>
      <c r="C112" s="48" t="n">
        <v>1</v>
      </c>
      <c r="D112" s="37" t="inlineStr">
        <is>
          <t>We would find guidance after an incident, with no clear owner.</t>
        </is>
      </c>
      <c r="E112" s="37" t="inlineStr">
        <is>
          <t>Clarify the handovers after an injury</t>
        </is>
      </c>
      <c r="F112" s="37" t="inlineStr">
        <is>
          <t>The selected response relies on assumptions, informal decisions or an inconsistent process. The action is to make the relevant check reliable in routine work.</t>
        </is>
      </c>
      <c r="G112" s="37" t="inlineStr">
        <is>
          <t>Delay or uncertainty after an incident can compromise immediate care, required notifications and recovery support.</t>
        </is>
      </c>
      <c r="H112" s="37" t="inlineStr">
        <is>
          <t>Incident response and recovery</t>
        </is>
      </c>
      <c r="I112" s="48" t="n">
        <v>3</v>
      </c>
      <c r="J112" s="48" t="n">
        <v>3</v>
      </c>
      <c r="K112" s="48" t="n">
        <v>3</v>
      </c>
      <c r="L112" s="37" t="inlineStr">
        <is>
          <t>High provisional concern: an essential element remains unresolved. Delay or uncertainty after an incident can compromise immediate care, required notifications and recovery support.</t>
        </is>
      </c>
      <c r="M112" s="37" t="inlineStr">
        <is>
          <t>Replace the assumption with a current check. Walk through a fictional injury from first report to return-to-work follow-up. Confirm escalation contacts and jurisdiction-specific requirements.</t>
        </is>
      </c>
      <c r="N112" s="37" t="inlineStr">
        <is>
          <t>Allocate responsibility for immediate response, scheme or regulator contact, record preservation and return-to-work coordination.</t>
        </is>
      </c>
      <c r="O112" s="37" t="inlineStr">
        <is>
          <t>Walk through a realistic scenario and confirm each handover reaches the responsible person on time.</t>
        </is>
      </c>
      <c r="P112" s="37" t="inlineStr">
        <is>
          <t>Review or verify within two business days and before the next affected event if earlier. Do not wait where a duty or current harm requires earlier action.</t>
        </is>
      </c>
      <c r="Q112" s="37" t="inlineStr">
        <is>
          <t>A tested response checklist with named responsibilities and current insurer/regulator contacts. Confirm that the change works in practice, not only that a document exists.</t>
        </is>
      </c>
      <c r="R112" s="37" t="inlineStr">
        <is>
          <t>A tested response checklist with named responsibilities and current insurer/regulator contacts.</t>
        </is>
      </c>
      <c r="S112" s="37" t="inlineStr">
        <is>
          <t>An incident, changed notification rules or failed handover.</t>
        </is>
      </c>
      <c r="T112" s="37" t="inlineStr">
        <is>
          <t>Safety lead / owner</t>
        </is>
      </c>
      <c r="U112" s="37" t="inlineStr">
        <is>
          <t>HR/return-to-work coordination and referral to a competent WHS or insurance specialist where needed.</t>
        </is>
      </c>
      <c r="V112" s="37" t="inlineStr">
        <is>
          <t>INJURY</t>
        </is>
      </c>
      <c r="W112" s="37" t="inlineStr">
        <is>
          <t>A_WHS04</t>
        </is>
      </c>
      <c r="X112" s="37" t="inlineStr">
        <is>
          <t>S13;S38;DESIGN</t>
        </is>
      </c>
      <c r="Y112" s="37" t="inlineStr">
        <is>
          <t>https://www.safeworkaustralia.gov.au/safety-topic/managing-health-and-safety/identify-assess-and-control-hazards/managing-risks
https://www.safeworkaustralia.gov.au/workers-compensation</t>
        </is>
      </c>
      <c r="Z112" s="37" t="inlineStr">
        <is>
          <t>Waiting for an insurer to determine every action the employer should take.</t>
        </is>
      </c>
    </row>
    <row r="113" ht="76" customHeight="1">
      <c r="A113" s="38" t="inlineStr">
        <is>
          <t>WHS04_2</t>
        </is>
      </c>
      <c r="B113" s="38" t="inlineStr">
        <is>
          <t>WHS04</t>
        </is>
      </c>
      <c r="C113" s="49" t="n">
        <v>2</v>
      </c>
      <c r="D113" s="38" t="inlineStr">
        <is>
          <t>We have a response process, but notification, follow-up or return-to-work responsibilities need testing.</t>
        </is>
      </c>
      <c r="E113" s="38" t="inlineStr">
        <is>
          <t>Complete the remaining check: clarify the handovers after an injury</t>
        </is>
      </c>
      <c r="F113" s="38" t="inlineStr">
        <is>
          <t>The selected response identifies an incomplete element within an existing practice. Keep what works and target the unresolved part; the stronger elements do not cancel the gap.</t>
        </is>
      </c>
      <c r="G113" s="38" t="inlineStr">
        <is>
          <t>Delay or uncertainty after an incident can compromise immediate care, required notifications and recovery support.</t>
        </is>
      </c>
      <c r="H113" s="38" t="inlineStr">
        <is>
          <t>Incident response and recovery</t>
        </is>
      </c>
      <c r="I113" s="49" t="n">
        <v>3</v>
      </c>
      <c r="J113" s="49" t="n">
        <v>2</v>
      </c>
      <c r="K113" s="49" t="n">
        <v>2</v>
      </c>
      <c r="L113" s="38" t="inlineStr">
        <is>
          <t>Medium provisional concern: a material practice needs improvement. Delay or uncertainty after an incident can compromise immediate care, required notifications and recovery support.</t>
        </is>
      </c>
      <c r="M113" s="38" t="inlineStr">
        <is>
          <t>Focus on the unresolved arrangements or exceptions. Walk through a fictional injury from first report to return-to-work follow-up. Confirm escalation contacts and jurisdiction-specific requirements.</t>
        </is>
      </c>
      <c r="N113" s="38" t="inlineStr">
        <is>
          <t>Allocate responsibility for immediate response, scheme or regulator contact, record preservation and return-to-work coordination.</t>
        </is>
      </c>
      <c r="O113" s="38" t="inlineStr">
        <is>
          <t>Walk through a realistic scenario and confirm each handover reaches the responsible person on time.</t>
        </is>
      </c>
      <c r="P113" s="38" t="inlineStr">
        <is>
          <t>Agree an owner and plan within 30 days, or before the next affected event if earlier.</t>
        </is>
      </c>
      <c r="Q113" s="38" t="inlineStr">
        <is>
          <t>A tested response checklist with named responsibilities and current insurer/regulator contacts. Confirm that the change works in practice, not only that a document exists.</t>
        </is>
      </c>
      <c r="R113" s="38" t="inlineStr">
        <is>
          <t>A tested response checklist with named responsibilities and current insurer/regulator contacts.</t>
        </is>
      </c>
      <c r="S113" s="38" t="inlineStr">
        <is>
          <t>An incident, changed notification rules or failed handover.</t>
        </is>
      </c>
      <c r="T113" s="38" t="inlineStr">
        <is>
          <t>Safety lead / owner</t>
        </is>
      </c>
      <c r="U113" s="38" t="inlineStr">
        <is>
          <t>HR/return-to-work coordination and referral to a competent WHS or insurance specialist where needed.</t>
        </is>
      </c>
      <c r="V113" s="38" t="inlineStr">
        <is>
          <t>INJURY</t>
        </is>
      </c>
      <c r="W113" s="38" t="inlineStr">
        <is>
          <t>A_WHS04</t>
        </is>
      </c>
      <c r="X113" s="38" t="inlineStr">
        <is>
          <t>S13;S38;DESIGN</t>
        </is>
      </c>
      <c r="Y113" s="38" t="inlineStr">
        <is>
          <t>https://www.safeworkaustralia.gov.au/safety-topic/managing-health-and-safety/identify-assess-and-control-hazards/managing-risks
https://www.safeworkaustralia.gov.au/workers-compensation</t>
        </is>
      </c>
      <c r="Z113" s="38" t="inlineStr">
        <is>
          <t>Waiting for an insurer to determine every action the employer should take.</t>
        </is>
      </c>
    </row>
    <row r="114" ht="76" customHeight="1">
      <c r="A114" s="37" t="inlineStr">
        <is>
          <t>WHS04_3</t>
        </is>
      </c>
      <c r="B114" s="37" t="inlineStr">
        <is>
          <t>WHS04</t>
        </is>
      </c>
      <c r="C114" s="48" t="n">
        <v>3</v>
      </c>
      <c r="D114" s="37" t="inlineStr">
        <is>
          <t>People know how to report an incident and who will manage immediate response, required notifications and recovery support.</t>
        </is>
      </c>
      <c r="E114" s="37" t="inlineStr">
        <is>
          <t>Maintain and test: clarify the handovers after an injury</t>
        </is>
      </c>
      <c r="F114" s="37" t="inlineStr">
        <is>
          <t>The selected response reports an established and checked practice. The tool has not inspected the evidence and cannot certify the absence of risk.</t>
        </is>
      </c>
      <c r="G114" s="37" t="inlineStr">
        <is>
          <t>Delay or uncertainty after an incident can compromise immediate care, required notifications and recovery support.</t>
        </is>
      </c>
      <c r="H114" s="37" t="inlineStr">
        <is>
          <t>Incident response and recovery</t>
        </is>
      </c>
      <c r="I114" s="48" t="n">
        <v>3</v>
      </c>
      <c r="J114" s="48" t="n">
        <v>1</v>
      </c>
      <c r="K114" s="48" t="n">
        <v>1</v>
      </c>
      <c r="L114" s="37" t="inlineStr">
        <is>
          <t>Lower reported concern, not a finding of no risk. The assumed controls are self-reported; a current incident, contrary evidence or failed control takes precedence.</t>
        </is>
      </c>
      <c r="M114" s="37" t="inlineStr">
        <is>
          <t>Maintain the practice described. At the next relevant review, walk through a realistic scenario and confirm each handover reaches the responsible person on time.</t>
        </is>
      </c>
      <c r="N114" s="37" t="inlineStr">
        <is>
          <t>Check whether changes in work, people or applicable requirements have made the original process less reliable.</t>
        </is>
      </c>
      <c r="O114" s="37" t="inlineStr">
        <is>
          <t>Retain the review outcome and act on any new exception. An unresolved live issue overrides this maintenance pathway.</t>
        </is>
      </c>
      <c r="P114" s="37" t="inlineStr">
        <is>
          <t>Maintain at the stated trigger; for a new low-priority improvement, plan within 90 days.</t>
        </is>
      </c>
      <c r="Q114" s="37" t="inlineStr">
        <is>
          <t>A current example of the practice and a proportionate recheck record. A tested response checklist with named responsibilities and current insurer/regulator contacts.</t>
        </is>
      </c>
      <c r="R114" s="37" t="inlineStr">
        <is>
          <t>A tested response checklist with named responsibilities and current insurer/regulator contacts.</t>
        </is>
      </c>
      <c r="S114" s="37" t="inlineStr">
        <is>
          <t>An incident, changed notification rules or failed handover.</t>
        </is>
      </c>
      <c r="T114" s="37" t="inlineStr">
        <is>
          <t>Safety lead / owner</t>
        </is>
      </c>
      <c r="U114" s="37" t="inlineStr">
        <is>
          <t>No further purchase is implied by this result. Seek support only for a material change, unresolved exception or chosen improvement.</t>
        </is>
      </c>
      <c r="V114" s="37" t="inlineStr">
        <is>
          <t>INJURY</t>
        </is>
      </c>
      <c r="W114" s="37" t="inlineStr">
        <is>
          <t>A_WHS04</t>
        </is>
      </c>
      <c r="X114" s="37" t="inlineStr">
        <is>
          <t>S13;S38;DESIGN</t>
        </is>
      </c>
      <c r="Y114" s="37" t="inlineStr">
        <is>
          <t>https://www.safeworkaustralia.gov.au/safety-topic/managing-health-and-safety/identify-assess-and-control-hazards/managing-risks
https://www.safeworkaustralia.gov.au/workers-compensation</t>
        </is>
      </c>
      <c r="Z114" s="37" t="inlineStr">
        <is>
          <t>Waiting for an insurer to determine every action the employer should take.</t>
        </is>
      </c>
    </row>
    <row r="115" ht="76" customHeight="1">
      <c r="A115" s="38" t="inlineStr">
        <is>
          <t>WHS04_DK</t>
        </is>
      </c>
      <c r="B115" s="38" t="inlineStr">
        <is>
          <t>WHS04</t>
        </is>
      </c>
      <c r="C115" s="38" t="inlineStr">
        <is>
          <t>DK</t>
        </is>
      </c>
      <c r="D115" s="38" t="inlineStr">
        <is>
          <t>I need to confirm this.</t>
        </is>
      </c>
      <c r="E115" s="38" t="inlineStr">
        <is>
          <t>Verify: clarify the handovers after an injury</t>
        </is>
      </c>
      <c r="F115" s="38" t="inlineStr">
        <is>
          <t>This answer identifies a knowledge gap. It does not establish that the practice is missing, that harm has occurred or that a legal duty has been breached.</t>
        </is>
      </c>
      <c r="G115" s="38" t="inlineStr">
        <is>
          <t>Delay or uncertainty after an incident can compromise immediate care, required notifications and recovery support.</t>
        </is>
      </c>
      <c r="H115" s="38" t="inlineStr">
        <is>
          <t>Incident response and recovery</t>
        </is>
      </c>
      <c r="I115" s="49" t="n">
        <v>3</v>
      </c>
      <c r="J115" s="49" t="n">
        <v>0</v>
      </c>
      <c r="K115" s="49" t="n">
        <v>3</v>
      </c>
      <c r="L115" s="38" t="inlineStr">
        <is>
          <t>The risk is not rated from an unknown answer. Verification is High priority because: Delay or uncertainty after an incident can compromise immediate care, required notifications and recovery support.</t>
        </is>
      </c>
      <c r="M115" s="38" t="inlineStr">
        <is>
          <t>Ask the safety lead / owner to show a current example of the process and the evidence listed below. Confirm the answer before deciding what must be repaired.</t>
        </is>
      </c>
      <c r="N115" s="38" t="inlineStr">
        <is>
          <t>Compare the example with the established-practice description: People know how to report an incident and who will manage immediate response, required notifications and recovery support.</t>
        </is>
      </c>
      <c r="O115" s="38" t="inlineStr">
        <is>
          <t>Record what was checked, by whom and when. If it remains unclear, keep the verification task open and agree any proportionate interim safeguard.</t>
        </is>
      </c>
      <c r="P115" s="38" t="inlineStr">
        <is>
          <t>Review or verify within two business days and before the next affected event if earlier. Do not wait where a duty or current harm requires earlier action.</t>
        </is>
      </c>
      <c r="Q115" s="38" t="inlineStr">
        <is>
          <t>A dated verification record, the supporting example, an updated answer and any remaining action. No automatic compliance conclusion.</t>
        </is>
      </c>
      <c r="R115" s="38" t="inlineStr">
        <is>
          <t>A tested response checklist with named responsibilities and current insurer/regulator contacts.</t>
        </is>
      </c>
      <c r="S115" s="38" t="inlineStr">
        <is>
          <t>An incident, changed notification rules or failed handover.</t>
        </is>
      </c>
      <c r="T115" s="38" t="inlineStr">
        <is>
          <t>Safety lead / owner</t>
        </is>
      </c>
      <c r="U115" s="38" t="inlineStr">
        <is>
          <t>HR/return-to-work coordination and referral to a competent WHS or insurance specialist where needed.</t>
        </is>
      </c>
      <c r="V115" s="38" t="inlineStr">
        <is>
          <t>INJURY</t>
        </is>
      </c>
      <c r="W115" s="38" t="inlineStr">
        <is>
          <t>A_WHS04</t>
        </is>
      </c>
      <c r="X115" s="38" t="inlineStr">
        <is>
          <t>S13;S38;DESIGN</t>
        </is>
      </c>
      <c r="Y115" s="38" t="inlineStr">
        <is>
          <t>https://www.safeworkaustralia.gov.au/safety-topic/managing-health-and-safety/identify-assess-and-control-hazards/managing-risks
https://www.safeworkaustralia.gov.au/workers-compensation</t>
        </is>
      </c>
      <c r="Z115" s="38" t="inlineStr">
        <is>
          <t>Waiting for an insurer to determine every action the employer should take.</t>
        </is>
      </c>
    </row>
    <row r="116" ht="61" customHeight="1">
      <c r="A116" s="37" t="inlineStr">
        <is>
          <t>PER01_0</t>
        </is>
      </c>
      <c r="B116" s="37" t="inlineStr">
        <is>
          <t>PER01</t>
        </is>
      </c>
      <c r="C116" s="48" t="n">
        <v>0</v>
      </c>
      <c r="D116" s="37" t="inlineStr">
        <is>
          <t>Employees rarely receive clear expectations or useful feedback.</t>
        </is>
      </c>
      <c r="E116" s="37" t="inlineStr">
        <is>
          <t>Make expectations and follow-up visible</t>
        </is>
      </c>
      <c r="F116" s="37" t="inlineStr">
        <is>
          <t>The selected response reports a missing or unestablished element. Confirm the affected arrangements before drawing a conclusion about any actual breach or harm.</t>
        </is>
      </c>
      <c r="G116" s="37" t="inlineStr">
        <is>
          <t>Unclear expectations make it difficult to distinguish a capability gap from a problem in instructions, workload or support.</t>
        </is>
      </c>
      <c r="H116" s="37" t="inlineStr">
        <is>
          <t>Performance and avoidable rework</t>
        </is>
      </c>
      <c r="I116" s="48" t="n">
        <v>2</v>
      </c>
      <c r="J116" s="48" t="n">
        <v>2</v>
      </c>
      <c r="K116" s="48" t="n">
        <v>2</v>
      </c>
      <c r="L116" s="37" t="inlineStr">
        <is>
          <t>Medium provisional concern: a material practice needs improvement. Unclear expectations make it difficult to distinguish a capability gap from a problem in instructions, workload or support.</t>
        </is>
      </c>
      <c r="M116" s="37" t="inlineStr">
        <is>
          <t>Agree the most important outcomes for each role and establish a practical check-in rhythm. Record agreed actions rather than lengthy appraisal narratives.</t>
        </is>
      </c>
      <c r="N116" s="37" t="inlineStr">
        <is>
          <t>Agree a small set of expected outcomes and a regular conversation about progress, obstacles and support.</t>
        </is>
      </c>
      <c r="O116" s="37" t="inlineStr">
        <is>
          <t>Check whether agreed actions happened and whether the employee can describe what good performance looks like.</t>
        </is>
      </c>
      <c r="P116" s="37" t="inlineStr">
        <is>
          <t>Agree an owner and plan within 30 days, or before the next affected event if earlier.</t>
        </is>
      </c>
      <c r="Q116" s="37" t="inlineStr">
        <is>
          <t>Current role goals and recent check-in notes showing feedback, support and follow-up. Confirm that the change works in practice, not only that a document exists.</t>
        </is>
      </c>
      <c r="R116" s="37" t="inlineStr">
        <is>
          <t>Current role goals and recent check-in notes showing feedback, support and follow-up.</t>
        </is>
      </c>
      <c r="S116" s="37" t="inlineStr">
        <is>
          <t>Changed priorities, role requirements or repeated missed expectations.</t>
        </is>
      </c>
      <c r="T116" s="37" t="inlineStr">
        <is>
          <t>People manager</t>
        </is>
      </c>
      <c r="U116" s="37" t="inlineStr">
        <is>
          <t>Manager coaching and a fair performance or conduct process for the identified situation.</t>
        </is>
      </c>
      <c r="V116" s="37" t="inlineStr">
        <is>
          <t>PERFORMANCE</t>
        </is>
      </c>
      <c r="W116" s="37" t="inlineStr">
        <is>
          <t>A_PER01</t>
        </is>
      </c>
      <c r="X116" s="37" t="inlineStr">
        <is>
          <t>S27;DESIGN</t>
        </is>
      </c>
      <c r="Y116" s="37" t="inlineStr">
        <is>
          <t>https://www.fairwork.gov.au/sites/default/files/migration/711/managing-underperformance-best-practice-guide.pdf</t>
        </is>
      </c>
      <c r="Z116" s="37" t="inlineStr">
        <is>
          <t>Replacing useful feedback with an annual rating exercise.</t>
        </is>
      </c>
    </row>
    <row r="117" ht="61" customHeight="1">
      <c r="A117" s="38" t="inlineStr">
        <is>
          <t>PER01_1</t>
        </is>
      </c>
      <c r="B117" s="38" t="inlineStr">
        <is>
          <t>PER01</t>
        </is>
      </c>
      <c r="C117" s="49" t="n">
        <v>1</v>
      </c>
      <c r="D117" s="38" t="inlineStr">
        <is>
          <t>Feedback usually happens only when a problem arises.</t>
        </is>
      </c>
      <c r="E117" s="38" t="inlineStr">
        <is>
          <t>Make expectations and follow-up visible</t>
        </is>
      </c>
      <c r="F117" s="38" t="inlineStr">
        <is>
          <t>The selected response relies on assumptions, informal decisions or an inconsistent process. The action is to make the relevant check reliable in routine work.</t>
        </is>
      </c>
      <c r="G117" s="38" t="inlineStr">
        <is>
          <t>Unclear expectations make it difficult to distinguish a capability gap from a problem in instructions, workload or support.</t>
        </is>
      </c>
      <c r="H117" s="38" t="inlineStr">
        <is>
          <t>Performance and avoidable rework</t>
        </is>
      </c>
      <c r="I117" s="49" t="n">
        <v>2</v>
      </c>
      <c r="J117" s="49" t="n">
        <v>2</v>
      </c>
      <c r="K117" s="49" t="n">
        <v>2</v>
      </c>
      <c r="L117" s="38" t="inlineStr">
        <is>
          <t>Medium provisional concern: a material practice needs improvement. Unclear expectations make it difficult to distinguish a capability gap from a problem in instructions, workload or support.</t>
        </is>
      </c>
      <c r="M117" s="38" t="inlineStr">
        <is>
          <t>Replace the assumption with a current check. Agree the most important outcomes for each role and establish a practical check-in rhythm. Record agreed actions rather than lengthy appraisal narratives.</t>
        </is>
      </c>
      <c r="N117" s="38" t="inlineStr">
        <is>
          <t>Agree a small set of expected outcomes and a regular conversation about progress, obstacles and support.</t>
        </is>
      </c>
      <c r="O117" s="38" t="inlineStr">
        <is>
          <t>Check whether agreed actions happened and whether the employee can describe what good performance looks like.</t>
        </is>
      </c>
      <c r="P117" s="38" t="inlineStr">
        <is>
          <t>Agree an owner and plan within 30 days, or before the next affected event if earlier.</t>
        </is>
      </c>
      <c r="Q117" s="38" t="inlineStr">
        <is>
          <t>Current role goals and recent check-in notes showing feedback, support and follow-up. Confirm that the change works in practice, not only that a document exists.</t>
        </is>
      </c>
      <c r="R117" s="38" t="inlineStr">
        <is>
          <t>Current role goals and recent check-in notes showing feedback, support and follow-up.</t>
        </is>
      </c>
      <c r="S117" s="38" t="inlineStr">
        <is>
          <t>Changed priorities, role requirements or repeated missed expectations.</t>
        </is>
      </c>
      <c r="T117" s="38" t="inlineStr">
        <is>
          <t>People manager</t>
        </is>
      </c>
      <c r="U117" s="38" t="inlineStr">
        <is>
          <t>Manager coaching and a fair performance or conduct process for the identified situation.</t>
        </is>
      </c>
      <c r="V117" s="38" t="inlineStr">
        <is>
          <t>PERFORMANCE</t>
        </is>
      </c>
      <c r="W117" s="38" t="inlineStr">
        <is>
          <t>A_PER01</t>
        </is>
      </c>
      <c r="X117" s="38" t="inlineStr">
        <is>
          <t>S27;DESIGN</t>
        </is>
      </c>
      <c r="Y117" s="38" t="inlineStr">
        <is>
          <t>https://www.fairwork.gov.au/sites/default/files/migration/711/managing-underperformance-best-practice-guide.pdf</t>
        </is>
      </c>
      <c r="Z117" s="38" t="inlineStr">
        <is>
          <t>Replacing useful feedback with an annual rating exercise.</t>
        </is>
      </c>
    </row>
    <row r="118" ht="61" customHeight="1">
      <c r="A118" s="37" t="inlineStr">
        <is>
          <t>PER01_2</t>
        </is>
      </c>
      <c r="B118" s="37" t="inlineStr">
        <is>
          <t>PER01</t>
        </is>
      </c>
      <c r="C118" s="48" t="n">
        <v>2</v>
      </c>
      <c r="D118" s="37" t="inlineStr">
        <is>
          <t>Most employees have goals and check-ins, but follow-up or records vary.</t>
        </is>
      </c>
      <c r="E118" s="37" t="inlineStr">
        <is>
          <t>Complete the remaining check: make expectations and follow-up visible</t>
        </is>
      </c>
      <c r="F118" s="37" t="inlineStr">
        <is>
          <t>The selected response identifies an incomplete element within an existing practice. Keep what works and target the unresolved part; the stronger elements do not cancel the gap.</t>
        </is>
      </c>
      <c r="G118" s="37" t="inlineStr">
        <is>
          <t>Unclear expectations make it difficult to distinguish a capability gap from a problem in instructions, workload or support.</t>
        </is>
      </c>
      <c r="H118" s="37" t="inlineStr">
        <is>
          <t>Performance and avoidable rework</t>
        </is>
      </c>
      <c r="I118" s="48" t="n">
        <v>2</v>
      </c>
      <c r="J118" s="48" t="n">
        <v>2</v>
      </c>
      <c r="K118" s="48" t="n">
        <v>2</v>
      </c>
      <c r="L118" s="37" t="inlineStr">
        <is>
          <t>Medium provisional concern: a material practice needs improvement. Unclear expectations make it difficult to distinguish a capability gap from a problem in instructions, workload or support.</t>
        </is>
      </c>
      <c r="M118" s="37" t="inlineStr">
        <is>
          <t>Focus on the unresolved arrangements or exceptions. Agree the most important outcomes for each role and establish a practical check-in rhythm. Record agreed actions rather than lengthy appraisal narratives.</t>
        </is>
      </c>
      <c r="N118" s="37" t="inlineStr">
        <is>
          <t>Agree a small set of expected outcomes and a regular conversation about progress, obstacles and support.</t>
        </is>
      </c>
      <c r="O118" s="37" t="inlineStr">
        <is>
          <t>Check whether agreed actions happened and whether the employee can describe what good performance looks like.</t>
        </is>
      </c>
      <c r="P118" s="37" t="inlineStr">
        <is>
          <t>Agree an owner and plan within 30 days, or before the next affected event if earlier.</t>
        </is>
      </c>
      <c r="Q118" s="37" t="inlineStr">
        <is>
          <t>Current role goals and recent check-in notes showing feedback, support and follow-up. Confirm that the change works in practice, not only that a document exists.</t>
        </is>
      </c>
      <c r="R118" s="37" t="inlineStr">
        <is>
          <t>Current role goals and recent check-in notes showing feedback, support and follow-up.</t>
        </is>
      </c>
      <c r="S118" s="37" t="inlineStr">
        <is>
          <t>Changed priorities, role requirements or repeated missed expectations.</t>
        </is>
      </c>
      <c r="T118" s="37" t="inlineStr">
        <is>
          <t>People manager</t>
        </is>
      </c>
      <c r="U118" s="37" t="inlineStr">
        <is>
          <t>Manager coaching and a fair performance or conduct process for the identified situation.</t>
        </is>
      </c>
      <c r="V118" s="37" t="inlineStr">
        <is>
          <t>PERFORMANCE</t>
        </is>
      </c>
      <c r="W118" s="37" t="inlineStr">
        <is>
          <t>A_PER01</t>
        </is>
      </c>
      <c r="X118" s="37" t="inlineStr">
        <is>
          <t>S27;DESIGN</t>
        </is>
      </c>
      <c r="Y118" s="37" t="inlineStr">
        <is>
          <t>https://www.fairwork.gov.au/sites/default/files/migration/711/managing-underperformance-best-practice-guide.pdf</t>
        </is>
      </c>
      <c r="Z118" s="37" t="inlineStr">
        <is>
          <t>Replacing useful feedback with an annual rating exercise.</t>
        </is>
      </c>
    </row>
    <row r="119" ht="46" customHeight="1">
      <c r="A119" s="38" t="inlineStr">
        <is>
          <t>PER01_3</t>
        </is>
      </c>
      <c r="B119" s="38" t="inlineStr">
        <is>
          <t>PER01</t>
        </is>
      </c>
      <c r="C119" s="49" t="n">
        <v>3</v>
      </c>
      <c r="D119" s="38" t="inlineStr">
        <is>
          <t>Employees understand the expected outcomes, receive regular feedback and have agreed follow-up recorded.</t>
        </is>
      </c>
      <c r="E119" s="38" t="inlineStr">
        <is>
          <t>Maintain and test: make expectations and follow-up visible</t>
        </is>
      </c>
      <c r="F119" s="38" t="inlineStr">
        <is>
          <t>The selected response reports an established and checked practice. The tool has not inspected the evidence and cannot certify the absence of risk.</t>
        </is>
      </c>
      <c r="G119" s="38" t="inlineStr">
        <is>
          <t>Unclear expectations make it difficult to distinguish a capability gap from a problem in instructions, workload or support.</t>
        </is>
      </c>
      <c r="H119" s="38" t="inlineStr">
        <is>
          <t>Performance and avoidable rework</t>
        </is>
      </c>
      <c r="I119" s="49" t="n">
        <v>2</v>
      </c>
      <c r="J119" s="49" t="n">
        <v>1</v>
      </c>
      <c r="K119" s="49" t="n">
        <v>1</v>
      </c>
      <c r="L119" s="38" t="inlineStr">
        <is>
          <t>Lower reported concern, not a finding of no risk. The assumed controls are self-reported; a current incident, contrary evidence or failed control takes precedence.</t>
        </is>
      </c>
      <c r="M119" s="38" t="inlineStr">
        <is>
          <t>Maintain the practice described. At the next relevant review, check whether agreed actions happened and whether the employee can describe what good performance looks like.</t>
        </is>
      </c>
      <c r="N119" s="38" t="inlineStr">
        <is>
          <t>Check whether changes in work, people or applicable requirements have made the original process less reliable.</t>
        </is>
      </c>
      <c r="O119" s="38" t="inlineStr">
        <is>
          <t>Retain the review outcome and act on any new exception. An unresolved live issue overrides this maintenance pathway.</t>
        </is>
      </c>
      <c r="P119" s="38" t="inlineStr">
        <is>
          <t>Maintain at the stated trigger; for a new low-priority improvement, plan within 90 days.</t>
        </is>
      </c>
      <c r="Q119" s="38" t="inlineStr">
        <is>
          <t>A current example of the practice and a proportionate recheck record. Current role goals and recent check-in notes showing feedback, support and follow-up.</t>
        </is>
      </c>
      <c r="R119" s="38" t="inlineStr">
        <is>
          <t>Current role goals and recent check-in notes showing feedback, support and follow-up.</t>
        </is>
      </c>
      <c r="S119" s="38" t="inlineStr">
        <is>
          <t>Changed priorities, role requirements or repeated missed expectations.</t>
        </is>
      </c>
      <c r="T119" s="38" t="inlineStr">
        <is>
          <t>People manager</t>
        </is>
      </c>
      <c r="U119" s="38" t="inlineStr">
        <is>
          <t>No further purchase is implied by this result. Seek support only for a material change, unresolved exception or chosen improvement.</t>
        </is>
      </c>
      <c r="V119" s="38" t="inlineStr">
        <is>
          <t>PERFORMANCE</t>
        </is>
      </c>
      <c r="W119" s="38" t="inlineStr">
        <is>
          <t>A_PER01</t>
        </is>
      </c>
      <c r="X119" s="38" t="inlineStr">
        <is>
          <t>S27;DESIGN</t>
        </is>
      </c>
      <c r="Y119" s="38" t="inlineStr">
        <is>
          <t>https://www.fairwork.gov.au/sites/default/files/migration/711/managing-underperformance-best-practice-guide.pdf</t>
        </is>
      </c>
      <c r="Z119" s="38" t="inlineStr">
        <is>
          <t>Replacing useful feedback with an annual rating exercise.</t>
        </is>
      </c>
    </row>
    <row r="120" ht="61" customHeight="1">
      <c r="A120" s="37" t="inlineStr">
        <is>
          <t>PER01_DK</t>
        </is>
      </c>
      <c r="B120" s="37" t="inlineStr">
        <is>
          <t>PER01</t>
        </is>
      </c>
      <c r="C120" s="37" t="inlineStr">
        <is>
          <t>DK</t>
        </is>
      </c>
      <c r="D120" s="37" t="inlineStr">
        <is>
          <t>I need to confirm this.</t>
        </is>
      </c>
      <c r="E120" s="37" t="inlineStr">
        <is>
          <t>Verify: make expectations and follow-up visible</t>
        </is>
      </c>
      <c r="F120" s="37" t="inlineStr">
        <is>
          <t>This answer identifies a knowledge gap. It does not establish that the practice is missing, that harm has occurred or that a legal duty has been breached.</t>
        </is>
      </c>
      <c r="G120" s="37" t="inlineStr">
        <is>
          <t>Unclear expectations make it difficult to distinguish a capability gap from a problem in instructions, workload or support.</t>
        </is>
      </c>
      <c r="H120" s="37" t="inlineStr">
        <is>
          <t>Performance and avoidable rework</t>
        </is>
      </c>
      <c r="I120" s="48" t="n">
        <v>2</v>
      </c>
      <c r="J120" s="48" t="n">
        <v>0</v>
      </c>
      <c r="K120" s="48" t="n">
        <v>2</v>
      </c>
      <c r="L120" s="37" t="inlineStr">
        <is>
          <t>The risk is not rated from an unknown answer. Verification is Medium priority because: Unclear expectations make it difficult to distinguish a capability gap from a problem in instructions, workload or support.</t>
        </is>
      </c>
      <c r="M120" s="37" t="inlineStr">
        <is>
          <t>Ask the people manager to show a current example of the process and the evidence listed below. Confirm the answer before deciding what must be repaired.</t>
        </is>
      </c>
      <c r="N120" s="37" t="inlineStr">
        <is>
          <t>Compare the example with the established-practice description: Employees understand the expected outcomes, receive regular feedback and have agreed follow-up recorded.</t>
        </is>
      </c>
      <c r="O120" s="37" t="inlineStr">
        <is>
          <t>Record what was checked, by whom and when. If it remains unclear, keep the verification task open and agree any proportionate interim safeguard.</t>
        </is>
      </c>
      <c r="P120" s="37" t="inlineStr">
        <is>
          <t>Agree an owner and plan within 30 days, or before the next affected event if earlier.</t>
        </is>
      </c>
      <c r="Q120" s="37" t="inlineStr">
        <is>
          <t>A dated verification record, the supporting example, an updated answer and any remaining action. No automatic compliance conclusion.</t>
        </is>
      </c>
      <c r="R120" s="37" t="inlineStr">
        <is>
          <t>Current role goals and recent check-in notes showing feedback, support and follow-up.</t>
        </is>
      </c>
      <c r="S120" s="37" t="inlineStr">
        <is>
          <t>Changed priorities, role requirements or repeated missed expectations.</t>
        </is>
      </c>
      <c r="T120" s="37" t="inlineStr">
        <is>
          <t>People manager</t>
        </is>
      </c>
      <c r="U120" s="37" t="inlineStr">
        <is>
          <t>Manager coaching and a fair performance or conduct process for the identified situation.</t>
        </is>
      </c>
      <c r="V120" s="37" t="inlineStr">
        <is>
          <t>PERFORMANCE</t>
        </is>
      </c>
      <c r="W120" s="37" t="inlineStr">
        <is>
          <t>A_PER01</t>
        </is>
      </c>
      <c r="X120" s="37" t="inlineStr">
        <is>
          <t>S27;DESIGN</t>
        </is>
      </c>
      <c r="Y120" s="37" t="inlineStr">
        <is>
          <t>https://www.fairwork.gov.au/sites/default/files/migration/711/managing-underperformance-best-practice-guide.pdf</t>
        </is>
      </c>
      <c r="Z120" s="37" t="inlineStr">
        <is>
          <t>Replacing useful feedback with an annual rating exercise.</t>
        </is>
      </c>
    </row>
    <row r="121" ht="76" customHeight="1">
      <c r="A121" s="38" t="inlineStr">
        <is>
          <t>PER02_0</t>
        </is>
      </c>
      <c r="B121" s="38" t="inlineStr">
        <is>
          <t>PER02</t>
        </is>
      </c>
      <c r="C121" s="49" t="n">
        <v>0</v>
      </c>
      <c r="D121" s="38" t="inlineStr">
        <is>
          <t>New employees are not reviewed until a concern becomes urgent.</t>
        </is>
      </c>
      <c r="E121" s="38" t="inlineStr">
        <is>
          <t>Make probation a supported review, not a deadline scramble</t>
        </is>
      </c>
      <c r="F121" s="38" t="inlineStr">
        <is>
          <t>The selected response reports a missing or unestablished element. Confirm the affected arrangements before drawing a conclusion about any actual breach or harm.</t>
        </is>
      </c>
      <c r="G121" s="38" t="inlineStr">
        <is>
          <t>Late feedback can leave both the business and the employee with little chance to address a concern before a decision is due.</t>
        </is>
      </c>
      <c r="H121" s="38" t="inlineStr">
        <is>
          <t>Early employment decisions</t>
        </is>
      </c>
      <c r="I121" s="49" t="n">
        <v>2</v>
      </c>
      <c r="J121" s="49" t="n">
        <v>2</v>
      </c>
      <c r="K121" s="49" t="n">
        <v>2</v>
      </c>
      <c r="L121" s="38" t="inlineStr">
        <is>
          <t>Medium provisional concern: a material practice needs improvement. Late feedback can leave both the business and the employee with little chance to address a concern before a decision is due.</t>
        </is>
      </c>
      <c r="M121" s="38" t="inlineStr">
        <is>
          <t>Check upcoming review dates, the employee's goals and feedback already provided. Separate contractual dates from statutory eligibility questions.</t>
        </is>
      </c>
      <c r="N121" s="38" t="inlineStr">
        <is>
          <t>Set early progress checkpoints and record the expectations, support and actual concern as it emerges.</t>
        </is>
      </c>
      <c r="O121" s="38" t="inlineStr">
        <is>
          <t>Before a decision, check the relevant legal requirements separately from the contract's probation date.</t>
        </is>
      </c>
      <c r="P121" s="38" t="inlineStr">
        <is>
          <t>Agree an owner and plan within 30 days, or before the next affected event if earlier.</t>
        </is>
      </c>
      <c r="Q121" s="38" t="inlineStr">
        <is>
          <t>An early-review schedule and documented feedback, support and decision checks. Confirm that the change works in practice, not only that a document exists.</t>
        </is>
      </c>
      <c r="R121" s="38" t="inlineStr">
        <is>
          <t>An early-review schedule and documented feedback, support and decision checks.</t>
        </is>
      </c>
      <c r="S121" s="38" t="inlineStr">
        <is>
          <t>New starters, changed probation dates or an emerging early concern.</t>
        </is>
      </c>
      <c r="T121" s="38" t="inlineStr">
        <is>
          <t>People manager</t>
        </is>
      </c>
      <c r="U121" s="38" t="inlineStr">
        <is>
          <t>Manager coaching and a fair performance or conduct process for the identified situation.</t>
        </is>
      </c>
      <c r="V121" s="38" t="inlineStr">
        <is>
          <t>PERFORMANCE</t>
        </is>
      </c>
      <c r="W121" s="38" t="inlineStr">
        <is>
          <t>A_PER02</t>
        </is>
      </c>
      <c r="X121" s="38" t="inlineStr">
        <is>
          <t>S26;S27;DESIGN</t>
        </is>
      </c>
      <c r="Y121" s="38" t="inlineStr">
        <is>
          <t>https://www.fairwork.gov.au/tools-and-resources/fact-sheets/minimum-workplace-entitlements/ending-employment
https://www.fairwork.gov.au/sites/default/files/migration/711/managing-underperformance-best-practice-guide.pdf</t>
        </is>
      </c>
      <c r="Z121" s="38" t="inlineStr">
        <is>
          <t>Assuming extending probation also extends statutory minimum employment periods.</t>
        </is>
      </c>
    </row>
    <row r="122" ht="76" customHeight="1">
      <c r="A122" s="37" t="inlineStr">
        <is>
          <t>PER02_1</t>
        </is>
      </c>
      <c r="B122" s="37" t="inlineStr">
        <is>
          <t>PER02</t>
        </is>
      </c>
      <c r="C122" s="48" t="n">
        <v>1</v>
      </c>
      <c r="D122" s="37" t="inlineStr">
        <is>
          <t>We rely on the probation end date, with little planned feedback.</t>
        </is>
      </c>
      <c r="E122" s="37" t="inlineStr">
        <is>
          <t>Make probation a supported review, not a deadline scramble</t>
        </is>
      </c>
      <c r="F122" s="37" t="inlineStr">
        <is>
          <t>The selected response relies on assumptions, informal decisions or an inconsistent process. The action is to make the relevant check reliable in routine work.</t>
        </is>
      </c>
      <c r="G122" s="37" t="inlineStr">
        <is>
          <t>Late feedback can leave both the business and the employee with little chance to address a concern before a decision is due.</t>
        </is>
      </c>
      <c r="H122" s="37" t="inlineStr">
        <is>
          <t>Early employment decisions</t>
        </is>
      </c>
      <c r="I122" s="48" t="n">
        <v>2</v>
      </c>
      <c r="J122" s="48" t="n">
        <v>2</v>
      </c>
      <c r="K122" s="48" t="n">
        <v>2</v>
      </c>
      <c r="L122" s="37" t="inlineStr">
        <is>
          <t>Medium provisional concern: a material practice needs improvement. Late feedback can leave both the business and the employee with little chance to address a concern before a decision is due.</t>
        </is>
      </c>
      <c r="M122" s="37" t="inlineStr">
        <is>
          <t>Replace the assumption with a current check. Check upcoming review dates, the employee's goals and feedback already provided. Separate contractual dates from statutory eligibility questions.</t>
        </is>
      </c>
      <c r="N122" s="37" t="inlineStr">
        <is>
          <t>Set early progress checkpoints and record the expectations, support and actual concern as it emerges.</t>
        </is>
      </c>
      <c r="O122" s="37" t="inlineStr">
        <is>
          <t>Before a decision, check the relevant legal requirements separately from the contract's probation date.</t>
        </is>
      </c>
      <c r="P122" s="37" t="inlineStr">
        <is>
          <t>Agree an owner and plan within 30 days, or before the next affected event if earlier.</t>
        </is>
      </c>
      <c r="Q122" s="37" t="inlineStr">
        <is>
          <t>An early-review schedule and documented feedback, support and decision checks. Confirm that the change works in practice, not only that a document exists.</t>
        </is>
      </c>
      <c r="R122" s="37" t="inlineStr">
        <is>
          <t>An early-review schedule and documented feedback, support and decision checks.</t>
        </is>
      </c>
      <c r="S122" s="37" t="inlineStr">
        <is>
          <t>New starters, changed probation dates or an emerging early concern.</t>
        </is>
      </c>
      <c r="T122" s="37" t="inlineStr">
        <is>
          <t>People manager</t>
        </is>
      </c>
      <c r="U122" s="37" t="inlineStr">
        <is>
          <t>Manager coaching and a fair performance or conduct process for the identified situation.</t>
        </is>
      </c>
      <c r="V122" s="37" t="inlineStr">
        <is>
          <t>PERFORMANCE</t>
        </is>
      </c>
      <c r="W122" s="37" t="inlineStr">
        <is>
          <t>A_PER02</t>
        </is>
      </c>
      <c r="X122" s="37" t="inlineStr">
        <is>
          <t>S26;S27;DESIGN</t>
        </is>
      </c>
      <c r="Y122" s="37" t="inlineStr">
        <is>
          <t>https://www.fairwork.gov.au/tools-and-resources/fact-sheets/minimum-workplace-entitlements/ending-employment
https://www.fairwork.gov.au/sites/default/files/migration/711/managing-underperformance-best-practice-guide.pdf</t>
        </is>
      </c>
      <c r="Z122" s="37" t="inlineStr">
        <is>
          <t>Assuming extending probation also extends statutory minimum employment periods.</t>
        </is>
      </c>
    </row>
    <row r="123" ht="76" customHeight="1">
      <c r="A123" s="38" t="inlineStr">
        <is>
          <t>PER02_2</t>
        </is>
      </c>
      <c r="B123" s="38" t="inlineStr">
        <is>
          <t>PER02</t>
        </is>
      </c>
      <c r="C123" s="49" t="n">
        <v>2</v>
      </c>
      <c r="D123" s="38" t="inlineStr">
        <is>
          <t>We schedule reviews, but expectations, support or decision dates are not consistently managed.</t>
        </is>
      </c>
      <c r="E123" s="38" t="inlineStr">
        <is>
          <t>Complete the remaining check: make probation a supported review, not a deadline scramble</t>
        </is>
      </c>
      <c r="F123" s="38" t="inlineStr">
        <is>
          <t>The selected response identifies an incomplete element within an existing practice. Keep what works and target the unresolved part; the stronger elements do not cancel the gap.</t>
        </is>
      </c>
      <c r="G123" s="38" t="inlineStr">
        <is>
          <t>Late feedback can leave both the business and the employee with little chance to address a concern before a decision is due.</t>
        </is>
      </c>
      <c r="H123" s="38" t="inlineStr">
        <is>
          <t>Early employment decisions</t>
        </is>
      </c>
      <c r="I123" s="49" t="n">
        <v>2</v>
      </c>
      <c r="J123" s="49" t="n">
        <v>2</v>
      </c>
      <c r="K123" s="49" t="n">
        <v>2</v>
      </c>
      <c r="L123" s="38" t="inlineStr">
        <is>
          <t>Medium provisional concern: a material practice needs improvement. Late feedback can leave both the business and the employee with little chance to address a concern before a decision is due.</t>
        </is>
      </c>
      <c r="M123" s="38" t="inlineStr">
        <is>
          <t>Focus on the unresolved arrangements or exceptions. Check upcoming review dates, the employee's goals and feedback already provided. Separate contractual dates from statutory eligibility questions.</t>
        </is>
      </c>
      <c r="N123" s="38" t="inlineStr">
        <is>
          <t>Set early progress checkpoints and record the expectations, support and actual concern as it emerges.</t>
        </is>
      </c>
      <c r="O123" s="38" t="inlineStr">
        <is>
          <t>Before a decision, check the relevant legal requirements separately from the contract's probation date.</t>
        </is>
      </c>
      <c r="P123" s="38" t="inlineStr">
        <is>
          <t>Agree an owner and plan within 30 days, or before the next affected event if earlier.</t>
        </is>
      </c>
      <c r="Q123" s="38" t="inlineStr">
        <is>
          <t>An early-review schedule and documented feedback, support and decision checks. Confirm that the change works in practice, not only that a document exists.</t>
        </is>
      </c>
      <c r="R123" s="38" t="inlineStr">
        <is>
          <t>An early-review schedule and documented feedback, support and decision checks.</t>
        </is>
      </c>
      <c r="S123" s="38" t="inlineStr">
        <is>
          <t>New starters, changed probation dates or an emerging early concern.</t>
        </is>
      </c>
      <c r="T123" s="38" t="inlineStr">
        <is>
          <t>People manager</t>
        </is>
      </c>
      <c r="U123" s="38" t="inlineStr">
        <is>
          <t>Manager coaching and a fair performance or conduct process for the identified situation.</t>
        </is>
      </c>
      <c r="V123" s="38" t="inlineStr">
        <is>
          <t>PERFORMANCE</t>
        </is>
      </c>
      <c r="W123" s="38" t="inlineStr">
        <is>
          <t>A_PER02</t>
        </is>
      </c>
      <c r="X123" s="38" t="inlineStr">
        <is>
          <t>S26;S27;DESIGN</t>
        </is>
      </c>
      <c r="Y123" s="38" t="inlineStr">
        <is>
          <t>https://www.fairwork.gov.au/tools-and-resources/fact-sheets/minimum-workplace-entitlements/ending-employment
https://www.fairwork.gov.au/sites/default/files/migration/711/managing-underperformance-best-practice-guide.pdf</t>
        </is>
      </c>
      <c r="Z123" s="38" t="inlineStr">
        <is>
          <t>Assuming extending probation also extends statutory minimum employment periods.</t>
        </is>
      </c>
    </row>
    <row r="124" ht="76" customHeight="1">
      <c r="A124" s="37" t="inlineStr">
        <is>
          <t>PER02_3</t>
        </is>
      </c>
      <c r="B124" s="37" t="inlineStr">
        <is>
          <t>PER02</t>
        </is>
      </c>
      <c r="C124" s="48" t="n">
        <v>3</v>
      </c>
      <c r="D124" s="37" t="inlineStr">
        <is>
          <t>We review progress early, provide feedback and support, and check the applicable obligations before any employment decision.</t>
        </is>
      </c>
      <c r="E124" s="37" t="inlineStr">
        <is>
          <t>Maintain and test: make probation a supported review, not a deadline scramble</t>
        </is>
      </c>
      <c r="F124" s="37" t="inlineStr">
        <is>
          <t>The selected response reports an established and checked practice. The tool has not inspected the evidence and cannot certify the absence of risk.</t>
        </is>
      </c>
      <c r="G124" s="37" t="inlineStr">
        <is>
          <t>Late feedback can leave both the business and the employee with little chance to address a concern before a decision is due.</t>
        </is>
      </c>
      <c r="H124" s="37" t="inlineStr">
        <is>
          <t>Early employment decisions</t>
        </is>
      </c>
      <c r="I124" s="48" t="n">
        <v>2</v>
      </c>
      <c r="J124" s="48" t="n">
        <v>1</v>
      </c>
      <c r="K124" s="48" t="n">
        <v>1</v>
      </c>
      <c r="L124" s="37" t="inlineStr">
        <is>
          <t>Lower reported concern, not a finding of no risk. The assumed controls are self-reported; a current incident, contrary evidence or failed control takes precedence.</t>
        </is>
      </c>
      <c r="M124" s="37" t="inlineStr">
        <is>
          <t>Maintain the practice described. At the next relevant review, before a decision, check the relevant legal requirements separately from the contract's probation date.</t>
        </is>
      </c>
      <c r="N124" s="37" t="inlineStr">
        <is>
          <t>Check whether changes in work, people or applicable requirements have made the original process less reliable.</t>
        </is>
      </c>
      <c r="O124" s="37" t="inlineStr">
        <is>
          <t>Retain the review outcome and act on any new exception. An unresolved live issue overrides this maintenance pathway.</t>
        </is>
      </c>
      <c r="P124" s="37" t="inlineStr">
        <is>
          <t>Maintain at the stated trigger; for a new low-priority improvement, plan within 90 days.</t>
        </is>
      </c>
      <c r="Q124" s="37" t="inlineStr">
        <is>
          <t>A current example of the practice and a proportionate recheck record. An early-review schedule and documented feedback, support and decision checks.</t>
        </is>
      </c>
      <c r="R124" s="37" t="inlineStr">
        <is>
          <t>An early-review schedule and documented feedback, support and decision checks.</t>
        </is>
      </c>
      <c r="S124" s="37" t="inlineStr">
        <is>
          <t>New starters, changed probation dates or an emerging early concern.</t>
        </is>
      </c>
      <c r="T124" s="37" t="inlineStr">
        <is>
          <t>People manager</t>
        </is>
      </c>
      <c r="U124" s="37" t="inlineStr">
        <is>
          <t>No further purchase is implied by this result. Seek support only for a material change, unresolved exception or chosen improvement.</t>
        </is>
      </c>
      <c r="V124" s="37" t="inlineStr">
        <is>
          <t>PERFORMANCE</t>
        </is>
      </c>
      <c r="W124" s="37" t="inlineStr">
        <is>
          <t>A_PER02</t>
        </is>
      </c>
      <c r="X124" s="37" t="inlineStr">
        <is>
          <t>S26;S27;DESIGN</t>
        </is>
      </c>
      <c r="Y124" s="37" t="inlineStr">
        <is>
          <t>https://www.fairwork.gov.au/tools-and-resources/fact-sheets/minimum-workplace-entitlements/ending-employment
https://www.fairwork.gov.au/sites/default/files/migration/711/managing-underperformance-best-practice-guide.pdf</t>
        </is>
      </c>
      <c r="Z124" s="37" t="inlineStr">
        <is>
          <t>Assuming extending probation also extends statutory minimum employment periods.</t>
        </is>
      </c>
    </row>
    <row r="125" ht="76" customHeight="1">
      <c r="A125" s="38" t="inlineStr">
        <is>
          <t>PER02_DK</t>
        </is>
      </c>
      <c r="B125" s="38" t="inlineStr">
        <is>
          <t>PER02</t>
        </is>
      </c>
      <c r="C125" s="38" t="inlineStr">
        <is>
          <t>DK</t>
        </is>
      </c>
      <c r="D125" s="38" t="inlineStr">
        <is>
          <t>I need to confirm this.</t>
        </is>
      </c>
      <c r="E125" s="38" t="inlineStr">
        <is>
          <t>Verify: make probation a supported review, not a deadline scramble</t>
        </is>
      </c>
      <c r="F125" s="38" t="inlineStr">
        <is>
          <t>This answer identifies a knowledge gap. It does not establish that the practice is missing, that harm has occurred or that a legal duty has been breached.</t>
        </is>
      </c>
      <c r="G125" s="38" t="inlineStr">
        <is>
          <t>Late feedback can leave both the business and the employee with little chance to address a concern before a decision is due.</t>
        </is>
      </c>
      <c r="H125" s="38" t="inlineStr">
        <is>
          <t>Early employment decisions</t>
        </is>
      </c>
      <c r="I125" s="49" t="n">
        <v>2</v>
      </c>
      <c r="J125" s="49" t="n">
        <v>0</v>
      </c>
      <c r="K125" s="49" t="n">
        <v>2</v>
      </c>
      <c r="L125" s="38" t="inlineStr">
        <is>
          <t>The risk is not rated from an unknown answer. Verification is Medium priority because: Late feedback can leave both the business and the employee with little chance to address a concern before a decision is due.</t>
        </is>
      </c>
      <c r="M125" s="38" t="inlineStr">
        <is>
          <t>Ask the people manager to show a current example of the process and the evidence listed below. Confirm the answer before deciding what must be repaired.</t>
        </is>
      </c>
      <c r="N125" s="38" t="inlineStr">
        <is>
          <t>Compare the example with the established-practice description: We review progress early, provide feedback and support, and check the applicable obligations before any employment decision.</t>
        </is>
      </c>
      <c r="O125" s="38" t="inlineStr">
        <is>
          <t>Record what was checked, by whom and when. If it remains unclear, keep the verification task open and agree any proportionate interim safeguard.</t>
        </is>
      </c>
      <c r="P125" s="38" t="inlineStr">
        <is>
          <t>Agree an owner and plan within 30 days, or before the next affected event if earlier.</t>
        </is>
      </c>
      <c r="Q125" s="38" t="inlineStr">
        <is>
          <t>A dated verification record, the supporting example, an updated answer and any remaining action. No automatic compliance conclusion.</t>
        </is>
      </c>
      <c r="R125" s="38" t="inlineStr">
        <is>
          <t>An early-review schedule and documented feedback, support and decision checks.</t>
        </is>
      </c>
      <c r="S125" s="38" t="inlineStr">
        <is>
          <t>New starters, changed probation dates or an emerging early concern.</t>
        </is>
      </c>
      <c r="T125" s="38" t="inlineStr">
        <is>
          <t>People manager</t>
        </is>
      </c>
      <c r="U125" s="38" t="inlineStr">
        <is>
          <t>Manager coaching and a fair performance or conduct process for the identified situation.</t>
        </is>
      </c>
      <c r="V125" s="38" t="inlineStr">
        <is>
          <t>PERFORMANCE</t>
        </is>
      </c>
      <c r="W125" s="38" t="inlineStr">
        <is>
          <t>A_PER02</t>
        </is>
      </c>
      <c r="X125" s="38" t="inlineStr">
        <is>
          <t>S26;S27;DESIGN</t>
        </is>
      </c>
      <c r="Y125" s="38" t="inlineStr">
        <is>
          <t>https://www.fairwork.gov.au/tools-and-resources/fact-sheets/minimum-workplace-entitlements/ending-employment
https://www.fairwork.gov.au/sites/default/files/migration/711/managing-underperformance-best-practice-guide.pdf</t>
        </is>
      </c>
      <c r="Z125" s="38" t="inlineStr">
        <is>
          <t>Assuming extending probation also extends statutory minimum employment periods.</t>
        </is>
      </c>
    </row>
    <row r="126" ht="61" customHeight="1">
      <c r="A126" s="37" t="inlineStr">
        <is>
          <t>PER03_0</t>
        </is>
      </c>
      <c r="B126" s="37" t="inlineStr">
        <is>
          <t>PER03</t>
        </is>
      </c>
      <c r="C126" s="48" t="n">
        <v>0</v>
      </c>
      <c r="D126" s="37" t="inlineStr">
        <is>
          <t>There is no consistent process for addressing underperformance.</t>
        </is>
      </c>
      <c r="E126" s="37" t="inlineStr">
        <is>
          <t>Make improvement expectations specific and fair</t>
        </is>
      </c>
      <c r="F126" s="37" t="inlineStr">
        <is>
          <t>The selected response reports a missing or unestablished element. Confirm the affected arrangements before drawing a conclusion about any actual breach or harm.</t>
        </is>
      </c>
      <c r="G126" s="37" t="inlineStr">
        <is>
          <t>A process without clear evidence, reasonable support or genuine review can miss the cause of a performance problem and escalate it unnecessarily.</t>
        </is>
      </c>
      <c r="H126" s="37" t="inlineStr">
        <is>
          <t>Fair performance management</t>
        </is>
      </c>
      <c r="I126" s="48" t="n">
        <v>3</v>
      </c>
      <c r="J126" s="48" t="n">
        <v>3</v>
      </c>
      <c r="K126" s="48" t="n">
        <v>3</v>
      </c>
      <c r="L126" s="37" t="inlineStr">
        <is>
          <t>High provisional concern: an essential element remains unresolved. A process without clear evidence, reasonable support or genuine review can miss the cause of a performance problem and escalate it unnecessarily.</t>
        </is>
      </c>
      <c r="M126" s="37" t="inlineStr">
        <is>
          <t>Review a recent or fictional performance concern. Check the evidence, employee response, achievable expectations, support and review dates.</t>
        </is>
      </c>
      <c r="N126" s="37" t="inlineStr">
        <is>
          <t>Explain specific examples and hear the response. Separate capability, conduct, work design and adjustment issues before deciding the next step.</t>
        </is>
      </c>
      <c r="O126" s="37" t="inlineStr">
        <is>
          <t>Review the agreed improvement and support against the evidence; document a reasoned next decision.</t>
        </is>
      </c>
      <c r="P126" s="37" t="inlineStr">
        <is>
          <t>Review or verify within two business days and before the next affected event if earlier. Do not wait where a duty or current harm requires earlier action.</t>
        </is>
      </c>
      <c r="Q126" s="37" t="inlineStr">
        <is>
          <t>A proportionate performance record that shows both the concern and the employee's opportunity to improve. Confirm that the change works in practice, not only that a document exists.</t>
        </is>
      </c>
      <c r="R126" s="37" t="inlineStr">
        <is>
          <t>A proportionate performance record that shows both the concern and the employee's opportunity to improve.</t>
        </is>
      </c>
      <c r="S126" s="37" t="inlineStr">
        <is>
          <t>A sustained concern, failed support plan or proposed serious consequence.</t>
        </is>
      </c>
      <c r="T126" s="37" t="inlineStr">
        <is>
          <t>People manager</t>
        </is>
      </c>
      <c r="U126" s="37" t="inlineStr">
        <is>
          <t>Manager coaching and a fair performance or conduct process for the identified situation.</t>
        </is>
      </c>
      <c r="V126" s="37" t="inlineStr">
        <is>
          <t>PERFORMANCE</t>
        </is>
      </c>
      <c r="W126" s="37" t="inlineStr">
        <is>
          <t>A_PER03</t>
        </is>
      </c>
      <c r="X126" s="37" t="inlineStr">
        <is>
          <t>S27;DESIGN</t>
        </is>
      </c>
      <c r="Y126" s="37" t="inlineStr">
        <is>
          <t>https://www.fairwork.gov.au/sites/default/files/migration/711/managing-underperformance-best-practice-guide.pdf</t>
        </is>
      </c>
      <c r="Z126" s="37" t="inlineStr">
        <is>
          <t>Starting with a formal warning or improvement plan before understanding the problem.</t>
        </is>
      </c>
    </row>
    <row r="127" ht="61" customHeight="1">
      <c r="A127" s="38" t="inlineStr">
        <is>
          <t>PER03_1</t>
        </is>
      </c>
      <c r="B127" s="38" t="inlineStr">
        <is>
          <t>PER03</t>
        </is>
      </c>
      <c r="C127" s="49" t="n">
        <v>1</v>
      </c>
      <c r="D127" s="38" t="inlineStr">
        <is>
          <t>Concerns are raised informally, but expectations or follow-up remain unclear.</t>
        </is>
      </c>
      <c r="E127" s="38" t="inlineStr">
        <is>
          <t>Make improvement expectations specific and fair</t>
        </is>
      </c>
      <c r="F127" s="38" t="inlineStr">
        <is>
          <t>The selected response relies on assumptions, informal decisions or an inconsistent process. The action is to make the relevant check reliable in routine work.</t>
        </is>
      </c>
      <c r="G127" s="38" t="inlineStr">
        <is>
          <t>A process without clear evidence, reasonable support or genuine review can miss the cause of a performance problem and escalate it unnecessarily.</t>
        </is>
      </c>
      <c r="H127" s="38" t="inlineStr">
        <is>
          <t>Fair performance management</t>
        </is>
      </c>
      <c r="I127" s="49" t="n">
        <v>3</v>
      </c>
      <c r="J127" s="49" t="n">
        <v>3</v>
      </c>
      <c r="K127" s="49" t="n">
        <v>3</v>
      </c>
      <c r="L127" s="38" t="inlineStr">
        <is>
          <t>High provisional concern: an essential element remains unresolved. A process without clear evidence, reasonable support or genuine review can miss the cause of a performance problem and escalate it unnecessarily.</t>
        </is>
      </c>
      <c r="M127" s="38" t="inlineStr">
        <is>
          <t>Replace the assumption with a current check. Review a recent or fictional performance concern. Check the evidence, employee response, achievable expectations, support and review dates.</t>
        </is>
      </c>
      <c r="N127" s="38" t="inlineStr">
        <is>
          <t>Explain specific examples and hear the response. Separate capability, conduct, work design and adjustment issues before deciding the next step.</t>
        </is>
      </c>
      <c r="O127" s="38" t="inlineStr">
        <is>
          <t>Review the agreed improvement and support against the evidence; document a reasoned next decision.</t>
        </is>
      </c>
      <c r="P127" s="38" t="inlineStr">
        <is>
          <t>Review or verify within two business days and before the next affected event if earlier. Do not wait where a duty or current harm requires earlier action.</t>
        </is>
      </c>
      <c r="Q127" s="38" t="inlineStr">
        <is>
          <t>A proportionate performance record that shows both the concern and the employee's opportunity to improve. Confirm that the change works in practice, not only that a document exists.</t>
        </is>
      </c>
      <c r="R127" s="38" t="inlineStr">
        <is>
          <t>A proportionate performance record that shows both the concern and the employee's opportunity to improve.</t>
        </is>
      </c>
      <c r="S127" s="38" t="inlineStr">
        <is>
          <t>A sustained concern, failed support plan or proposed serious consequence.</t>
        </is>
      </c>
      <c r="T127" s="38" t="inlineStr">
        <is>
          <t>People manager</t>
        </is>
      </c>
      <c r="U127" s="38" t="inlineStr">
        <is>
          <t>Manager coaching and a fair performance or conduct process for the identified situation.</t>
        </is>
      </c>
      <c r="V127" s="38" t="inlineStr">
        <is>
          <t>PERFORMANCE</t>
        </is>
      </c>
      <c r="W127" s="38" t="inlineStr">
        <is>
          <t>A_PER03</t>
        </is>
      </c>
      <c r="X127" s="38" t="inlineStr">
        <is>
          <t>S27;DESIGN</t>
        </is>
      </c>
      <c r="Y127" s="38" t="inlineStr">
        <is>
          <t>https://www.fairwork.gov.au/sites/default/files/migration/711/managing-underperformance-best-practice-guide.pdf</t>
        </is>
      </c>
      <c r="Z127" s="38" t="inlineStr">
        <is>
          <t>Starting with a formal warning or improvement plan before understanding the problem.</t>
        </is>
      </c>
    </row>
    <row r="128" ht="61" customHeight="1">
      <c r="A128" s="37" t="inlineStr">
        <is>
          <t>PER03_2</t>
        </is>
      </c>
      <c r="B128" s="37" t="inlineStr">
        <is>
          <t>PER03</t>
        </is>
      </c>
      <c r="C128" s="48" t="n">
        <v>2</v>
      </c>
      <c r="D128" s="37" t="inlineStr">
        <is>
          <t>We use a process, but evidence, support or review can be inconsistent.</t>
        </is>
      </c>
      <c r="E128" s="37" t="inlineStr">
        <is>
          <t>Complete the remaining check: make improvement expectations specific and fair</t>
        </is>
      </c>
      <c r="F128" s="37" t="inlineStr">
        <is>
          <t>The selected response identifies an incomplete element within an existing practice. Keep what works and target the unresolved part; the stronger elements do not cancel the gap.</t>
        </is>
      </c>
      <c r="G128" s="37" t="inlineStr">
        <is>
          <t>A process without clear evidence, reasonable support or genuine review can miss the cause of a performance problem and escalate it unnecessarily.</t>
        </is>
      </c>
      <c r="H128" s="37" t="inlineStr">
        <is>
          <t>Fair performance management</t>
        </is>
      </c>
      <c r="I128" s="48" t="n">
        <v>3</v>
      </c>
      <c r="J128" s="48" t="n">
        <v>2</v>
      </c>
      <c r="K128" s="48" t="n">
        <v>2</v>
      </c>
      <c r="L128" s="37" t="inlineStr">
        <is>
          <t>Medium provisional concern: a material practice needs improvement. A process without clear evidence, reasonable support or genuine review can miss the cause of a performance problem and escalate it unnecessarily.</t>
        </is>
      </c>
      <c r="M128" s="37" t="inlineStr">
        <is>
          <t>Focus on the unresolved arrangements or exceptions. Review a recent or fictional performance concern. Check the evidence, employee response, achievable expectations, support and review dates.</t>
        </is>
      </c>
      <c r="N128" s="37" t="inlineStr">
        <is>
          <t>Explain specific examples and hear the response. Separate capability, conduct, work design and adjustment issues before deciding the next step.</t>
        </is>
      </c>
      <c r="O128" s="37" t="inlineStr">
        <is>
          <t>Review the agreed improvement and support against the evidence; document a reasoned next decision.</t>
        </is>
      </c>
      <c r="P128" s="37" t="inlineStr">
        <is>
          <t>Agree an owner and plan within 30 days, or before the next affected event if earlier.</t>
        </is>
      </c>
      <c r="Q128" s="37" t="inlineStr">
        <is>
          <t>A proportionate performance record that shows both the concern and the employee's opportunity to improve. Confirm that the change works in practice, not only that a document exists.</t>
        </is>
      </c>
      <c r="R128" s="37" t="inlineStr">
        <is>
          <t>A proportionate performance record that shows both the concern and the employee's opportunity to improve.</t>
        </is>
      </c>
      <c r="S128" s="37" t="inlineStr">
        <is>
          <t>A sustained concern, failed support plan or proposed serious consequence.</t>
        </is>
      </c>
      <c r="T128" s="37" t="inlineStr">
        <is>
          <t>People manager</t>
        </is>
      </c>
      <c r="U128" s="37" t="inlineStr">
        <is>
          <t>Manager coaching and a fair performance or conduct process for the identified situation.</t>
        </is>
      </c>
      <c r="V128" s="37" t="inlineStr">
        <is>
          <t>PERFORMANCE</t>
        </is>
      </c>
      <c r="W128" s="37" t="inlineStr">
        <is>
          <t>A_PER03</t>
        </is>
      </c>
      <c r="X128" s="37" t="inlineStr">
        <is>
          <t>S27;DESIGN</t>
        </is>
      </c>
      <c r="Y128" s="37" t="inlineStr">
        <is>
          <t>https://www.fairwork.gov.au/sites/default/files/migration/711/managing-underperformance-best-practice-guide.pdf</t>
        </is>
      </c>
      <c r="Z128" s="37" t="inlineStr">
        <is>
          <t>Starting with a formal warning or improvement plan before understanding the problem.</t>
        </is>
      </c>
    </row>
    <row r="129" ht="46" customHeight="1">
      <c r="A129" s="38" t="inlineStr">
        <is>
          <t>PER03_3</t>
        </is>
      </c>
      <c r="B129" s="38" t="inlineStr">
        <is>
          <t>PER03</t>
        </is>
      </c>
      <c r="C129" s="49" t="n">
        <v>3</v>
      </c>
      <c r="D129" s="38" t="inlineStr">
        <is>
          <t>We explain the concern with evidence, hear the employee's response, agree reasonable improvement and support, and review progress fairly.</t>
        </is>
      </c>
      <c r="E129" s="38" t="inlineStr">
        <is>
          <t>Maintain and test: make improvement expectations specific and fair</t>
        </is>
      </c>
      <c r="F129" s="38" t="inlineStr">
        <is>
          <t>The selected response reports an established and checked practice. The tool has not inspected the evidence and cannot certify the absence of risk.</t>
        </is>
      </c>
      <c r="G129" s="38" t="inlineStr">
        <is>
          <t>A process without clear evidence, reasonable support or genuine review can miss the cause of a performance problem and escalate it unnecessarily.</t>
        </is>
      </c>
      <c r="H129" s="38" t="inlineStr">
        <is>
          <t>Fair performance management</t>
        </is>
      </c>
      <c r="I129" s="49" t="n">
        <v>3</v>
      </c>
      <c r="J129" s="49" t="n">
        <v>1</v>
      </c>
      <c r="K129" s="49" t="n">
        <v>1</v>
      </c>
      <c r="L129" s="38" t="inlineStr">
        <is>
          <t>Lower reported concern, not a finding of no risk. The assumed controls are self-reported; a current incident, contrary evidence or failed control takes precedence.</t>
        </is>
      </c>
      <c r="M129" s="38" t="inlineStr">
        <is>
          <t>Maintain the practice described. At the next relevant review, review the agreed improvement and support against the evidence; document a reasoned next decision.</t>
        </is>
      </c>
      <c r="N129" s="38" t="inlineStr">
        <is>
          <t>Check whether changes in work, people or applicable requirements have made the original process less reliable.</t>
        </is>
      </c>
      <c r="O129" s="38" t="inlineStr">
        <is>
          <t>Retain the review outcome and act on any new exception. An unresolved live issue overrides this maintenance pathway.</t>
        </is>
      </c>
      <c r="P129" s="38" t="inlineStr">
        <is>
          <t>Maintain at the stated trigger; for a new low-priority improvement, plan within 90 days.</t>
        </is>
      </c>
      <c r="Q129" s="38" t="inlineStr">
        <is>
          <t>A current example of the practice and a proportionate recheck record. A proportionate performance record that shows both the concern and the employee's opportunity to improve.</t>
        </is>
      </c>
      <c r="R129" s="38" t="inlineStr">
        <is>
          <t>A proportionate performance record that shows both the concern and the employee's opportunity to improve.</t>
        </is>
      </c>
      <c r="S129" s="38" t="inlineStr">
        <is>
          <t>A sustained concern, failed support plan or proposed serious consequence.</t>
        </is>
      </c>
      <c r="T129" s="38" t="inlineStr">
        <is>
          <t>People manager</t>
        </is>
      </c>
      <c r="U129" s="38" t="inlineStr">
        <is>
          <t>No further purchase is implied by this result. Seek support only for a material change, unresolved exception or chosen improvement.</t>
        </is>
      </c>
      <c r="V129" s="38" t="inlineStr">
        <is>
          <t>PERFORMANCE</t>
        </is>
      </c>
      <c r="W129" s="38" t="inlineStr">
        <is>
          <t>A_PER03</t>
        </is>
      </c>
      <c r="X129" s="38" t="inlineStr">
        <is>
          <t>S27;DESIGN</t>
        </is>
      </c>
      <c r="Y129" s="38" t="inlineStr">
        <is>
          <t>https://www.fairwork.gov.au/sites/default/files/migration/711/managing-underperformance-best-practice-guide.pdf</t>
        </is>
      </c>
      <c r="Z129" s="38" t="inlineStr">
        <is>
          <t>Starting with a formal warning or improvement plan before understanding the problem.</t>
        </is>
      </c>
    </row>
    <row r="130" ht="61" customHeight="1">
      <c r="A130" s="37" t="inlineStr">
        <is>
          <t>PER03_DK</t>
        </is>
      </c>
      <c r="B130" s="37" t="inlineStr">
        <is>
          <t>PER03</t>
        </is>
      </c>
      <c r="C130" s="37" t="inlineStr">
        <is>
          <t>DK</t>
        </is>
      </c>
      <c r="D130" s="37" t="inlineStr">
        <is>
          <t>I need to confirm this.</t>
        </is>
      </c>
      <c r="E130" s="37" t="inlineStr">
        <is>
          <t>Verify: make improvement expectations specific and fair</t>
        </is>
      </c>
      <c r="F130" s="37" t="inlineStr">
        <is>
          <t>This answer identifies a knowledge gap. It does not establish that the practice is missing, that harm has occurred or that a legal duty has been breached.</t>
        </is>
      </c>
      <c r="G130" s="37" t="inlineStr">
        <is>
          <t>A process without clear evidence, reasonable support or genuine review can miss the cause of a performance problem and escalate it unnecessarily.</t>
        </is>
      </c>
      <c r="H130" s="37" t="inlineStr">
        <is>
          <t>Fair performance management</t>
        </is>
      </c>
      <c r="I130" s="48" t="n">
        <v>3</v>
      </c>
      <c r="J130" s="48" t="n">
        <v>0</v>
      </c>
      <c r="K130" s="48" t="n">
        <v>3</v>
      </c>
      <c r="L130" s="37" t="inlineStr">
        <is>
          <t>The risk is not rated from an unknown answer. Verification is High priority because: A process without clear evidence, reasonable support or genuine review can miss the cause of a performance problem and escalate it unnecessarily.</t>
        </is>
      </c>
      <c r="M130" s="37" t="inlineStr">
        <is>
          <t>Ask the people manager to show a current example of the process and the evidence listed below. Confirm the answer before deciding what must be repaired.</t>
        </is>
      </c>
      <c r="N130" s="37" t="inlineStr">
        <is>
          <t>Compare the example with the established-practice description: We explain the concern with evidence, hear the employee's response, agree reasonable improvement and support, and review progress fairly.</t>
        </is>
      </c>
      <c r="O130" s="37" t="inlineStr">
        <is>
          <t>Record what was checked, by whom and when. If it remains unclear, keep the verification task open and agree any proportionate interim safeguard.</t>
        </is>
      </c>
      <c r="P130" s="37" t="inlineStr">
        <is>
          <t>Review or verify within two business days and before the next affected event if earlier. Do not wait where a duty or current harm requires earlier action.</t>
        </is>
      </c>
      <c r="Q130" s="37" t="inlineStr">
        <is>
          <t>A dated verification record, the supporting example, an updated answer and any remaining action. No automatic compliance conclusion.</t>
        </is>
      </c>
      <c r="R130" s="37" t="inlineStr">
        <is>
          <t>A proportionate performance record that shows both the concern and the employee's opportunity to improve.</t>
        </is>
      </c>
      <c r="S130" s="37" t="inlineStr">
        <is>
          <t>A sustained concern, failed support plan or proposed serious consequence.</t>
        </is>
      </c>
      <c r="T130" s="37" t="inlineStr">
        <is>
          <t>People manager</t>
        </is>
      </c>
      <c r="U130" s="37" t="inlineStr">
        <is>
          <t>Manager coaching and a fair performance or conduct process for the identified situation.</t>
        </is>
      </c>
      <c r="V130" s="37" t="inlineStr">
        <is>
          <t>PERFORMANCE</t>
        </is>
      </c>
      <c r="W130" s="37" t="inlineStr">
        <is>
          <t>A_PER03</t>
        </is>
      </c>
      <c r="X130" s="37" t="inlineStr">
        <is>
          <t>S27;DESIGN</t>
        </is>
      </c>
      <c r="Y130" s="37" t="inlineStr">
        <is>
          <t>https://www.fairwork.gov.au/sites/default/files/migration/711/managing-underperformance-best-practice-guide.pdf</t>
        </is>
      </c>
      <c r="Z130" s="37" t="inlineStr">
        <is>
          <t>Starting with a formal warning or improvement plan before understanding the problem.</t>
        </is>
      </c>
    </row>
    <row r="131" ht="136" customHeight="1">
      <c r="A131" s="38" t="inlineStr">
        <is>
          <t>PER04_0</t>
        </is>
      </c>
      <c r="B131" s="38" t="inlineStr">
        <is>
          <t>PER04</t>
        </is>
      </c>
      <c r="C131" s="49" t="n">
        <v>0</v>
      </c>
      <c r="D131" s="38" t="inlineStr">
        <is>
          <t>Managers may act immediately without checking the facts or hearing a response.</t>
        </is>
      </c>
      <c r="E131" s="38" t="inlineStr">
        <is>
          <t>Put a decision check between allegation and action</t>
        </is>
      </c>
      <c r="F131" s="38" t="inlineStr">
        <is>
          <t>The selected response reports a missing or unestablished element. Confirm the affected arrangements before drawing a conclusion about any actual breach or harm.</t>
        </is>
      </c>
      <c r="G131" s="38" t="inlineStr">
        <is>
          <t>A serious decision made before checking relevant facts and hearing a response can cause avoidable harm and expose the business to challenge.</t>
        </is>
      </c>
      <c r="H131" s="38" t="inlineStr">
        <is>
          <t>Fair conduct decisions</t>
        </is>
      </c>
      <c r="I131" s="49" t="n">
        <v>3</v>
      </c>
      <c r="J131" s="49" t="n">
        <v>3</v>
      </c>
      <c r="K131" s="49" t="n">
        <v>3</v>
      </c>
      <c r="L131" s="38" t="inlineStr">
        <is>
          <t>High provisional concern: an essential element remains unresolved. A serious decision made before checking relevant facts and hearing a response can cause avoidable harm and expose the business to challenge.</t>
        </is>
      </c>
      <c r="M131" s="38" t="inlineStr">
        <is>
          <t>Define who can authorise serious action and what must be checked first. For a live matter, obtain advice before making an irreversible decision.</t>
        </is>
      </c>
      <c r="N131" s="38" t="inlineStr">
        <is>
          <t>Assign an impartial decision process, preserve relevant evidence and explain the concern and opportunity to respond.</t>
        </is>
      </c>
      <c r="O131" s="38" t="inlineStr">
        <is>
          <t>Check findings against the evidence and obtain appropriate advice before serious action; keep protective measures distinct from findings.</t>
        </is>
      </c>
      <c r="P131" s="38" t="inlineStr">
        <is>
          <t>Review or verify within two business days and before the next affected event if earlier. Do not wait where a duty or current harm requires earlier action.</t>
        </is>
      </c>
      <c r="Q131" s="38" t="inlineStr">
        <is>
          <t>An escalation and decision checklist that separates allegations, evidence, responses and findings. Confirm that the change works in practice, not only that a document exists.</t>
        </is>
      </c>
      <c r="R131" s="38" t="inlineStr">
        <is>
          <t>An escalation and decision checklist that separates allegations, evidence, responses and findings.</t>
        </is>
      </c>
      <c r="S131" s="38" t="inlineStr">
        <is>
          <t>A conduct allegation, conflict of interest or proposed serious sanction.</t>
        </is>
      </c>
      <c r="T131" s="38" t="inlineStr">
        <is>
          <t>People manager</t>
        </is>
      </c>
      <c r="U131" s="38" t="inlineStr">
        <is>
          <t>Manager coaching and a fair performance or conduct process for the identified situation.</t>
        </is>
      </c>
      <c r="V131" s="38" t="inlineStr">
        <is>
          <t>FAIR_DECISIONS</t>
        </is>
      </c>
      <c r="W131" s="38" t="inlineStr">
        <is>
          <t>A_PER04</t>
        </is>
      </c>
      <c r="X131" s="38" t="inlineStr">
        <is>
          <t>S26;S27;S10;DESIGN</t>
        </is>
      </c>
      <c r="Y131" s="38"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Z131" s="38" t="inlineStr">
        <is>
          <t>Treating an allegation, strong suspicion or precautionary separation as a proven fact.</t>
        </is>
      </c>
    </row>
    <row r="132" ht="136" customHeight="1">
      <c r="A132" s="37" t="inlineStr">
        <is>
          <t>PER04_1</t>
        </is>
      </c>
      <c r="B132" s="37" t="inlineStr">
        <is>
          <t>PER04</t>
        </is>
      </c>
      <c r="C132" s="48" t="n">
        <v>1</v>
      </c>
      <c r="D132" s="37" t="inlineStr">
        <is>
          <t>The response depends on the manager, with limited evidence or documentation.</t>
        </is>
      </c>
      <c r="E132" s="37" t="inlineStr">
        <is>
          <t>Put a decision check between allegation and action</t>
        </is>
      </c>
      <c r="F132" s="37" t="inlineStr">
        <is>
          <t>The selected response relies on assumptions, informal decisions or an inconsistent process. The action is to make the relevant check reliable in routine work.</t>
        </is>
      </c>
      <c r="G132" s="37" t="inlineStr">
        <is>
          <t>A serious decision made before checking relevant facts and hearing a response can cause avoidable harm and expose the business to challenge.</t>
        </is>
      </c>
      <c r="H132" s="37" t="inlineStr">
        <is>
          <t>Fair conduct decisions</t>
        </is>
      </c>
      <c r="I132" s="48" t="n">
        <v>3</v>
      </c>
      <c r="J132" s="48" t="n">
        <v>3</v>
      </c>
      <c r="K132" s="48" t="n">
        <v>3</v>
      </c>
      <c r="L132" s="37" t="inlineStr">
        <is>
          <t>High provisional concern: an essential element remains unresolved. A serious decision made before checking relevant facts and hearing a response can cause avoidable harm and expose the business to challenge.</t>
        </is>
      </c>
      <c r="M132" s="37" t="inlineStr">
        <is>
          <t>Replace the assumption with a current check. Define who can authorise serious action and what must be checked first. For a live matter, obtain advice before making an irreversible decision.</t>
        </is>
      </c>
      <c r="N132" s="37" t="inlineStr">
        <is>
          <t>Assign an impartial decision process, preserve relevant evidence and explain the concern and opportunity to respond.</t>
        </is>
      </c>
      <c r="O132" s="37" t="inlineStr">
        <is>
          <t>Check findings against the evidence and obtain appropriate advice before serious action; keep protective measures distinct from findings.</t>
        </is>
      </c>
      <c r="P132" s="37" t="inlineStr">
        <is>
          <t>Review or verify within two business days and before the next affected event if earlier. Do not wait where a duty or current harm requires earlier action.</t>
        </is>
      </c>
      <c r="Q132" s="37" t="inlineStr">
        <is>
          <t>An escalation and decision checklist that separates allegations, evidence, responses and findings. Confirm that the change works in practice, not only that a document exists.</t>
        </is>
      </c>
      <c r="R132" s="37" t="inlineStr">
        <is>
          <t>An escalation and decision checklist that separates allegations, evidence, responses and findings.</t>
        </is>
      </c>
      <c r="S132" s="37" t="inlineStr">
        <is>
          <t>A conduct allegation, conflict of interest or proposed serious sanction.</t>
        </is>
      </c>
      <c r="T132" s="37" t="inlineStr">
        <is>
          <t>People manager</t>
        </is>
      </c>
      <c r="U132" s="37" t="inlineStr">
        <is>
          <t>Manager coaching and a fair performance or conduct process for the identified situation.</t>
        </is>
      </c>
      <c r="V132" s="37" t="inlineStr">
        <is>
          <t>FAIR_DECISIONS</t>
        </is>
      </c>
      <c r="W132" s="37" t="inlineStr">
        <is>
          <t>A_PER04</t>
        </is>
      </c>
      <c r="X132" s="37" t="inlineStr">
        <is>
          <t>S26;S27;S10;DESIGN</t>
        </is>
      </c>
      <c r="Y132" s="37"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Z132" s="37" t="inlineStr">
        <is>
          <t>Treating an allegation, strong suspicion or precautionary separation as a proven fact.</t>
        </is>
      </c>
    </row>
    <row r="133" ht="136" customHeight="1">
      <c r="A133" s="38" t="inlineStr">
        <is>
          <t>PER04_2</t>
        </is>
      </c>
      <c r="B133" s="38" t="inlineStr">
        <is>
          <t>PER04</t>
        </is>
      </c>
      <c r="C133" s="49" t="n">
        <v>2</v>
      </c>
      <c r="D133" s="38" t="inlineStr">
        <is>
          <t>We have a process, but consistency, impartiality or escalation needs improvement.</t>
        </is>
      </c>
      <c r="E133" s="38" t="inlineStr">
        <is>
          <t>Complete the remaining check: put a decision check between allegation and action</t>
        </is>
      </c>
      <c r="F133" s="38" t="inlineStr">
        <is>
          <t>The selected response identifies an incomplete element within an existing practice. Keep what works and target the unresolved part; the stronger elements do not cancel the gap.</t>
        </is>
      </c>
      <c r="G133" s="38" t="inlineStr">
        <is>
          <t>A serious decision made before checking relevant facts and hearing a response can cause avoidable harm and expose the business to challenge.</t>
        </is>
      </c>
      <c r="H133" s="38" t="inlineStr">
        <is>
          <t>Fair conduct decisions</t>
        </is>
      </c>
      <c r="I133" s="49" t="n">
        <v>3</v>
      </c>
      <c r="J133" s="49" t="n">
        <v>3</v>
      </c>
      <c r="K133" s="49" t="n">
        <v>3</v>
      </c>
      <c r="L133" s="38" t="inlineStr">
        <is>
          <t>High provisional concern: an essential element remains unresolved. A serious decision made before checking relevant facts and hearing a response can cause avoidable harm and expose the business to challenge.</t>
        </is>
      </c>
      <c r="M133" s="38" t="inlineStr">
        <is>
          <t>Focus on the unresolved arrangements or exceptions. Define who can authorise serious action and what must be checked first. For a live matter, obtain advice before making an irreversible decision.</t>
        </is>
      </c>
      <c r="N133" s="38" t="inlineStr">
        <is>
          <t>Assign an impartial decision process, preserve relevant evidence and explain the concern and opportunity to respond.</t>
        </is>
      </c>
      <c r="O133" s="38" t="inlineStr">
        <is>
          <t>Check findings against the evidence and obtain appropriate advice before serious action; keep protective measures distinct from findings.</t>
        </is>
      </c>
      <c r="P133" s="38" t="inlineStr">
        <is>
          <t>Review or verify within two business days and before the next affected event if earlier. Do not wait where a duty or current harm requires earlier action.</t>
        </is>
      </c>
      <c r="Q133" s="38" t="inlineStr">
        <is>
          <t>An escalation and decision checklist that separates allegations, evidence, responses and findings. Confirm that the change works in practice, not only that a document exists.</t>
        </is>
      </c>
      <c r="R133" s="38" t="inlineStr">
        <is>
          <t>An escalation and decision checklist that separates allegations, evidence, responses and findings.</t>
        </is>
      </c>
      <c r="S133" s="38" t="inlineStr">
        <is>
          <t>A conduct allegation, conflict of interest or proposed serious sanction.</t>
        </is>
      </c>
      <c r="T133" s="38" t="inlineStr">
        <is>
          <t>People manager</t>
        </is>
      </c>
      <c r="U133" s="38" t="inlineStr">
        <is>
          <t>Manager coaching and a fair performance or conduct process for the identified situation.</t>
        </is>
      </c>
      <c r="V133" s="38" t="inlineStr">
        <is>
          <t>FAIR_DECISIONS</t>
        </is>
      </c>
      <c r="W133" s="38" t="inlineStr">
        <is>
          <t>A_PER04</t>
        </is>
      </c>
      <c r="X133" s="38" t="inlineStr">
        <is>
          <t>S26;S27;S10;DESIGN</t>
        </is>
      </c>
      <c r="Y133" s="38"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Z133" s="38" t="inlineStr">
        <is>
          <t>Treating an allegation, strong suspicion or precautionary separation as a proven fact.</t>
        </is>
      </c>
    </row>
    <row r="134" ht="136" customHeight="1">
      <c r="A134" s="37" t="inlineStr">
        <is>
          <t>PER04_3</t>
        </is>
      </c>
      <c r="B134" s="37" t="inlineStr">
        <is>
          <t>PER04</t>
        </is>
      </c>
      <c r="C134" s="48" t="n">
        <v>3</v>
      </c>
      <c r="D134" s="37" t="inlineStr">
        <is>
          <t>We protect safety where needed, establish relevant facts, give a fair opportunity to respond and obtain appropriate advice before serious action.</t>
        </is>
      </c>
      <c r="E134" s="37" t="inlineStr">
        <is>
          <t>Maintain and test: put a decision check between allegation and action</t>
        </is>
      </c>
      <c r="F134" s="37" t="inlineStr">
        <is>
          <t>The selected response reports an established and checked practice. The tool has not inspected the evidence and cannot certify the absence of risk.</t>
        </is>
      </c>
      <c r="G134" s="37" t="inlineStr">
        <is>
          <t>A serious decision made before checking relevant facts and hearing a response can cause avoidable harm and expose the business to challenge.</t>
        </is>
      </c>
      <c r="H134" s="37" t="inlineStr">
        <is>
          <t>Fair conduct decisions</t>
        </is>
      </c>
      <c r="I134" s="48" t="n">
        <v>3</v>
      </c>
      <c r="J134" s="48" t="n">
        <v>1</v>
      </c>
      <c r="K134" s="48" t="n">
        <v>1</v>
      </c>
      <c r="L134" s="37" t="inlineStr">
        <is>
          <t>Lower reported concern, not a finding of no risk. The assumed controls are self-reported; a current incident, contrary evidence or failed control takes precedence.</t>
        </is>
      </c>
      <c r="M134" s="37" t="inlineStr">
        <is>
          <t>Maintain the practice described. At the next relevant review, check findings against the evidence and obtain appropriate advice before serious action; keep protective measures distinct from findings.</t>
        </is>
      </c>
      <c r="N134" s="37" t="inlineStr">
        <is>
          <t>Check whether changes in work, people or applicable requirements have made the original process less reliable.</t>
        </is>
      </c>
      <c r="O134" s="37" t="inlineStr">
        <is>
          <t>Retain the review outcome and act on any new exception. An unresolved live issue overrides this maintenance pathway.</t>
        </is>
      </c>
      <c r="P134" s="37" t="inlineStr">
        <is>
          <t>Maintain at the stated trigger; for a new low-priority improvement, plan within 90 days.</t>
        </is>
      </c>
      <c r="Q134" s="37" t="inlineStr">
        <is>
          <t>A current example of the practice and a proportionate recheck record. An escalation and decision checklist that separates allegations, evidence, responses and findings.</t>
        </is>
      </c>
      <c r="R134" s="37" t="inlineStr">
        <is>
          <t>An escalation and decision checklist that separates allegations, evidence, responses and findings.</t>
        </is>
      </c>
      <c r="S134" s="37" t="inlineStr">
        <is>
          <t>A conduct allegation, conflict of interest or proposed serious sanction.</t>
        </is>
      </c>
      <c r="T134" s="37" t="inlineStr">
        <is>
          <t>People manager</t>
        </is>
      </c>
      <c r="U134" s="37" t="inlineStr">
        <is>
          <t>No further purchase is implied by this result. Seek support only for a material change, unresolved exception or chosen improvement.</t>
        </is>
      </c>
      <c r="V134" s="37" t="inlineStr">
        <is>
          <t>FAIR_DECISIONS</t>
        </is>
      </c>
      <c r="W134" s="37" t="inlineStr">
        <is>
          <t>A_PER04</t>
        </is>
      </c>
      <c r="X134" s="37" t="inlineStr">
        <is>
          <t>S26;S27;S10;DESIGN</t>
        </is>
      </c>
      <c r="Y134" s="37"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Z134" s="37" t="inlineStr">
        <is>
          <t>Treating an allegation, strong suspicion or precautionary separation as a proven fact.</t>
        </is>
      </c>
    </row>
    <row r="135" ht="136" customHeight="1">
      <c r="A135" s="38" t="inlineStr">
        <is>
          <t>PER04_DK</t>
        </is>
      </c>
      <c r="B135" s="38" t="inlineStr">
        <is>
          <t>PER04</t>
        </is>
      </c>
      <c r="C135" s="38" t="inlineStr">
        <is>
          <t>DK</t>
        </is>
      </c>
      <c r="D135" s="38" t="inlineStr">
        <is>
          <t>I need to confirm this.</t>
        </is>
      </c>
      <c r="E135" s="38" t="inlineStr">
        <is>
          <t>Verify: put a decision check between allegation and action</t>
        </is>
      </c>
      <c r="F135" s="38" t="inlineStr">
        <is>
          <t>This answer identifies a knowledge gap. It does not establish that the practice is missing, that harm has occurred or that a legal duty has been breached.</t>
        </is>
      </c>
      <c r="G135" s="38" t="inlineStr">
        <is>
          <t>A serious decision made before checking relevant facts and hearing a response can cause avoidable harm and expose the business to challenge.</t>
        </is>
      </c>
      <c r="H135" s="38" t="inlineStr">
        <is>
          <t>Fair conduct decisions</t>
        </is>
      </c>
      <c r="I135" s="49" t="n">
        <v>3</v>
      </c>
      <c r="J135" s="49" t="n">
        <v>0</v>
      </c>
      <c r="K135" s="49" t="n">
        <v>3</v>
      </c>
      <c r="L135" s="38" t="inlineStr">
        <is>
          <t>The risk is not rated from an unknown answer. Verification is High priority because: A serious decision made before checking relevant facts and hearing a response can cause avoidable harm and expose the business to challenge.</t>
        </is>
      </c>
      <c r="M135" s="38" t="inlineStr">
        <is>
          <t>Ask the people manager to show a current example of the process and the evidence listed below. Confirm the answer before deciding what must be repaired.</t>
        </is>
      </c>
      <c r="N135" s="38" t="inlineStr">
        <is>
          <t>Compare the example with the established-practice description: We protect safety where needed, establish relevant facts, give a fair opportunity to respond and obtain appropriate advice before serious action.</t>
        </is>
      </c>
      <c r="O135" s="38" t="inlineStr">
        <is>
          <t>Record what was checked, by whom and when. If it remains unclear, keep the verification task open and agree any proportionate interim safeguard.</t>
        </is>
      </c>
      <c r="P135" s="38" t="inlineStr">
        <is>
          <t>Review or verify within two business days and before the next affected event if earlier. Do not wait where a duty or current harm requires earlier action.</t>
        </is>
      </c>
      <c r="Q135" s="38" t="inlineStr">
        <is>
          <t>A dated verification record, the supporting example, an updated answer and any remaining action. No automatic compliance conclusion.</t>
        </is>
      </c>
      <c r="R135" s="38" t="inlineStr">
        <is>
          <t>An escalation and decision checklist that separates allegations, evidence, responses and findings.</t>
        </is>
      </c>
      <c r="S135" s="38" t="inlineStr">
        <is>
          <t>A conduct allegation, conflict of interest or proposed serious sanction.</t>
        </is>
      </c>
      <c r="T135" s="38" t="inlineStr">
        <is>
          <t>People manager</t>
        </is>
      </c>
      <c r="U135" s="38" t="inlineStr">
        <is>
          <t>Manager coaching and a fair performance or conduct process for the identified situation.</t>
        </is>
      </c>
      <c r="V135" s="38" t="inlineStr">
        <is>
          <t>FAIR_DECISIONS</t>
        </is>
      </c>
      <c r="W135" s="38" t="inlineStr">
        <is>
          <t>A_PER04</t>
        </is>
      </c>
      <c r="X135" s="38" t="inlineStr">
        <is>
          <t>S26;S27;S10;DESIGN</t>
        </is>
      </c>
      <c r="Y135" s="38"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c r="Z135" s="38" t="inlineStr">
        <is>
          <t>Treating an allegation, strong suspicion or precautionary separation as a proven fact.</t>
        </is>
      </c>
    </row>
    <row r="136" ht="61" customHeight="1">
      <c r="A136" s="37" t="inlineStr">
        <is>
          <t>LND01_0</t>
        </is>
      </c>
      <c r="B136" s="37" t="inlineStr">
        <is>
          <t>LND01</t>
        </is>
      </c>
      <c r="C136" s="48" t="n">
        <v>0</v>
      </c>
      <c r="D136" s="37" t="inlineStr">
        <is>
          <t>Training happens without a clear view of the skills we need.</t>
        </is>
      </c>
      <c r="E136" s="37" t="inlineStr">
        <is>
          <t>Connect development to the work ahead</t>
        </is>
      </c>
      <c r="F136" s="37" t="inlineStr">
        <is>
          <t>The selected response reports a missing or unestablished element. Confirm the affected arrangements before drawing a conclusion about any actual breach or harm.</t>
        </is>
      </c>
      <c r="G136" s="37" t="inlineStr">
        <is>
          <t>Training disconnected from upcoming work can consume time without closing the capability gap that matters most.</t>
        </is>
      </c>
      <c r="H136" s="37" t="inlineStr">
        <is>
          <t>Future capability</t>
        </is>
      </c>
      <c r="I136" s="48" t="n">
        <v>2</v>
      </c>
      <c r="J136" s="48" t="n">
        <v>2</v>
      </c>
      <c r="K136" s="48" t="n">
        <v>2</v>
      </c>
      <c r="L136" s="37" t="inlineStr">
        <is>
          <t>Medium provisional concern: a material practice needs improvement. Training disconnected from upcoming work can consume time without closing the capability gap that matters most.</t>
        </is>
      </c>
      <c r="M136" s="37" t="inlineStr">
        <is>
          <t>Identify the three most important changes or demands ahead. Agree the skills needed, who needs them and a practical development action.</t>
        </is>
      </c>
      <c r="N136" s="37" t="inlineStr">
        <is>
          <t>Select the priority skills needed for the next six to twelve months and assign practical learning or recruitment actions.</t>
        </is>
      </c>
      <c r="O136" s="37" t="inlineStr">
        <is>
          <t>Check whether the planned work can be delivered with the capability available, not merely whether training was booked.</t>
        </is>
      </c>
      <c r="P136" s="37" t="inlineStr">
        <is>
          <t>Agree an owner and plan within 30 days, or before the next affected event if earlier.</t>
        </is>
      </c>
      <c r="Q136" s="37" t="inlineStr">
        <is>
          <t>The priority skill gap has an agreed development action, responsible person and resources; the learning has been applied and reviewed against the intended work outcome. A plan alone records progress, not completion. Confirm that the change works in practice, not only that a document exists.</t>
        </is>
      </c>
      <c r="R136" s="37" t="inlineStr">
        <is>
          <t>The priority skill gap has an agreed development action, responsible person and resources; the learning has been applied and reviewed against the intended work outcome. A plan alone records progress, not completion.</t>
        </is>
      </c>
      <c r="S136" s="37" t="inlineStr">
        <is>
          <t>Changed services, technology, customer requirements or key vacancies.</t>
        </is>
      </c>
      <c r="T136" s="37" t="inlineStr">
        <is>
          <t>Owner / people manager</t>
        </is>
      </c>
      <c r="U136" s="37" t="inlineStr">
        <is>
          <t>Focused capability planning, role development and critical-task cover.</t>
        </is>
      </c>
      <c r="V136" s="37" t="inlineStr">
        <is>
          <t>CAPABILITY</t>
        </is>
      </c>
      <c r="W136" s="37" t="inlineStr">
        <is>
          <t>A_LND01</t>
        </is>
      </c>
      <c r="X136" s="37" t="inlineStr">
        <is>
          <t>S27;DESIGN</t>
        </is>
      </c>
      <c r="Y136" s="37" t="inlineStr">
        <is>
          <t>https://www.fairwork.gov.au/sites/default/files/migration/711/managing-underperformance-best-practice-guide.pdf</t>
        </is>
      </c>
      <c r="Z136" s="37" t="inlineStr">
        <is>
          <t>Building a course calendar before deciding what the business needs people to do.</t>
        </is>
      </c>
    </row>
    <row r="137" ht="61" customHeight="1">
      <c r="A137" s="38" t="inlineStr">
        <is>
          <t>LND01_1</t>
        </is>
      </c>
      <c r="B137" s="38" t="inlineStr">
        <is>
          <t>LND01</t>
        </is>
      </c>
      <c r="C137" s="49" t="n">
        <v>1</v>
      </c>
      <c r="D137" s="38" t="inlineStr">
        <is>
          <t>We mainly respond when someone cannot do a task.</t>
        </is>
      </c>
      <c r="E137" s="38" t="inlineStr">
        <is>
          <t>Connect development to the work ahead</t>
        </is>
      </c>
      <c r="F137" s="38" t="inlineStr">
        <is>
          <t>The selected response relies on assumptions, informal decisions or an inconsistent process. The action is to make the relevant check reliable in routine work.</t>
        </is>
      </c>
      <c r="G137" s="38" t="inlineStr">
        <is>
          <t>Training disconnected from upcoming work can consume time without closing the capability gap that matters most.</t>
        </is>
      </c>
      <c r="H137" s="38" t="inlineStr">
        <is>
          <t>Future capability</t>
        </is>
      </c>
      <c r="I137" s="49" t="n">
        <v>2</v>
      </c>
      <c r="J137" s="49" t="n">
        <v>2</v>
      </c>
      <c r="K137" s="49" t="n">
        <v>2</v>
      </c>
      <c r="L137" s="38" t="inlineStr">
        <is>
          <t>Medium provisional concern: a material practice needs improvement. Training disconnected from upcoming work can consume time without closing the capability gap that matters most.</t>
        </is>
      </c>
      <c r="M137" s="38" t="inlineStr">
        <is>
          <t>Replace the assumption with a current check. Identify the three most important changes or demands ahead. Agree the skills needed, who needs them and a practical development action.</t>
        </is>
      </c>
      <c r="N137" s="38" t="inlineStr">
        <is>
          <t>Select the priority skills needed for the next six to twelve months and assign practical learning or recruitment actions.</t>
        </is>
      </c>
      <c r="O137" s="38" t="inlineStr">
        <is>
          <t>Check whether the planned work can be delivered with the capability available, not merely whether training was booked.</t>
        </is>
      </c>
      <c r="P137" s="38" t="inlineStr">
        <is>
          <t>Agree an owner and plan within 30 days, or before the next affected event if earlier.</t>
        </is>
      </c>
      <c r="Q137" s="38" t="inlineStr">
        <is>
          <t>The priority skill gap has an agreed development action, responsible person and resources; the learning has been applied and reviewed against the intended work outcome. A plan alone records progress, not completion. Confirm that the change works in practice, not only that a document exists.</t>
        </is>
      </c>
      <c r="R137" s="38" t="inlineStr">
        <is>
          <t>The priority skill gap has an agreed development action, responsible person and resources; the learning has been applied and reviewed against the intended work outcome. A plan alone records progress, not completion.</t>
        </is>
      </c>
      <c r="S137" s="38" t="inlineStr">
        <is>
          <t>Changed services, technology, customer requirements or key vacancies.</t>
        </is>
      </c>
      <c r="T137" s="38" t="inlineStr">
        <is>
          <t>Owner / people manager</t>
        </is>
      </c>
      <c r="U137" s="38" t="inlineStr">
        <is>
          <t>Focused capability planning, role development and critical-task cover.</t>
        </is>
      </c>
      <c r="V137" s="38" t="inlineStr">
        <is>
          <t>CAPABILITY</t>
        </is>
      </c>
      <c r="W137" s="38" t="inlineStr">
        <is>
          <t>A_LND01</t>
        </is>
      </c>
      <c r="X137" s="38" t="inlineStr">
        <is>
          <t>S27;DESIGN</t>
        </is>
      </c>
      <c r="Y137" s="38" t="inlineStr">
        <is>
          <t>https://www.fairwork.gov.au/sites/default/files/migration/711/managing-underperformance-best-practice-guide.pdf</t>
        </is>
      </c>
      <c r="Z137" s="38" t="inlineStr">
        <is>
          <t>Building a course calendar before deciding what the business needs people to do.</t>
        </is>
      </c>
    </row>
    <row r="138" ht="61" customHeight="1">
      <c r="A138" s="37" t="inlineStr">
        <is>
          <t>LND01_2</t>
        </is>
      </c>
      <c r="B138" s="37" t="inlineStr">
        <is>
          <t>LND01</t>
        </is>
      </c>
      <c r="C138" s="48" t="n">
        <v>2</v>
      </c>
      <c r="D138" s="37" t="inlineStr">
        <is>
          <t>We identify some skill gaps, but priorities are not linked to upcoming work.</t>
        </is>
      </c>
      <c r="E138" s="37" t="inlineStr">
        <is>
          <t>Complete the remaining check: connect development to the work ahead</t>
        </is>
      </c>
      <c r="F138" s="37" t="inlineStr">
        <is>
          <t>The selected response identifies an incomplete element within an existing practice. Keep what works and target the unresolved part; the stronger elements do not cancel the gap.</t>
        </is>
      </c>
      <c r="G138" s="37" t="inlineStr">
        <is>
          <t>Training disconnected from upcoming work can consume time without closing the capability gap that matters most.</t>
        </is>
      </c>
      <c r="H138" s="37" t="inlineStr">
        <is>
          <t>Future capability</t>
        </is>
      </c>
      <c r="I138" s="48" t="n">
        <v>2</v>
      </c>
      <c r="J138" s="48" t="n">
        <v>2</v>
      </c>
      <c r="K138" s="48" t="n">
        <v>2</v>
      </c>
      <c r="L138" s="37" t="inlineStr">
        <is>
          <t>Medium provisional concern: a material practice needs improvement. Training disconnected from upcoming work can consume time without closing the capability gap that matters most.</t>
        </is>
      </c>
      <c r="M138" s="37" t="inlineStr">
        <is>
          <t>Focus on the unresolved arrangements or exceptions. Identify the three most important changes or demands ahead. Agree the skills needed, who needs them and a practical development action.</t>
        </is>
      </c>
      <c r="N138" s="37" t="inlineStr">
        <is>
          <t>Select the priority skills needed for the next six to twelve months and assign practical learning or recruitment actions.</t>
        </is>
      </c>
      <c r="O138" s="37" t="inlineStr">
        <is>
          <t>Check whether the planned work can be delivered with the capability available, not merely whether training was booked.</t>
        </is>
      </c>
      <c r="P138" s="37" t="inlineStr">
        <is>
          <t>Agree an owner and plan within 30 days, or before the next affected event if earlier.</t>
        </is>
      </c>
      <c r="Q138" s="37" t="inlineStr">
        <is>
          <t>The priority skill gap has an agreed development action, responsible person and resources; the learning has been applied and reviewed against the intended work outcome. A plan alone records progress, not completion. Confirm that the change works in practice, not only that a document exists.</t>
        </is>
      </c>
      <c r="R138" s="37" t="inlineStr">
        <is>
          <t>The priority skill gap has an agreed development action, responsible person and resources; the learning has been applied and reviewed against the intended work outcome. A plan alone records progress, not completion.</t>
        </is>
      </c>
      <c r="S138" s="37" t="inlineStr">
        <is>
          <t>Changed services, technology, customer requirements or key vacancies.</t>
        </is>
      </c>
      <c r="T138" s="37" t="inlineStr">
        <is>
          <t>Owner / people manager</t>
        </is>
      </c>
      <c r="U138" s="37" t="inlineStr">
        <is>
          <t>Focused capability planning, role development and critical-task cover.</t>
        </is>
      </c>
      <c r="V138" s="37" t="inlineStr">
        <is>
          <t>CAPABILITY</t>
        </is>
      </c>
      <c r="W138" s="37" t="inlineStr">
        <is>
          <t>A_LND01</t>
        </is>
      </c>
      <c r="X138" s="37" t="inlineStr">
        <is>
          <t>S27;DESIGN</t>
        </is>
      </c>
      <c r="Y138" s="37" t="inlineStr">
        <is>
          <t>https://www.fairwork.gov.au/sites/default/files/migration/711/managing-underperformance-best-practice-guide.pdf</t>
        </is>
      </c>
      <c r="Z138" s="37" t="inlineStr">
        <is>
          <t>Building a course calendar before deciding what the business needs people to do.</t>
        </is>
      </c>
    </row>
    <row r="139" ht="61" customHeight="1">
      <c r="A139" s="38" t="inlineStr">
        <is>
          <t>LND01_3</t>
        </is>
      </c>
      <c r="B139" s="38" t="inlineStr">
        <is>
          <t>LND01</t>
        </is>
      </c>
      <c r="C139" s="49" t="n">
        <v>3</v>
      </c>
      <c r="D139" s="38" t="inlineStr">
        <is>
          <t>We identify priority skill gaps against upcoming work and agree practical development actions and owners.</t>
        </is>
      </c>
      <c r="E139" s="38" t="inlineStr">
        <is>
          <t>Maintain and test: connect development to the work ahead</t>
        </is>
      </c>
      <c r="F139" s="38" t="inlineStr">
        <is>
          <t>The selected response reports an established and checked practice. The tool has not inspected the evidence and cannot certify the absence of risk.</t>
        </is>
      </c>
      <c r="G139" s="38" t="inlineStr">
        <is>
          <t>Training disconnected from upcoming work can consume time without closing the capability gap that matters most.</t>
        </is>
      </c>
      <c r="H139" s="38" t="inlineStr">
        <is>
          <t>Future capability</t>
        </is>
      </c>
      <c r="I139" s="49" t="n">
        <v>2</v>
      </c>
      <c r="J139" s="49" t="n">
        <v>1</v>
      </c>
      <c r="K139" s="49" t="n">
        <v>1</v>
      </c>
      <c r="L139" s="38" t="inlineStr">
        <is>
          <t>Lower reported concern, not a finding of no risk. The assumed controls are self-reported; a current incident, contrary evidence or failed control takes precedence.</t>
        </is>
      </c>
      <c r="M139" s="38" t="inlineStr">
        <is>
          <t>Maintain the practice described. At the next relevant review, check whether the planned work can be delivered with the capability available, not merely whether training was booked.</t>
        </is>
      </c>
      <c r="N139" s="38" t="inlineStr">
        <is>
          <t>Check whether changes in work, people or applicable requirements have made the original process less reliable.</t>
        </is>
      </c>
      <c r="O139" s="38" t="inlineStr">
        <is>
          <t>Retain the review outcome and act on any new exception. An unresolved live issue overrides this maintenance pathway.</t>
        </is>
      </c>
      <c r="P139" s="38" t="inlineStr">
        <is>
          <t>Maintain at the stated trigger; for a new low-priority improvement, plan within 90 days.</t>
        </is>
      </c>
      <c r="Q139" s="38" t="inlineStr">
        <is>
          <t>A current example of the practice and a proportionate recheck record. The priority skill gap has an agreed development action, responsible person and resources; the learning has been applied and reviewed against the intended work outcome. A plan alone records progress, not completion.</t>
        </is>
      </c>
      <c r="R139" s="38" t="inlineStr">
        <is>
          <t>The priority skill gap has an agreed development action, responsible person and resources; the learning has been applied and reviewed against the intended work outcome. A plan alone records progress, not completion.</t>
        </is>
      </c>
      <c r="S139" s="38" t="inlineStr">
        <is>
          <t>Changed services, technology, customer requirements or key vacancies.</t>
        </is>
      </c>
      <c r="T139" s="38" t="inlineStr">
        <is>
          <t>Owner / people manager</t>
        </is>
      </c>
      <c r="U139" s="38" t="inlineStr">
        <is>
          <t>No further purchase is implied by this result. Seek support only for a material change, unresolved exception or chosen improvement.</t>
        </is>
      </c>
      <c r="V139" s="38" t="inlineStr">
        <is>
          <t>CAPABILITY</t>
        </is>
      </c>
      <c r="W139" s="38" t="inlineStr">
        <is>
          <t>A_LND01</t>
        </is>
      </c>
      <c r="X139" s="38" t="inlineStr">
        <is>
          <t>S27;DESIGN</t>
        </is>
      </c>
      <c r="Y139" s="38" t="inlineStr">
        <is>
          <t>https://www.fairwork.gov.au/sites/default/files/migration/711/managing-underperformance-best-practice-guide.pdf</t>
        </is>
      </c>
      <c r="Z139" s="38" t="inlineStr">
        <is>
          <t>Building a course calendar before deciding what the business needs people to do.</t>
        </is>
      </c>
    </row>
    <row r="140" ht="61" customHeight="1">
      <c r="A140" s="37" t="inlineStr">
        <is>
          <t>LND01_DK</t>
        </is>
      </c>
      <c r="B140" s="37" t="inlineStr">
        <is>
          <t>LND01</t>
        </is>
      </c>
      <c r="C140" s="37" t="inlineStr">
        <is>
          <t>DK</t>
        </is>
      </c>
      <c r="D140" s="37" t="inlineStr">
        <is>
          <t>I need to confirm this.</t>
        </is>
      </c>
      <c r="E140" s="37" t="inlineStr">
        <is>
          <t>Verify: connect development to the work ahead</t>
        </is>
      </c>
      <c r="F140" s="37" t="inlineStr">
        <is>
          <t>This answer identifies a knowledge gap. It does not establish that the practice is missing, that harm has occurred or that a legal duty has been breached.</t>
        </is>
      </c>
      <c r="G140" s="37" t="inlineStr">
        <is>
          <t>Training disconnected from upcoming work can consume time without closing the capability gap that matters most.</t>
        </is>
      </c>
      <c r="H140" s="37" t="inlineStr">
        <is>
          <t>Future capability</t>
        </is>
      </c>
      <c r="I140" s="48" t="n">
        <v>2</v>
      </c>
      <c r="J140" s="48" t="n">
        <v>0</v>
      </c>
      <c r="K140" s="48" t="n">
        <v>2</v>
      </c>
      <c r="L140" s="37" t="inlineStr">
        <is>
          <t>The risk is not rated from an unknown answer. Verification is Medium priority because: Training disconnected from upcoming work can consume time without closing the capability gap that matters most.</t>
        </is>
      </c>
      <c r="M140" s="37" t="inlineStr">
        <is>
          <t>Ask the owner / people manager to show a current example of the process and the evidence listed below. Confirm the answer before deciding what must be repaired.</t>
        </is>
      </c>
      <c r="N140" s="37" t="inlineStr">
        <is>
          <t>Compare the example with the established-practice description: We identify priority skill gaps against upcoming work and agree practical development actions and owners.</t>
        </is>
      </c>
      <c r="O140" s="37" t="inlineStr">
        <is>
          <t>Record what was checked, by whom and when. If it remains unclear, keep the verification task open and agree any proportionate interim safeguard.</t>
        </is>
      </c>
      <c r="P140" s="37" t="inlineStr">
        <is>
          <t>Agree an owner and plan within 30 days, or before the next affected event if earlier.</t>
        </is>
      </c>
      <c r="Q140" s="37" t="inlineStr">
        <is>
          <t>A dated verification record, the supporting example, an updated answer and any remaining action. No automatic compliance conclusion.</t>
        </is>
      </c>
      <c r="R140" s="37" t="inlineStr">
        <is>
          <t>The priority skill gap has an agreed development action, responsible person and resources; the learning has been applied and reviewed against the intended work outcome. A plan alone records progress, not completion.</t>
        </is>
      </c>
      <c r="S140" s="37" t="inlineStr">
        <is>
          <t>Changed services, technology, customer requirements or key vacancies.</t>
        </is>
      </c>
      <c r="T140" s="37" t="inlineStr">
        <is>
          <t>Owner / people manager</t>
        </is>
      </c>
      <c r="U140" s="37" t="inlineStr">
        <is>
          <t>Focused capability planning, role development and critical-task cover.</t>
        </is>
      </c>
      <c r="V140" s="37" t="inlineStr">
        <is>
          <t>CAPABILITY</t>
        </is>
      </c>
      <c r="W140" s="37" t="inlineStr">
        <is>
          <t>A_LND01</t>
        </is>
      </c>
      <c r="X140" s="37" t="inlineStr">
        <is>
          <t>S27;DESIGN</t>
        </is>
      </c>
      <c r="Y140" s="37" t="inlineStr">
        <is>
          <t>https://www.fairwork.gov.au/sites/default/files/migration/711/managing-underperformance-best-practice-guide.pdf</t>
        </is>
      </c>
      <c r="Z140" s="37" t="inlineStr">
        <is>
          <t>Building a course calendar before deciding what the business needs people to do.</t>
        </is>
      </c>
    </row>
    <row r="141" ht="61" customHeight="1">
      <c r="A141" s="38" t="inlineStr">
        <is>
          <t>LND02_0</t>
        </is>
      </c>
      <c r="B141" s="38" t="inlineStr">
        <is>
          <t>LND02</t>
        </is>
      </c>
      <c r="C141" s="49" t="n">
        <v>0</v>
      </c>
      <c r="D141" s="38" t="inlineStr">
        <is>
          <t>We do not check whether training has been useful.</t>
        </is>
      </c>
      <c r="E141" s="38" t="inlineStr">
        <is>
          <t>Check what changed after the training</t>
        </is>
      </c>
      <c r="F141" s="38" t="inlineStr">
        <is>
          <t>The selected response reports a missing or unestablished element. Confirm the affected arrangements before drawing a conclusion about any actual breach or harm.</t>
        </is>
      </c>
      <c r="G141" s="38" t="inlineStr">
        <is>
          <t>Attendance records do not show whether a person can apply a skill or whether the original problem improved.</t>
        </is>
      </c>
      <c r="H141" s="38" t="inlineStr">
        <is>
          <t>Return on development effort</t>
        </is>
      </c>
      <c r="I141" s="49" t="n">
        <v>2</v>
      </c>
      <c r="J141" s="49" t="n">
        <v>2</v>
      </c>
      <c r="K141" s="49" t="n">
        <v>2</v>
      </c>
      <c r="L141" s="38" t="inlineStr">
        <is>
          <t>Medium provisional concern: a material practice needs improvement. Attendance records do not show whether a person can apply a skill or whether the original problem improved.</t>
        </is>
      </c>
      <c r="M141" s="38" t="inlineStr">
        <is>
          <t>Choose a recent training activity and agree one observable result. Ask the manager and employee to review whether that result is now demonstrated.</t>
        </is>
      </c>
      <c r="N141" s="38" t="inlineStr">
        <is>
          <t>Define the intended on-the-job change and provide an opportunity, resources and feedback to practise it.</t>
        </is>
      </c>
      <c r="O141" s="38" t="inlineStr">
        <is>
          <t>Observe the task or review a work outcome after learning; adjust the support where the change has not occurred.</t>
        </is>
      </c>
      <c r="P141" s="38" t="inlineStr">
        <is>
          <t>Agree an owner and plan within 30 days, or before the next affected event if earlier.</t>
        </is>
      </c>
      <c r="Q141" s="38" t="inlineStr">
        <is>
          <t>A follow-up example shows whether the intended work outcome improved, and any remaining support or corrective learning has been delivered and checked. Confirm that the change works in practice, not only that a document exists.</t>
        </is>
      </c>
      <c r="R141" s="38" t="inlineStr">
        <is>
          <t>A follow-up example shows whether the intended work outcome improved, and any remaining support or corrective learning has been delivered and checked.</t>
        </is>
      </c>
      <c r="S141" s="38" t="inlineStr">
        <is>
          <t>Completion of material training or continuing errors despite training.</t>
        </is>
      </c>
      <c r="T141" s="38" t="inlineStr">
        <is>
          <t>Owner / people manager</t>
        </is>
      </c>
      <c r="U141" s="38" t="inlineStr">
        <is>
          <t>Focused capability planning, role development and critical-task cover.</t>
        </is>
      </c>
      <c r="V141" s="38" t="inlineStr">
        <is>
          <t>CAPABILITY</t>
        </is>
      </c>
      <c r="W141" s="38" t="inlineStr">
        <is>
          <t>A_LND02</t>
        </is>
      </c>
      <c r="X141" s="38" t="inlineStr">
        <is>
          <t>S27;DESIGN</t>
        </is>
      </c>
      <c r="Y141" s="38" t="inlineStr">
        <is>
          <t>https://www.fairwork.gov.au/sites/default/files/migration/711/managing-underperformance-best-practice-guide.pdf</t>
        </is>
      </c>
      <c r="Z141" s="38" t="inlineStr">
        <is>
          <t>Buying more training when the obstacle is workload, unclear expectations or missing tools.</t>
        </is>
      </c>
    </row>
    <row r="142" ht="61" customHeight="1">
      <c r="A142" s="37" t="inlineStr">
        <is>
          <t>LND02_1</t>
        </is>
      </c>
      <c r="B142" s="37" t="inlineStr">
        <is>
          <t>LND02</t>
        </is>
      </c>
      <c r="C142" s="48" t="n">
        <v>1</v>
      </c>
      <c r="D142" s="37" t="inlineStr">
        <is>
          <t>We record attendance or completion but rarely check application.</t>
        </is>
      </c>
      <c r="E142" s="37" t="inlineStr">
        <is>
          <t>Check what changed after the training</t>
        </is>
      </c>
      <c r="F142" s="37" t="inlineStr">
        <is>
          <t>The selected response relies on assumptions, informal decisions or an inconsistent process. The action is to make the relevant check reliable in routine work.</t>
        </is>
      </c>
      <c r="G142" s="37" t="inlineStr">
        <is>
          <t>Attendance records do not show whether a person can apply a skill or whether the original problem improved.</t>
        </is>
      </c>
      <c r="H142" s="37" t="inlineStr">
        <is>
          <t>Return on development effort</t>
        </is>
      </c>
      <c r="I142" s="48" t="n">
        <v>2</v>
      </c>
      <c r="J142" s="48" t="n">
        <v>2</v>
      </c>
      <c r="K142" s="48" t="n">
        <v>2</v>
      </c>
      <c r="L142" s="37" t="inlineStr">
        <is>
          <t>Medium provisional concern: a material practice needs improvement. Attendance records do not show whether a person can apply a skill or whether the original problem improved.</t>
        </is>
      </c>
      <c r="M142" s="37" t="inlineStr">
        <is>
          <t>Replace the assumption with a current check. Choose a recent training activity and agree one observable result. Ask the manager and employee to review whether that result is now demonstrated.</t>
        </is>
      </c>
      <c r="N142" s="37" t="inlineStr">
        <is>
          <t>Define the intended on-the-job change and provide an opportunity, resources and feedback to practise it.</t>
        </is>
      </c>
      <c r="O142" s="37" t="inlineStr">
        <is>
          <t>Observe the task or review a work outcome after learning; adjust the support where the change has not occurred.</t>
        </is>
      </c>
      <c r="P142" s="37" t="inlineStr">
        <is>
          <t>Agree an owner and plan within 30 days, or before the next affected event if earlier.</t>
        </is>
      </c>
      <c r="Q142" s="37" t="inlineStr">
        <is>
          <t>A follow-up example shows whether the intended work outcome improved, and any remaining support or corrective learning has been delivered and checked. Confirm that the change works in practice, not only that a document exists.</t>
        </is>
      </c>
      <c r="R142" s="37" t="inlineStr">
        <is>
          <t>A follow-up example shows whether the intended work outcome improved, and any remaining support or corrective learning has been delivered and checked.</t>
        </is>
      </c>
      <c r="S142" s="37" t="inlineStr">
        <is>
          <t>Completion of material training or continuing errors despite training.</t>
        </is>
      </c>
      <c r="T142" s="37" t="inlineStr">
        <is>
          <t>Owner / people manager</t>
        </is>
      </c>
      <c r="U142" s="37" t="inlineStr">
        <is>
          <t>Focused capability planning, role development and critical-task cover.</t>
        </is>
      </c>
      <c r="V142" s="37" t="inlineStr">
        <is>
          <t>CAPABILITY</t>
        </is>
      </c>
      <c r="W142" s="37" t="inlineStr">
        <is>
          <t>A_LND02</t>
        </is>
      </c>
      <c r="X142" s="37" t="inlineStr">
        <is>
          <t>S27;DESIGN</t>
        </is>
      </c>
      <c r="Y142" s="37" t="inlineStr">
        <is>
          <t>https://www.fairwork.gov.au/sites/default/files/migration/711/managing-underperformance-best-practice-guide.pdf</t>
        </is>
      </c>
      <c r="Z142" s="37" t="inlineStr">
        <is>
          <t>Buying more training when the obstacle is workload, unclear expectations or missing tools.</t>
        </is>
      </c>
    </row>
    <row r="143" ht="61" customHeight="1">
      <c r="A143" s="38" t="inlineStr">
        <is>
          <t>LND02_2</t>
        </is>
      </c>
      <c r="B143" s="38" t="inlineStr">
        <is>
          <t>LND02</t>
        </is>
      </c>
      <c r="C143" s="49" t="n">
        <v>2</v>
      </c>
      <c r="D143" s="38" t="inlineStr">
        <is>
          <t>Managers sometimes check application, but the approach is inconsistent.</t>
        </is>
      </c>
      <c r="E143" s="38" t="inlineStr">
        <is>
          <t>Complete the remaining check: check what changed after the training</t>
        </is>
      </c>
      <c r="F143" s="38" t="inlineStr">
        <is>
          <t>The selected response identifies an incomplete element within an existing practice. Keep what works and target the unresolved part; the stronger elements do not cancel the gap.</t>
        </is>
      </c>
      <c r="G143" s="38" t="inlineStr">
        <is>
          <t>Attendance records do not show whether a person can apply a skill or whether the original problem improved.</t>
        </is>
      </c>
      <c r="H143" s="38" t="inlineStr">
        <is>
          <t>Return on development effort</t>
        </is>
      </c>
      <c r="I143" s="49" t="n">
        <v>2</v>
      </c>
      <c r="J143" s="49" t="n">
        <v>2</v>
      </c>
      <c r="K143" s="49" t="n">
        <v>2</v>
      </c>
      <c r="L143" s="38" t="inlineStr">
        <is>
          <t>Medium provisional concern: a material practice needs improvement. Attendance records do not show whether a person can apply a skill or whether the original problem improved.</t>
        </is>
      </c>
      <c r="M143" s="38" t="inlineStr">
        <is>
          <t>Focus on the unresolved arrangements or exceptions. Choose a recent training activity and agree one observable result. Ask the manager and employee to review whether that result is now demonstrated.</t>
        </is>
      </c>
      <c r="N143" s="38" t="inlineStr">
        <is>
          <t>Define the intended on-the-job change and provide an opportunity, resources and feedback to practise it.</t>
        </is>
      </c>
      <c r="O143" s="38" t="inlineStr">
        <is>
          <t>Observe the task or review a work outcome after learning; adjust the support where the change has not occurred.</t>
        </is>
      </c>
      <c r="P143" s="38" t="inlineStr">
        <is>
          <t>Agree an owner and plan within 30 days, or before the next affected event if earlier.</t>
        </is>
      </c>
      <c r="Q143" s="38" t="inlineStr">
        <is>
          <t>A follow-up example shows whether the intended work outcome improved, and any remaining support or corrective learning has been delivered and checked. Confirm that the change works in practice, not only that a document exists.</t>
        </is>
      </c>
      <c r="R143" s="38" t="inlineStr">
        <is>
          <t>A follow-up example shows whether the intended work outcome improved, and any remaining support or corrective learning has been delivered and checked.</t>
        </is>
      </c>
      <c r="S143" s="38" t="inlineStr">
        <is>
          <t>Completion of material training or continuing errors despite training.</t>
        </is>
      </c>
      <c r="T143" s="38" t="inlineStr">
        <is>
          <t>Owner / people manager</t>
        </is>
      </c>
      <c r="U143" s="38" t="inlineStr">
        <is>
          <t>Focused capability planning, role development and critical-task cover.</t>
        </is>
      </c>
      <c r="V143" s="38" t="inlineStr">
        <is>
          <t>CAPABILITY</t>
        </is>
      </c>
      <c r="W143" s="38" t="inlineStr">
        <is>
          <t>A_LND02</t>
        </is>
      </c>
      <c r="X143" s="38" t="inlineStr">
        <is>
          <t>S27;DESIGN</t>
        </is>
      </c>
      <c r="Y143" s="38" t="inlineStr">
        <is>
          <t>https://www.fairwork.gov.au/sites/default/files/migration/711/managing-underperformance-best-practice-guide.pdf</t>
        </is>
      </c>
      <c r="Z143" s="38" t="inlineStr">
        <is>
          <t>Buying more training when the obstacle is workload, unclear expectations or missing tools.</t>
        </is>
      </c>
    </row>
    <row r="144" ht="46" customHeight="1">
      <c r="A144" s="37" t="inlineStr">
        <is>
          <t>LND02_3</t>
        </is>
      </c>
      <c r="B144" s="37" t="inlineStr">
        <is>
          <t>LND02</t>
        </is>
      </c>
      <c r="C144" s="48" t="n">
        <v>3</v>
      </c>
      <c r="D144" s="37" t="inlineStr">
        <is>
          <t>We agree the intended improvement, give people an opportunity to apply it and review the result.</t>
        </is>
      </c>
      <c r="E144" s="37" t="inlineStr">
        <is>
          <t>Maintain and test: check what changed after the training</t>
        </is>
      </c>
      <c r="F144" s="37" t="inlineStr">
        <is>
          <t>The selected response reports an established and checked practice. The tool has not inspected the evidence and cannot certify the absence of risk.</t>
        </is>
      </c>
      <c r="G144" s="37" t="inlineStr">
        <is>
          <t>Attendance records do not show whether a person can apply a skill or whether the original problem improved.</t>
        </is>
      </c>
      <c r="H144" s="37" t="inlineStr">
        <is>
          <t>Return on development effort</t>
        </is>
      </c>
      <c r="I144" s="48" t="n">
        <v>2</v>
      </c>
      <c r="J144" s="48" t="n">
        <v>1</v>
      </c>
      <c r="K144" s="48" t="n">
        <v>1</v>
      </c>
      <c r="L144" s="37" t="inlineStr">
        <is>
          <t>Lower reported concern, not a finding of no risk. The assumed controls are self-reported; a current incident, contrary evidence or failed control takes precedence.</t>
        </is>
      </c>
      <c r="M144" s="37" t="inlineStr">
        <is>
          <t>Maintain the practice described. At the next relevant review, observe the task or review a work outcome after learning; adjust the support where the change has not occurred.</t>
        </is>
      </c>
      <c r="N144" s="37" t="inlineStr">
        <is>
          <t>Check whether changes in work, people or applicable requirements have made the original process less reliable.</t>
        </is>
      </c>
      <c r="O144" s="37" t="inlineStr">
        <is>
          <t>Retain the review outcome and act on any new exception. An unresolved live issue overrides this maintenance pathway.</t>
        </is>
      </c>
      <c r="P144" s="37" t="inlineStr">
        <is>
          <t>Maintain at the stated trigger; for a new low-priority improvement, plan within 90 days.</t>
        </is>
      </c>
      <c r="Q144" s="37" t="inlineStr">
        <is>
          <t>A current example of the practice and a proportionate recheck record. A follow-up example shows whether the intended work outcome improved, and any remaining support or corrective learning has been delivered and checked.</t>
        </is>
      </c>
      <c r="R144" s="37" t="inlineStr">
        <is>
          <t>A follow-up example shows whether the intended work outcome improved, and any remaining support or corrective learning has been delivered and checked.</t>
        </is>
      </c>
      <c r="S144" s="37" t="inlineStr">
        <is>
          <t>Completion of material training or continuing errors despite training.</t>
        </is>
      </c>
      <c r="T144" s="37" t="inlineStr">
        <is>
          <t>Owner / people manager</t>
        </is>
      </c>
      <c r="U144" s="37" t="inlineStr">
        <is>
          <t>No further purchase is implied by this result. Seek support only for a material change, unresolved exception or chosen improvement.</t>
        </is>
      </c>
      <c r="V144" s="37" t="inlineStr">
        <is>
          <t>CAPABILITY</t>
        </is>
      </c>
      <c r="W144" s="37" t="inlineStr">
        <is>
          <t>A_LND02</t>
        </is>
      </c>
      <c r="X144" s="37" t="inlineStr">
        <is>
          <t>S27;DESIGN</t>
        </is>
      </c>
      <c r="Y144" s="37" t="inlineStr">
        <is>
          <t>https://www.fairwork.gov.au/sites/default/files/migration/711/managing-underperformance-best-practice-guide.pdf</t>
        </is>
      </c>
      <c r="Z144" s="37" t="inlineStr">
        <is>
          <t>Buying more training when the obstacle is workload, unclear expectations or missing tools.</t>
        </is>
      </c>
    </row>
    <row r="145" ht="61" customHeight="1">
      <c r="A145" s="38" t="inlineStr">
        <is>
          <t>LND02_DK</t>
        </is>
      </c>
      <c r="B145" s="38" t="inlineStr">
        <is>
          <t>LND02</t>
        </is>
      </c>
      <c r="C145" s="38" t="inlineStr">
        <is>
          <t>DK</t>
        </is>
      </c>
      <c r="D145" s="38" t="inlineStr">
        <is>
          <t>I need to confirm this.</t>
        </is>
      </c>
      <c r="E145" s="38" t="inlineStr">
        <is>
          <t>Verify: check what changed after the training</t>
        </is>
      </c>
      <c r="F145" s="38" t="inlineStr">
        <is>
          <t>This answer identifies a knowledge gap. It does not establish that the practice is missing, that harm has occurred or that a legal duty has been breached.</t>
        </is>
      </c>
      <c r="G145" s="38" t="inlineStr">
        <is>
          <t>Attendance records do not show whether a person can apply a skill or whether the original problem improved.</t>
        </is>
      </c>
      <c r="H145" s="38" t="inlineStr">
        <is>
          <t>Return on development effort</t>
        </is>
      </c>
      <c r="I145" s="49" t="n">
        <v>2</v>
      </c>
      <c r="J145" s="49" t="n">
        <v>0</v>
      </c>
      <c r="K145" s="49" t="n">
        <v>2</v>
      </c>
      <c r="L145" s="38" t="inlineStr">
        <is>
          <t>The risk is not rated from an unknown answer. Verification is Medium priority because: Attendance records do not show whether a person can apply a skill or whether the original problem improved.</t>
        </is>
      </c>
      <c r="M145" s="38" t="inlineStr">
        <is>
          <t>Ask the owner / people manager to show a current example of the process and the evidence listed below. Confirm the answer before deciding what must be repaired.</t>
        </is>
      </c>
      <c r="N145" s="38" t="inlineStr">
        <is>
          <t>Compare the example with the established-practice description: We agree the intended improvement, give people an opportunity to apply it and review the result.</t>
        </is>
      </c>
      <c r="O145" s="38" t="inlineStr">
        <is>
          <t>Record what was checked, by whom and when. If it remains unclear, keep the verification task open and agree any proportionate interim safeguard.</t>
        </is>
      </c>
      <c r="P145" s="38" t="inlineStr">
        <is>
          <t>Agree an owner and plan within 30 days, or before the next affected event if earlier.</t>
        </is>
      </c>
      <c r="Q145" s="38" t="inlineStr">
        <is>
          <t>A dated verification record, the supporting example, an updated answer and any remaining action. No automatic compliance conclusion.</t>
        </is>
      </c>
      <c r="R145" s="38" t="inlineStr">
        <is>
          <t>A follow-up example shows whether the intended work outcome improved, and any remaining support or corrective learning has been delivered and checked.</t>
        </is>
      </c>
      <c r="S145" s="38" t="inlineStr">
        <is>
          <t>Completion of material training or continuing errors despite training.</t>
        </is>
      </c>
      <c r="T145" s="38" t="inlineStr">
        <is>
          <t>Owner / people manager</t>
        </is>
      </c>
      <c r="U145" s="38" t="inlineStr">
        <is>
          <t>Focused capability planning, role development and critical-task cover.</t>
        </is>
      </c>
      <c r="V145" s="38" t="inlineStr">
        <is>
          <t>CAPABILITY</t>
        </is>
      </c>
      <c r="W145" s="38" t="inlineStr">
        <is>
          <t>A_LND02</t>
        </is>
      </c>
      <c r="X145" s="38" t="inlineStr">
        <is>
          <t>S27;DESIGN</t>
        </is>
      </c>
      <c r="Y145" s="38" t="inlineStr">
        <is>
          <t>https://www.fairwork.gov.au/sites/default/files/migration/711/managing-underperformance-best-practice-guide.pdf</t>
        </is>
      </c>
      <c r="Z145" s="38" t="inlineStr">
        <is>
          <t>Buying more training when the obstacle is workload, unclear expectations or missing tools.</t>
        </is>
      </c>
    </row>
    <row r="146" ht="61" customHeight="1">
      <c r="A146" s="37" t="inlineStr">
        <is>
          <t>LND03_0</t>
        </is>
      </c>
      <c r="B146" s="37" t="inlineStr">
        <is>
          <t>LND03</t>
        </is>
      </c>
      <c r="C146" s="48" t="n">
        <v>0</v>
      </c>
      <c r="D146" s="37" t="inlineStr">
        <is>
          <t>Some critical work would stop because only one person can do it.</t>
        </is>
      </c>
      <c r="E146" s="37" t="inlineStr">
        <is>
          <t>Reduce reliance on one person</t>
        </is>
      </c>
      <c r="F146" s="37" t="inlineStr">
        <is>
          <t>The selected response reports a missing or unestablished element. Confirm the affected arrangements before drawing a conclusion about any actual breach or harm.</t>
        </is>
      </c>
      <c r="G146" s="37" t="inlineStr">
        <is>
          <t>If essential work depends on one unavailable person, payroll, client delivery or approvals can stop even when the rest of the team is capable.</t>
        </is>
      </c>
      <c r="H146" s="37" t="inlineStr">
        <is>
          <t>Business continuity</t>
        </is>
      </c>
      <c r="I146" s="48" t="n">
        <v>3</v>
      </c>
      <c r="J146" s="48" t="n">
        <v>3</v>
      </c>
      <c r="K146" s="48" t="n">
        <v>3</v>
      </c>
      <c r="L146" s="37" t="inlineStr">
        <is>
          <t>High provisional concern: an essential element remains unresolved. If essential work depends on one unavailable person, payroll, client delivery or approvals can stop even when the rest of the team is capable.</t>
        </is>
      </c>
      <c r="M146" s="37" t="inlineStr">
        <is>
          <t>Choose one business-critical task with no tested backup. Document the essentials and have the nominated backup perform a supervised run-through.</t>
        </is>
      </c>
      <c r="N146" s="37" t="inlineStr">
        <is>
          <t>Name a capable backup or external alternative and prepare secure, usable instructions for the critical task.</t>
        </is>
      </c>
      <c r="O146" s="37" t="inlineStr">
        <is>
          <t>Test the backup without relying on the usual person. Record what failed and retest it.</t>
        </is>
      </c>
      <c r="P146" s="37" t="inlineStr">
        <is>
          <t>Review or verify within two business days and before the next affected event if earlier. Do not wait where a duty or current harm requires earlier action.</t>
        </is>
      </c>
      <c r="Q146" s="37" t="inlineStr">
        <is>
          <t>A tested cover arrangement for priority tasks, including secure access and authorisations. Confirm that the change works in practice, not only that a document exists.</t>
        </is>
      </c>
      <c r="R146" s="37" t="inlineStr">
        <is>
          <t>A tested cover arrangement for priority tasks, including secure access and authorisations.</t>
        </is>
      </c>
      <c r="S146" s="37" t="inlineStr">
        <is>
          <t>Key leave, resignation, changed systems or a failed continuity test.</t>
        </is>
      </c>
      <c r="T146" s="37" t="inlineStr">
        <is>
          <t>Owner / people manager</t>
        </is>
      </c>
      <c r="U146" s="37" t="inlineStr">
        <is>
          <t>Focused capability planning, role development and critical-task cover.</t>
        </is>
      </c>
      <c r="V146" s="37" t="inlineStr">
        <is>
          <t>CAPABILITY</t>
        </is>
      </c>
      <c r="W146" s="37" t="inlineStr">
        <is>
          <t>A_LND03</t>
        </is>
      </c>
      <c r="X146" s="37" t="inlineStr">
        <is>
          <t>DESIGN;DESIGN</t>
        </is>
      </c>
      <c r="Y146" s="37" t="inlineStr"/>
      <c r="Z146" s="37" t="inlineStr">
        <is>
          <t>Assuming the key person can write instructions after becoming unavailable, or sharing their password.</t>
        </is>
      </c>
    </row>
    <row r="147" ht="61" customHeight="1">
      <c r="A147" s="38" t="inlineStr">
        <is>
          <t>LND03_1</t>
        </is>
      </c>
      <c r="B147" s="38" t="inlineStr">
        <is>
          <t>LND03</t>
        </is>
      </c>
      <c r="C147" s="49" t="n">
        <v>1</v>
      </c>
      <c r="D147" s="38" t="inlineStr">
        <is>
          <t>We rely on that person explaining the work if they become unavailable.</t>
        </is>
      </c>
      <c r="E147" s="38" t="inlineStr">
        <is>
          <t>Reduce reliance on one person</t>
        </is>
      </c>
      <c r="F147" s="38" t="inlineStr">
        <is>
          <t>The selected response relies on assumptions, informal decisions or an inconsistent process. The action is to make the relevant check reliable in routine work.</t>
        </is>
      </c>
      <c r="G147" s="38" t="inlineStr">
        <is>
          <t>If essential work depends on one unavailable person, payroll, client delivery or approvals can stop even when the rest of the team is capable.</t>
        </is>
      </c>
      <c r="H147" s="38" t="inlineStr">
        <is>
          <t>Business continuity</t>
        </is>
      </c>
      <c r="I147" s="49" t="n">
        <v>3</v>
      </c>
      <c r="J147" s="49" t="n">
        <v>3</v>
      </c>
      <c r="K147" s="49" t="n">
        <v>3</v>
      </c>
      <c r="L147" s="38" t="inlineStr">
        <is>
          <t>High provisional concern: an essential element remains unresolved. If essential work depends on one unavailable person, payroll, client delivery or approvals can stop even when the rest of the team is capable.</t>
        </is>
      </c>
      <c r="M147" s="38" t="inlineStr">
        <is>
          <t>Replace the assumption with a current check. Choose one business-critical task with no tested backup. Document the essentials and have the nominated backup perform a supervised run-through.</t>
        </is>
      </c>
      <c r="N147" s="38" t="inlineStr">
        <is>
          <t>Name a capable backup or external alternative and prepare secure, usable instructions for the critical task.</t>
        </is>
      </c>
      <c r="O147" s="38" t="inlineStr">
        <is>
          <t>Test the backup without relying on the usual person. Record what failed and retest it.</t>
        </is>
      </c>
      <c r="P147" s="38" t="inlineStr">
        <is>
          <t>Review or verify within two business days and before the next affected event if earlier. Do not wait where a duty or current harm requires earlier action.</t>
        </is>
      </c>
      <c r="Q147" s="38" t="inlineStr">
        <is>
          <t>A tested cover arrangement for priority tasks, including secure access and authorisations. Confirm that the change works in practice, not only that a document exists.</t>
        </is>
      </c>
      <c r="R147" s="38" t="inlineStr">
        <is>
          <t>A tested cover arrangement for priority tasks, including secure access and authorisations.</t>
        </is>
      </c>
      <c r="S147" s="38" t="inlineStr">
        <is>
          <t>Key leave, resignation, changed systems or a failed continuity test.</t>
        </is>
      </c>
      <c r="T147" s="38" t="inlineStr">
        <is>
          <t>Owner / people manager</t>
        </is>
      </c>
      <c r="U147" s="38" t="inlineStr">
        <is>
          <t>Focused capability planning, role development and critical-task cover.</t>
        </is>
      </c>
      <c r="V147" s="38" t="inlineStr">
        <is>
          <t>CAPABILITY</t>
        </is>
      </c>
      <c r="W147" s="38" t="inlineStr">
        <is>
          <t>A_LND03</t>
        </is>
      </c>
      <c r="X147" s="38" t="inlineStr">
        <is>
          <t>DESIGN;DESIGN</t>
        </is>
      </c>
      <c r="Y147" s="38" t="inlineStr"/>
      <c r="Z147" s="38" t="inlineStr">
        <is>
          <t>Assuming the key person can write instructions after becoming unavailable, or sharing their password.</t>
        </is>
      </c>
    </row>
    <row r="148" ht="61" customHeight="1">
      <c r="A148" s="37" t="inlineStr">
        <is>
          <t>LND03_2</t>
        </is>
      </c>
      <c r="B148" s="37" t="inlineStr">
        <is>
          <t>LND03</t>
        </is>
      </c>
      <c r="C148" s="48" t="n">
        <v>2</v>
      </c>
      <c r="D148" s="37" t="inlineStr">
        <is>
          <t>We have some backups or instructions, but they have not been tested.</t>
        </is>
      </c>
      <c r="E148" s="37" t="inlineStr">
        <is>
          <t>Complete the remaining check: reduce reliance on one person</t>
        </is>
      </c>
      <c r="F148" s="37" t="inlineStr">
        <is>
          <t>The selected response identifies an incomplete element within an existing practice. Keep what works and target the unresolved part; the stronger elements do not cancel the gap.</t>
        </is>
      </c>
      <c r="G148" s="37" t="inlineStr">
        <is>
          <t>If essential work depends on one unavailable person, payroll, client delivery or approvals can stop even when the rest of the team is capable.</t>
        </is>
      </c>
      <c r="H148" s="37" t="inlineStr">
        <is>
          <t>Business continuity</t>
        </is>
      </c>
      <c r="I148" s="48" t="n">
        <v>3</v>
      </c>
      <c r="J148" s="48" t="n">
        <v>2</v>
      </c>
      <c r="K148" s="48" t="n">
        <v>2</v>
      </c>
      <c r="L148" s="37" t="inlineStr">
        <is>
          <t>Medium provisional concern: a material practice needs improvement. If essential work depends on one unavailable person, payroll, client delivery or approvals can stop even when the rest of the team is capable.</t>
        </is>
      </c>
      <c r="M148" s="37" t="inlineStr">
        <is>
          <t>Focus on the unresolved arrangements or exceptions. Choose one business-critical task with no tested backup. Document the essentials and have the nominated backup perform a supervised run-through.</t>
        </is>
      </c>
      <c r="N148" s="37" t="inlineStr">
        <is>
          <t>Name a capable backup or external alternative and prepare secure, usable instructions for the critical task.</t>
        </is>
      </c>
      <c r="O148" s="37" t="inlineStr">
        <is>
          <t>Test the backup without relying on the usual person. Record what failed and retest it.</t>
        </is>
      </c>
      <c r="P148" s="37" t="inlineStr">
        <is>
          <t>Agree an owner and plan within 30 days, or before the next affected event if earlier.</t>
        </is>
      </c>
      <c r="Q148" s="37" t="inlineStr">
        <is>
          <t>A tested cover arrangement for priority tasks, including secure access and authorisations. Confirm that the change works in practice, not only that a document exists.</t>
        </is>
      </c>
      <c r="R148" s="37" t="inlineStr">
        <is>
          <t>A tested cover arrangement for priority tasks, including secure access and authorisations.</t>
        </is>
      </c>
      <c r="S148" s="37" t="inlineStr">
        <is>
          <t>Key leave, resignation, changed systems or a failed continuity test.</t>
        </is>
      </c>
      <c r="T148" s="37" t="inlineStr">
        <is>
          <t>Owner / people manager</t>
        </is>
      </c>
      <c r="U148" s="37" t="inlineStr">
        <is>
          <t>Focused capability planning, role development and critical-task cover.</t>
        </is>
      </c>
      <c r="V148" s="37" t="inlineStr">
        <is>
          <t>CAPABILITY</t>
        </is>
      </c>
      <c r="W148" s="37" t="inlineStr">
        <is>
          <t>A_LND03</t>
        </is>
      </c>
      <c r="X148" s="37" t="inlineStr">
        <is>
          <t>DESIGN;DESIGN</t>
        </is>
      </c>
      <c r="Y148" s="37" t="inlineStr"/>
      <c r="Z148" s="37" t="inlineStr">
        <is>
          <t>Assuming the key person can write instructions after becoming unavailable, or sharing their password.</t>
        </is>
      </c>
    </row>
    <row r="149" ht="46" customHeight="1">
      <c r="A149" s="38" t="inlineStr">
        <is>
          <t>LND03_3</t>
        </is>
      </c>
      <c r="B149" s="38" t="inlineStr">
        <is>
          <t>LND03</t>
        </is>
      </c>
      <c r="C149" s="49" t="n">
        <v>3</v>
      </c>
      <c r="D149" s="38" t="inlineStr">
        <is>
          <t>Critical work has a capable backup or workable alternative, with accessible instructions that have been tested.</t>
        </is>
      </c>
      <c r="E149" s="38" t="inlineStr">
        <is>
          <t>Maintain and test: reduce reliance on one person</t>
        </is>
      </c>
      <c r="F149" s="38" t="inlineStr">
        <is>
          <t>The selected response reports an established and checked practice. The tool has not inspected the evidence and cannot certify the absence of risk.</t>
        </is>
      </c>
      <c r="G149" s="38" t="inlineStr">
        <is>
          <t>If essential work depends on one unavailable person, payroll, client delivery or approvals can stop even when the rest of the team is capable.</t>
        </is>
      </c>
      <c r="H149" s="38" t="inlineStr">
        <is>
          <t>Business continuity</t>
        </is>
      </c>
      <c r="I149" s="49" t="n">
        <v>3</v>
      </c>
      <c r="J149" s="49" t="n">
        <v>1</v>
      </c>
      <c r="K149" s="49" t="n">
        <v>1</v>
      </c>
      <c r="L149" s="38" t="inlineStr">
        <is>
          <t>Lower reported concern, not a finding of no risk. The assumed controls are self-reported; a current incident, contrary evidence or failed control takes precedence.</t>
        </is>
      </c>
      <c r="M149" s="38" t="inlineStr">
        <is>
          <t>Maintain the practice described. At the next relevant review, test the backup without relying on the usual person. Record what failed and retest it.</t>
        </is>
      </c>
      <c r="N149" s="38" t="inlineStr">
        <is>
          <t>Check whether changes in work, people or applicable requirements have made the original process less reliable.</t>
        </is>
      </c>
      <c r="O149" s="38" t="inlineStr">
        <is>
          <t>Retain the review outcome and act on any new exception. An unresolved live issue overrides this maintenance pathway.</t>
        </is>
      </c>
      <c r="P149" s="38" t="inlineStr">
        <is>
          <t>Maintain at the stated trigger; for a new low-priority improvement, plan within 90 days.</t>
        </is>
      </c>
      <c r="Q149" s="38" t="inlineStr">
        <is>
          <t>A current example of the practice and a proportionate recheck record. A tested cover arrangement for priority tasks, including secure access and authorisations.</t>
        </is>
      </c>
      <c r="R149" s="38" t="inlineStr">
        <is>
          <t>A tested cover arrangement for priority tasks, including secure access and authorisations.</t>
        </is>
      </c>
      <c r="S149" s="38" t="inlineStr">
        <is>
          <t>Key leave, resignation, changed systems or a failed continuity test.</t>
        </is>
      </c>
      <c r="T149" s="38" t="inlineStr">
        <is>
          <t>Owner / people manager</t>
        </is>
      </c>
      <c r="U149" s="38" t="inlineStr">
        <is>
          <t>No further purchase is implied by this result. Seek support only for a material change, unresolved exception or chosen improvement.</t>
        </is>
      </c>
      <c r="V149" s="38" t="inlineStr">
        <is>
          <t>CAPABILITY</t>
        </is>
      </c>
      <c r="W149" s="38" t="inlineStr">
        <is>
          <t>A_LND03</t>
        </is>
      </c>
      <c r="X149" s="38" t="inlineStr">
        <is>
          <t>DESIGN;DESIGN</t>
        </is>
      </c>
      <c r="Y149" s="38" t="inlineStr"/>
      <c r="Z149" s="38" t="inlineStr">
        <is>
          <t>Assuming the key person can write instructions after becoming unavailable, or sharing their password.</t>
        </is>
      </c>
    </row>
    <row r="150" ht="61" customHeight="1">
      <c r="A150" s="37" t="inlineStr">
        <is>
          <t>LND03_DK</t>
        </is>
      </c>
      <c r="B150" s="37" t="inlineStr">
        <is>
          <t>LND03</t>
        </is>
      </c>
      <c r="C150" s="37" t="inlineStr">
        <is>
          <t>DK</t>
        </is>
      </c>
      <c r="D150" s="37" t="inlineStr">
        <is>
          <t>I need to confirm this.</t>
        </is>
      </c>
      <c r="E150" s="37" t="inlineStr">
        <is>
          <t>Verify: reduce reliance on one person</t>
        </is>
      </c>
      <c r="F150" s="37" t="inlineStr">
        <is>
          <t>This answer identifies a knowledge gap. It does not establish that the practice is missing, that harm has occurred or that a legal duty has been breached.</t>
        </is>
      </c>
      <c r="G150" s="37" t="inlineStr">
        <is>
          <t>If essential work depends on one unavailable person, payroll, client delivery or approvals can stop even when the rest of the team is capable.</t>
        </is>
      </c>
      <c r="H150" s="37" t="inlineStr">
        <is>
          <t>Business continuity</t>
        </is>
      </c>
      <c r="I150" s="48" t="n">
        <v>3</v>
      </c>
      <c r="J150" s="48" t="n">
        <v>0</v>
      </c>
      <c r="K150" s="48" t="n">
        <v>3</v>
      </c>
      <c r="L150" s="37" t="inlineStr">
        <is>
          <t>The risk is not rated from an unknown answer. Verification is High priority because: If essential work depends on one unavailable person, payroll, client delivery or approvals can stop even when the rest of the team is capable.</t>
        </is>
      </c>
      <c r="M150" s="37" t="inlineStr">
        <is>
          <t>Ask the owner / people manager to show a current example of the process and the evidence listed below. Confirm the answer before deciding what must be repaired.</t>
        </is>
      </c>
      <c r="N150" s="37" t="inlineStr">
        <is>
          <t>Compare the example with the established-practice description: Critical work has a capable backup or workable alternative, with accessible instructions that have been tested.</t>
        </is>
      </c>
      <c r="O150" s="37" t="inlineStr">
        <is>
          <t>Record what was checked, by whom and when. If it remains unclear, keep the verification task open and agree any proportionate interim safeguard.</t>
        </is>
      </c>
      <c r="P150" s="37" t="inlineStr">
        <is>
          <t>Review or verify within two business days and before the next affected event if earlier. Do not wait where a duty or current harm requires earlier action.</t>
        </is>
      </c>
      <c r="Q150" s="37" t="inlineStr">
        <is>
          <t>A dated verification record, the supporting example, an updated answer and any remaining action. No automatic compliance conclusion.</t>
        </is>
      </c>
      <c r="R150" s="37" t="inlineStr">
        <is>
          <t>A tested cover arrangement for priority tasks, including secure access and authorisations.</t>
        </is>
      </c>
      <c r="S150" s="37" t="inlineStr">
        <is>
          <t>Key leave, resignation, changed systems or a failed continuity test.</t>
        </is>
      </c>
      <c r="T150" s="37" t="inlineStr">
        <is>
          <t>Owner / people manager</t>
        </is>
      </c>
      <c r="U150" s="37" t="inlineStr">
        <is>
          <t>Focused capability planning, role development and critical-task cover.</t>
        </is>
      </c>
      <c r="V150" s="37" t="inlineStr">
        <is>
          <t>CAPABILITY</t>
        </is>
      </c>
      <c r="W150" s="37" t="inlineStr">
        <is>
          <t>A_LND03</t>
        </is>
      </c>
      <c r="X150" s="37" t="inlineStr">
        <is>
          <t>DESIGN;DESIGN</t>
        </is>
      </c>
      <c r="Y150" s="37" t="inlineStr"/>
      <c r="Z150" s="37" t="inlineStr">
        <is>
          <t>Assuming the key person can write instructions after becoming unavailable, or sharing their password.</t>
        </is>
      </c>
    </row>
    <row r="151" ht="106" customHeight="1">
      <c r="A151" s="38" t="inlineStr">
        <is>
          <t>CUL01_0</t>
        </is>
      </c>
      <c r="B151" s="38" t="inlineStr">
        <is>
          <t>CUL01</t>
        </is>
      </c>
      <c r="C151" s="49" t="n">
        <v>0</v>
      </c>
      <c r="D151" s="38" t="inlineStr">
        <is>
          <t>We do not regularly seek employee input.</t>
        </is>
      </c>
      <c r="E151" s="38" t="inlineStr">
        <is>
          <t>Turn employee input into visible decisions</t>
        </is>
      </c>
      <c r="F151" s="38" t="inlineStr">
        <is>
          <t>The selected response reports a missing or unestablished element. Confirm the affected arrangements before drawing a conclusion about any actual breach or harm.</t>
        </is>
      </c>
      <c r="G151" s="38" t="inlineStr">
        <is>
          <t>Silence can hide concerns, and repeated requests for feedback without a response can discourage further input.</t>
        </is>
      </c>
      <c r="H151" s="38" t="inlineStr">
        <is>
          <t>Employee voice and follow-through</t>
        </is>
      </c>
      <c r="I151" s="49" t="n">
        <v>2</v>
      </c>
      <c r="J151" s="49" t="n">
        <v>2</v>
      </c>
      <c r="K151" s="49" t="n">
        <v>2</v>
      </c>
      <c r="L151" s="38" t="inlineStr">
        <is>
          <t>Medium provisional concern: a material practice needs improvement. Silence can hide concerns, and repeated requests for feedback without a response can discourage further input.</t>
        </is>
      </c>
      <c r="M151" s="38" t="inlineStr">
        <is>
          <t>Choose a proportionate listening method. Identify one or two priorities and tell employees what action will follow and when.</t>
        </is>
      </c>
      <c r="N151" s="38" t="inlineStr">
        <is>
          <t>Choose a credible listening method appropriate to the team and explain confidentiality limitations and alternative reporting routes.</t>
        </is>
      </c>
      <c r="O151" s="38" t="inlineStr">
        <is>
          <t>Return to employees with what was heard, what will change and the reasons for decisions; check whether action addressed the issue.</t>
        </is>
      </c>
      <c r="P151" s="38" t="inlineStr">
        <is>
          <t>Agree an owner and plan within 30 days, or before the next affected event if earlier.</t>
        </is>
      </c>
      <c r="Q151" s="38" t="inlineStr">
        <is>
          <t>Feedback has been considered, the business has communicated its response and the agreed priority action has been implemented and checked with employees. A survey or summary alone does not close the action. Confirm that the change works in practice, not only that a document exists.</t>
        </is>
      </c>
      <c r="R151" s="38" t="inlineStr">
        <is>
          <t>Feedback has been considered, the business has communicated its response and the agreed priority action has been implemented and checked with employees. A survey or summary alone does not close the action.</t>
        </is>
      </c>
      <c r="S151" s="38" t="inlineStr">
        <is>
          <t>Listening cycles, material change or evidence that people have stopped speaking up.</t>
        </is>
      </c>
      <c r="T151" s="38" t="inlineStr">
        <is>
          <t>Business leader</t>
        </is>
      </c>
      <c r="U151" s="38" t="inlineStr">
        <is>
          <t>Employee listening, retention diagnosis and accountable leadership practices.</t>
        </is>
      </c>
      <c r="V151" s="38" t="inlineStr">
        <is>
          <t>CULTURE</t>
        </is>
      </c>
      <c r="W151" s="38" t="inlineStr">
        <is>
          <t>A_CUL01</t>
        </is>
      </c>
      <c r="X151" s="38" t="inlineStr">
        <is>
          <t>S25;S10;DESIGN</t>
        </is>
      </c>
      <c r="Y151" s="38"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Z151" s="38" t="inlineStr">
        <is>
          <t>Promising anonymity in a small group where people can be identified.</t>
        </is>
      </c>
    </row>
    <row r="152" ht="106" customHeight="1">
      <c r="A152" s="37" t="inlineStr">
        <is>
          <t>CUL01_1</t>
        </is>
      </c>
      <c r="B152" s="37" t="inlineStr">
        <is>
          <t>CUL01</t>
        </is>
      </c>
      <c r="C152" s="48" t="n">
        <v>1</v>
      </c>
      <c r="D152" s="37" t="inlineStr">
        <is>
          <t>We rely on informal comments or assume silence means things are going well.</t>
        </is>
      </c>
      <c r="E152" s="37" t="inlineStr">
        <is>
          <t>Turn employee input into visible decisions</t>
        </is>
      </c>
      <c r="F152" s="37" t="inlineStr">
        <is>
          <t>The selected response relies on assumptions, informal decisions or an inconsistent process. The action is to make the relevant check reliable in routine work.</t>
        </is>
      </c>
      <c r="G152" s="37" t="inlineStr">
        <is>
          <t>Silence can hide concerns, and repeated requests for feedback without a response can discourage further input.</t>
        </is>
      </c>
      <c r="H152" s="37" t="inlineStr">
        <is>
          <t>Employee voice and follow-through</t>
        </is>
      </c>
      <c r="I152" s="48" t="n">
        <v>2</v>
      </c>
      <c r="J152" s="48" t="n">
        <v>2</v>
      </c>
      <c r="K152" s="48" t="n">
        <v>2</v>
      </c>
      <c r="L152" s="37" t="inlineStr">
        <is>
          <t>Medium provisional concern: a material practice needs improvement. Silence can hide concerns, and repeated requests for feedback without a response can discourage further input.</t>
        </is>
      </c>
      <c r="M152" s="37" t="inlineStr">
        <is>
          <t>Replace the assumption with a current check. Choose a proportionate listening method. Identify one or two priorities and tell employees what action will follow and when.</t>
        </is>
      </c>
      <c r="N152" s="37" t="inlineStr">
        <is>
          <t>Choose a credible listening method appropriate to the team and explain confidentiality limitations and alternative reporting routes.</t>
        </is>
      </c>
      <c r="O152" s="37" t="inlineStr">
        <is>
          <t>Return to employees with what was heard, what will change and the reasons for decisions; check whether action addressed the issue.</t>
        </is>
      </c>
      <c r="P152" s="37" t="inlineStr">
        <is>
          <t>Agree an owner and plan within 30 days, or before the next affected event if earlier.</t>
        </is>
      </c>
      <c r="Q152" s="37" t="inlineStr">
        <is>
          <t>Feedback has been considered, the business has communicated its response and the agreed priority action has been implemented and checked with employees. A survey or summary alone does not close the action. Confirm that the change works in practice, not only that a document exists.</t>
        </is>
      </c>
      <c r="R152" s="37" t="inlineStr">
        <is>
          <t>Feedback has been considered, the business has communicated its response and the agreed priority action has been implemented and checked with employees. A survey or summary alone does not close the action.</t>
        </is>
      </c>
      <c r="S152" s="37" t="inlineStr">
        <is>
          <t>Listening cycles, material change or evidence that people have stopped speaking up.</t>
        </is>
      </c>
      <c r="T152" s="37" t="inlineStr">
        <is>
          <t>Business leader</t>
        </is>
      </c>
      <c r="U152" s="37" t="inlineStr">
        <is>
          <t>Employee listening, retention diagnosis and accountable leadership practices.</t>
        </is>
      </c>
      <c r="V152" s="37" t="inlineStr">
        <is>
          <t>CULTURE</t>
        </is>
      </c>
      <c r="W152" s="37" t="inlineStr">
        <is>
          <t>A_CUL01</t>
        </is>
      </c>
      <c r="X152" s="37" t="inlineStr">
        <is>
          <t>S25;S10;DESIGN</t>
        </is>
      </c>
      <c r="Y152" s="37"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Z152" s="37" t="inlineStr">
        <is>
          <t>Promising anonymity in a small group where people can be identified.</t>
        </is>
      </c>
    </row>
    <row r="153" ht="106" customHeight="1">
      <c r="A153" s="38" t="inlineStr">
        <is>
          <t>CUL01_2</t>
        </is>
      </c>
      <c r="B153" s="38" t="inlineStr">
        <is>
          <t>CUL01</t>
        </is>
      </c>
      <c r="C153" s="49" t="n">
        <v>2</v>
      </c>
      <c r="D153" s="38" t="inlineStr">
        <is>
          <t>We seek feedback, but do not consistently act on it or explain the response.</t>
        </is>
      </c>
      <c r="E153" s="38" t="inlineStr">
        <is>
          <t>Complete the remaining check: turn employee input into visible decisions</t>
        </is>
      </c>
      <c r="F153" s="38" t="inlineStr">
        <is>
          <t>The selected response identifies an incomplete element within an existing practice. Keep what works and target the unresolved part; the stronger elements do not cancel the gap.</t>
        </is>
      </c>
      <c r="G153" s="38" t="inlineStr">
        <is>
          <t>Silence can hide concerns, and repeated requests for feedback without a response can discourage further input.</t>
        </is>
      </c>
      <c r="H153" s="38" t="inlineStr">
        <is>
          <t>Employee voice and follow-through</t>
        </is>
      </c>
      <c r="I153" s="49" t="n">
        <v>2</v>
      </c>
      <c r="J153" s="49" t="n">
        <v>2</v>
      </c>
      <c r="K153" s="49" t="n">
        <v>2</v>
      </c>
      <c r="L153" s="38" t="inlineStr">
        <is>
          <t>Medium provisional concern: a material practice needs improvement. Silence can hide concerns, and repeated requests for feedback without a response can discourage further input.</t>
        </is>
      </c>
      <c r="M153" s="38" t="inlineStr">
        <is>
          <t>Focus on the unresolved arrangements or exceptions. Choose a proportionate listening method. Identify one or two priorities and tell employees what action will follow and when.</t>
        </is>
      </c>
      <c r="N153" s="38" t="inlineStr">
        <is>
          <t>Choose a credible listening method appropriate to the team and explain confidentiality limitations and alternative reporting routes.</t>
        </is>
      </c>
      <c r="O153" s="38" t="inlineStr">
        <is>
          <t>Return to employees with what was heard, what will change and the reasons for decisions; check whether action addressed the issue.</t>
        </is>
      </c>
      <c r="P153" s="38" t="inlineStr">
        <is>
          <t>Agree an owner and plan within 30 days, or before the next affected event if earlier.</t>
        </is>
      </c>
      <c r="Q153" s="38" t="inlineStr">
        <is>
          <t>Feedback has been considered, the business has communicated its response and the agreed priority action has been implemented and checked with employees. A survey or summary alone does not close the action. Confirm that the change works in practice, not only that a document exists.</t>
        </is>
      </c>
      <c r="R153" s="38" t="inlineStr">
        <is>
          <t>Feedback has been considered, the business has communicated its response and the agreed priority action has been implemented and checked with employees. A survey or summary alone does not close the action.</t>
        </is>
      </c>
      <c r="S153" s="38" t="inlineStr">
        <is>
          <t>Listening cycles, material change or evidence that people have stopped speaking up.</t>
        </is>
      </c>
      <c r="T153" s="38" t="inlineStr">
        <is>
          <t>Business leader</t>
        </is>
      </c>
      <c r="U153" s="38" t="inlineStr">
        <is>
          <t>Employee listening, retention diagnosis and accountable leadership practices.</t>
        </is>
      </c>
      <c r="V153" s="38" t="inlineStr">
        <is>
          <t>CULTURE</t>
        </is>
      </c>
      <c r="W153" s="38" t="inlineStr">
        <is>
          <t>A_CUL01</t>
        </is>
      </c>
      <c r="X153" s="38" t="inlineStr">
        <is>
          <t>S25;S10;DESIGN</t>
        </is>
      </c>
      <c r="Y153" s="38"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Z153" s="38" t="inlineStr">
        <is>
          <t>Promising anonymity in a small group where people can be identified.</t>
        </is>
      </c>
    </row>
    <row r="154" ht="106" customHeight="1">
      <c r="A154" s="37" t="inlineStr">
        <is>
          <t>CUL01_3</t>
        </is>
      </c>
      <c r="B154" s="37" t="inlineStr">
        <is>
          <t>CUL01</t>
        </is>
      </c>
      <c r="C154" s="48" t="n">
        <v>3</v>
      </c>
      <c r="D154" s="37" t="inlineStr">
        <is>
          <t>We use a credible way to hear employees, identify themes, act on priorities and explain what will and will not change.</t>
        </is>
      </c>
      <c r="E154" s="37" t="inlineStr">
        <is>
          <t>Maintain and test: turn employee input into visible decisions</t>
        </is>
      </c>
      <c r="F154" s="37" t="inlineStr">
        <is>
          <t>The selected response reports an established and checked practice. The tool has not inspected the evidence and cannot certify the absence of risk.</t>
        </is>
      </c>
      <c r="G154" s="37" t="inlineStr">
        <is>
          <t>Silence can hide concerns, and repeated requests for feedback without a response can discourage further input.</t>
        </is>
      </c>
      <c r="H154" s="37" t="inlineStr">
        <is>
          <t>Employee voice and follow-through</t>
        </is>
      </c>
      <c r="I154" s="48" t="n">
        <v>2</v>
      </c>
      <c r="J154" s="48" t="n">
        <v>1</v>
      </c>
      <c r="K154" s="48" t="n">
        <v>1</v>
      </c>
      <c r="L154" s="37" t="inlineStr">
        <is>
          <t>Lower reported concern, not a finding of no risk. The assumed controls are self-reported; a current incident, contrary evidence or failed control takes precedence.</t>
        </is>
      </c>
      <c r="M154" s="37" t="inlineStr">
        <is>
          <t>Maintain the practice described. At the next relevant review, return to employees with what was heard, what will change and the reasons for decisions; check whether action addressed the issue.</t>
        </is>
      </c>
      <c r="N154" s="37" t="inlineStr">
        <is>
          <t>Check whether changes in work, people or applicable requirements have made the original process less reliable.</t>
        </is>
      </c>
      <c r="O154" s="37" t="inlineStr">
        <is>
          <t>Retain the review outcome and act on any new exception. An unresolved live issue overrides this maintenance pathway.</t>
        </is>
      </c>
      <c r="P154" s="37" t="inlineStr">
        <is>
          <t>Maintain at the stated trigger; for a new low-priority improvement, plan within 90 days.</t>
        </is>
      </c>
      <c r="Q154" s="37" t="inlineStr">
        <is>
          <t>A current example of the practice and a proportionate recheck record. Feedback has been considered, the business has communicated its response and the agreed priority action has been implemented and checked with employees. A survey or summary alone does not close the action.</t>
        </is>
      </c>
      <c r="R154" s="37" t="inlineStr">
        <is>
          <t>Feedback has been considered, the business has communicated its response and the agreed priority action has been implemented and checked with employees. A survey or summary alone does not close the action.</t>
        </is>
      </c>
      <c r="S154" s="37" t="inlineStr">
        <is>
          <t>Listening cycles, material change or evidence that people have stopped speaking up.</t>
        </is>
      </c>
      <c r="T154" s="37" t="inlineStr">
        <is>
          <t>Business leader</t>
        </is>
      </c>
      <c r="U154" s="37" t="inlineStr">
        <is>
          <t>No further purchase is implied by this result. Seek support only for a material change, unresolved exception or chosen improvement.</t>
        </is>
      </c>
      <c r="V154" s="37" t="inlineStr">
        <is>
          <t>CULTURE</t>
        </is>
      </c>
      <c r="W154" s="37" t="inlineStr">
        <is>
          <t>A_CUL01</t>
        </is>
      </c>
      <c r="X154" s="37" t="inlineStr">
        <is>
          <t>S25;S10;DESIGN</t>
        </is>
      </c>
      <c r="Y154" s="37"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Z154" s="37" t="inlineStr">
        <is>
          <t>Promising anonymity in a small group where people can be identified.</t>
        </is>
      </c>
    </row>
    <row r="155" ht="106" customHeight="1">
      <c r="A155" s="38" t="inlineStr">
        <is>
          <t>CUL01_DK</t>
        </is>
      </c>
      <c r="B155" s="38" t="inlineStr">
        <is>
          <t>CUL01</t>
        </is>
      </c>
      <c r="C155" s="38" t="inlineStr">
        <is>
          <t>DK</t>
        </is>
      </c>
      <c r="D155" s="38" t="inlineStr">
        <is>
          <t>I need to confirm this.</t>
        </is>
      </c>
      <c r="E155" s="38" t="inlineStr">
        <is>
          <t>Verify: turn employee input into visible decisions</t>
        </is>
      </c>
      <c r="F155" s="38" t="inlineStr">
        <is>
          <t>This answer identifies a knowledge gap. It does not establish that the practice is missing, that harm has occurred or that a legal duty has been breached.</t>
        </is>
      </c>
      <c r="G155" s="38" t="inlineStr">
        <is>
          <t>Silence can hide concerns, and repeated requests for feedback without a response can discourage further input.</t>
        </is>
      </c>
      <c r="H155" s="38" t="inlineStr">
        <is>
          <t>Employee voice and follow-through</t>
        </is>
      </c>
      <c r="I155" s="49" t="n">
        <v>2</v>
      </c>
      <c r="J155" s="49" t="n">
        <v>0</v>
      </c>
      <c r="K155" s="49" t="n">
        <v>2</v>
      </c>
      <c r="L155" s="38" t="inlineStr">
        <is>
          <t>The risk is not rated from an unknown answer. Verification is Medium priority because: Silence can hide concerns, and repeated requests for feedback without a response can discourage further input.</t>
        </is>
      </c>
      <c r="M155" s="38" t="inlineStr">
        <is>
          <t>Ask the business leader to show a current example of the process and the evidence listed below. Confirm the answer before deciding what must be repaired.</t>
        </is>
      </c>
      <c r="N155" s="38" t="inlineStr">
        <is>
          <t>Compare the example with the established-practice description: We use a credible way to hear employees, identify themes, act on priorities and explain what will and will not change.</t>
        </is>
      </c>
      <c r="O155" s="38" t="inlineStr">
        <is>
          <t>Record what was checked, by whom and when. If it remains unclear, keep the verification task open and agree any proportionate interim safeguard.</t>
        </is>
      </c>
      <c r="P155" s="38" t="inlineStr">
        <is>
          <t>Agree an owner and plan within 30 days, or before the next affected event if earlier.</t>
        </is>
      </c>
      <c r="Q155" s="38" t="inlineStr">
        <is>
          <t>A dated verification record, the supporting example, an updated answer and any remaining action. No automatic compliance conclusion.</t>
        </is>
      </c>
      <c r="R155" s="38" t="inlineStr">
        <is>
          <t>Feedback has been considered, the business has communicated its response and the agreed priority action has been implemented and checked with employees. A survey or summary alone does not close the action.</t>
        </is>
      </c>
      <c r="S155" s="38" t="inlineStr">
        <is>
          <t>Listening cycles, material change or evidence that people have stopped speaking up.</t>
        </is>
      </c>
      <c r="T155" s="38" t="inlineStr">
        <is>
          <t>Business leader</t>
        </is>
      </c>
      <c r="U155" s="38" t="inlineStr">
        <is>
          <t>Employee listening, retention diagnosis and accountable leadership practices.</t>
        </is>
      </c>
      <c r="V155" s="38" t="inlineStr">
        <is>
          <t>CULTURE</t>
        </is>
      </c>
      <c r="W155" s="38" t="inlineStr">
        <is>
          <t>A_CUL01</t>
        </is>
      </c>
      <c r="X155" s="38" t="inlineStr">
        <is>
          <t>S25;S10;DESIGN</t>
        </is>
      </c>
      <c r="Y155" s="38" t="inlineStr">
        <is>
          <t>https://www.fairwork.gov.au/tools-and-resources/best-practice-guides/consultation-and-cooperation-in-the-workplace
https://humanrights.gov.au/resource-hub/resources-for-organisations-businesses/positive-duty-pdfs/guidelines-for-complying-with-the-positive-duty-under-the-sex-discrimination-act-1984-cth</t>
        </is>
      </c>
      <c r="Z155" s="38" t="inlineStr">
        <is>
          <t>Promising anonymity in a small group where people can be identified.</t>
        </is>
      </c>
    </row>
    <row r="156" ht="61" customHeight="1">
      <c r="A156" s="37" t="inlineStr">
        <is>
          <t>CUL02_0</t>
        </is>
      </c>
      <c r="B156" s="37" t="inlineStr">
        <is>
          <t>CUL02</t>
        </is>
      </c>
      <c r="C156" s="48" t="n">
        <v>0</v>
      </c>
      <c r="D156" s="37" t="inlineStr">
        <is>
          <t>We rarely review retention concerns or the reasons people leave.</t>
        </is>
      </c>
      <c r="E156" s="37" t="inlineStr">
        <is>
          <t>Look beyond the turnover percentage</t>
        </is>
      </c>
      <c r="F156" s="37" t="inlineStr">
        <is>
          <t>The selected response reports a missing or unestablished element. Confirm the affected arrangements before drawing a conclusion about any actual breach or harm.</t>
        </is>
      </c>
      <c r="G156" s="37" t="inlineStr">
        <is>
          <t>Waiting for resignations can make preventable causes harder to address and increase disruption in critical roles.</t>
        </is>
      </c>
      <c r="H156" s="37" t="inlineStr">
        <is>
          <t>Retention and service continuity</t>
        </is>
      </c>
      <c r="I156" s="48" t="n">
        <v>2</v>
      </c>
      <c r="J156" s="48" t="n">
        <v>2</v>
      </c>
      <c r="K156" s="48" t="n">
        <v>2</v>
      </c>
      <c r="L156" s="37" t="inlineStr">
        <is>
          <t>Medium provisional concern: a material practice needs improvement. Waiting for resignations can make preventable causes harder to address and increase disruption in critical roles.</t>
        </is>
      </c>
      <c r="M156" s="37" t="inlineStr">
        <is>
          <t>Review recent departures and key retention concerns. Check the evidence before deciding whether pay, leadership, workload or another factor needs attention.</t>
        </is>
      </c>
      <c r="N156" s="37" t="inlineStr">
        <is>
          <t>Hold targeted retention conversations and compare themes with departures, workloads, manager practices and role expectations.</t>
        </is>
      </c>
      <c r="O156" s="37" t="inlineStr">
        <is>
          <t>Agree specific changes and revisit whether the reason for concern has improved.</t>
        </is>
      </c>
      <c r="P156" s="37" t="inlineStr">
        <is>
          <t>Agree an owner and plan within 30 days, or before the next affected event if earlier.</t>
        </is>
      </c>
      <c r="Q156" s="37" t="inlineStr">
        <is>
          <t>The business has tested the main retention concerns, implemented targeted actions and reviewed subsequent feedback and departures. Do not claim a causal reduction in turnover from a short observation period. Confirm that the change works in practice, not only that a document exists.</t>
        </is>
      </c>
      <c r="R156" s="37" t="inlineStr">
        <is>
          <t>The business has tested the main retention concerns, implemented targeted actions and reviewed subsequent feedback and departures. Do not claim a causal reduction in turnover from a short observation period.</t>
        </is>
      </c>
      <c r="S156" s="37" t="inlineStr">
        <is>
          <t>A key-person concern, repeated departures or a changed labour market.</t>
        </is>
      </c>
      <c r="T156" s="37" t="inlineStr">
        <is>
          <t>Business leader</t>
        </is>
      </c>
      <c r="U156" s="37" t="inlineStr">
        <is>
          <t>Employee listening, retention diagnosis and accountable leadership practices.</t>
        </is>
      </c>
      <c r="V156" s="37" t="inlineStr">
        <is>
          <t>CULTURE</t>
        </is>
      </c>
      <c r="W156" s="37" t="inlineStr">
        <is>
          <t>A_CUL02</t>
        </is>
      </c>
      <c r="X156" s="37" t="inlineStr">
        <is>
          <t>DESIGN;DESIGN</t>
        </is>
      </c>
      <c r="Y156" s="37" t="inlineStr"/>
      <c r="Z156" s="37" t="inlineStr">
        <is>
          <t>Treating every retention issue as a salary issue or relying on percentages from a very small team.</t>
        </is>
      </c>
    </row>
    <row r="157" ht="61" customHeight="1">
      <c r="A157" s="38" t="inlineStr">
        <is>
          <t>CUL02_1</t>
        </is>
      </c>
      <c r="B157" s="38" t="inlineStr">
        <is>
          <t>CUL02</t>
        </is>
      </c>
      <c r="C157" s="49" t="n">
        <v>1</v>
      </c>
      <c r="D157" s="38" t="inlineStr">
        <is>
          <t>We mainly rely on assumptions or wait for a resignation before asking.</t>
        </is>
      </c>
      <c r="E157" s="38" t="inlineStr">
        <is>
          <t>Look beyond the turnover percentage</t>
        </is>
      </c>
      <c r="F157" s="38" t="inlineStr">
        <is>
          <t>The selected response relies on assumptions, informal decisions or an inconsistent process. The action is to make the relevant check reliable in routine work.</t>
        </is>
      </c>
      <c r="G157" s="38" t="inlineStr">
        <is>
          <t>Waiting for resignations can make preventable causes harder to address and increase disruption in critical roles.</t>
        </is>
      </c>
      <c r="H157" s="38" t="inlineStr">
        <is>
          <t>Retention and service continuity</t>
        </is>
      </c>
      <c r="I157" s="49" t="n">
        <v>2</v>
      </c>
      <c r="J157" s="49" t="n">
        <v>2</v>
      </c>
      <c r="K157" s="49" t="n">
        <v>2</v>
      </c>
      <c r="L157" s="38" t="inlineStr">
        <is>
          <t>Medium provisional concern: a material practice needs improvement. Waiting for resignations can make preventable causes harder to address and increase disruption in critical roles.</t>
        </is>
      </c>
      <c r="M157" s="38" t="inlineStr">
        <is>
          <t>Replace the assumption with a current check. Review recent departures and key retention concerns. Check the evidence before deciding whether pay, leadership, workload or another factor needs attention.</t>
        </is>
      </c>
      <c r="N157" s="38" t="inlineStr">
        <is>
          <t>Hold targeted retention conversations and compare themes with departures, workloads, manager practices and role expectations.</t>
        </is>
      </c>
      <c r="O157" s="38" t="inlineStr">
        <is>
          <t>Agree specific changes and revisit whether the reason for concern has improved.</t>
        </is>
      </c>
      <c r="P157" s="38" t="inlineStr">
        <is>
          <t>Agree an owner and plan within 30 days, or before the next affected event if earlier.</t>
        </is>
      </c>
      <c r="Q157" s="38" t="inlineStr">
        <is>
          <t>The business has tested the main retention concerns, implemented targeted actions and reviewed subsequent feedback and departures. Do not claim a causal reduction in turnover from a short observation period. Confirm that the change works in practice, not only that a document exists.</t>
        </is>
      </c>
      <c r="R157" s="38" t="inlineStr">
        <is>
          <t>The business has tested the main retention concerns, implemented targeted actions and reviewed subsequent feedback and departures. Do not claim a causal reduction in turnover from a short observation period.</t>
        </is>
      </c>
      <c r="S157" s="38" t="inlineStr">
        <is>
          <t>A key-person concern, repeated departures or a changed labour market.</t>
        </is>
      </c>
      <c r="T157" s="38" t="inlineStr">
        <is>
          <t>Business leader</t>
        </is>
      </c>
      <c r="U157" s="38" t="inlineStr">
        <is>
          <t>Employee listening, retention diagnosis and accountable leadership practices.</t>
        </is>
      </c>
      <c r="V157" s="38" t="inlineStr">
        <is>
          <t>CULTURE</t>
        </is>
      </c>
      <c r="W157" s="38" t="inlineStr">
        <is>
          <t>A_CUL02</t>
        </is>
      </c>
      <c r="X157" s="38" t="inlineStr">
        <is>
          <t>DESIGN;DESIGN</t>
        </is>
      </c>
      <c r="Y157" s="38" t="inlineStr"/>
      <c r="Z157" s="38" t="inlineStr">
        <is>
          <t>Treating every retention issue as a salary issue or relying on percentages from a very small team.</t>
        </is>
      </c>
    </row>
    <row r="158" ht="61" customHeight="1">
      <c r="A158" s="37" t="inlineStr">
        <is>
          <t>CUL02_2</t>
        </is>
      </c>
      <c r="B158" s="37" t="inlineStr">
        <is>
          <t>CUL02</t>
        </is>
      </c>
      <c r="C158" s="48" t="n">
        <v>2</v>
      </c>
      <c r="D158" s="37" t="inlineStr">
        <is>
          <t>We collect some feedback, but do not consistently test themes or act on them.</t>
        </is>
      </c>
      <c r="E158" s="37" t="inlineStr">
        <is>
          <t>Complete the remaining check: look beyond the turnover percentage</t>
        </is>
      </c>
      <c r="F158" s="37" t="inlineStr">
        <is>
          <t>The selected response identifies an incomplete element within an existing practice. Keep what works and target the unresolved part; the stronger elements do not cancel the gap.</t>
        </is>
      </c>
      <c r="G158" s="37" t="inlineStr">
        <is>
          <t>Waiting for resignations can make preventable causes harder to address and increase disruption in critical roles.</t>
        </is>
      </c>
      <c r="H158" s="37" t="inlineStr">
        <is>
          <t>Retention and service continuity</t>
        </is>
      </c>
      <c r="I158" s="48" t="n">
        <v>2</v>
      </c>
      <c r="J158" s="48" t="n">
        <v>2</v>
      </c>
      <c r="K158" s="48" t="n">
        <v>2</v>
      </c>
      <c r="L158" s="37" t="inlineStr">
        <is>
          <t>Medium provisional concern: a material practice needs improvement. Waiting for resignations can make preventable causes harder to address and increase disruption in critical roles.</t>
        </is>
      </c>
      <c r="M158" s="37" t="inlineStr">
        <is>
          <t>Focus on the unresolved arrangements or exceptions. Review recent departures and key retention concerns. Check the evidence before deciding whether pay, leadership, workload or another factor needs attention.</t>
        </is>
      </c>
      <c r="N158" s="37" t="inlineStr">
        <is>
          <t>Hold targeted retention conversations and compare themes with departures, workloads, manager practices and role expectations.</t>
        </is>
      </c>
      <c r="O158" s="37" t="inlineStr">
        <is>
          <t>Agree specific changes and revisit whether the reason for concern has improved.</t>
        </is>
      </c>
      <c r="P158" s="37" t="inlineStr">
        <is>
          <t>Agree an owner and plan within 30 days, or before the next affected event if earlier.</t>
        </is>
      </c>
      <c r="Q158" s="37" t="inlineStr">
        <is>
          <t>The business has tested the main retention concerns, implemented targeted actions and reviewed subsequent feedback and departures. Do not claim a causal reduction in turnover from a short observation period. Confirm that the change works in practice, not only that a document exists.</t>
        </is>
      </c>
      <c r="R158" s="37" t="inlineStr">
        <is>
          <t>The business has tested the main retention concerns, implemented targeted actions and reviewed subsequent feedback and departures. Do not claim a causal reduction in turnover from a short observation period.</t>
        </is>
      </c>
      <c r="S158" s="37" t="inlineStr">
        <is>
          <t>A key-person concern, repeated departures or a changed labour market.</t>
        </is>
      </c>
      <c r="T158" s="37" t="inlineStr">
        <is>
          <t>Business leader</t>
        </is>
      </c>
      <c r="U158" s="37" t="inlineStr">
        <is>
          <t>Employee listening, retention diagnosis and accountable leadership practices.</t>
        </is>
      </c>
      <c r="V158" s="37" t="inlineStr">
        <is>
          <t>CULTURE</t>
        </is>
      </c>
      <c r="W158" s="37" t="inlineStr">
        <is>
          <t>A_CUL02</t>
        </is>
      </c>
      <c r="X158" s="37" t="inlineStr">
        <is>
          <t>DESIGN;DESIGN</t>
        </is>
      </c>
      <c r="Y158" s="37" t="inlineStr"/>
      <c r="Z158" s="37" t="inlineStr">
        <is>
          <t>Treating every retention issue as a salary issue or relying on percentages from a very small team.</t>
        </is>
      </c>
    </row>
    <row r="159" ht="61" customHeight="1">
      <c r="A159" s="38" t="inlineStr">
        <is>
          <t>CUL02_3</t>
        </is>
      </c>
      <c r="B159" s="38" t="inlineStr">
        <is>
          <t>CUL02</t>
        </is>
      </c>
      <c r="C159" s="49" t="n">
        <v>3</v>
      </c>
      <c r="D159" s="38" t="inlineStr">
        <is>
          <t>We review retention concerns and any departures in context, check the likely causes and take targeted action.</t>
        </is>
      </c>
      <c r="E159" s="38" t="inlineStr">
        <is>
          <t>Maintain and test: look beyond the turnover percentage</t>
        </is>
      </c>
      <c r="F159" s="38" t="inlineStr">
        <is>
          <t>The selected response reports an established and checked practice. The tool has not inspected the evidence and cannot certify the absence of risk.</t>
        </is>
      </c>
      <c r="G159" s="38" t="inlineStr">
        <is>
          <t>Waiting for resignations can make preventable causes harder to address and increase disruption in critical roles.</t>
        </is>
      </c>
      <c r="H159" s="38" t="inlineStr">
        <is>
          <t>Retention and service continuity</t>
        </is>
      </c>
      <c r="I159" s="49" t="n">
        <v>2</v>
      </c>
      <c r="J159" s="49" t="n">
        <v>1</v>
      </c>
      <c r="K159" s="49" t="n">
        <v>1</v>
      </c>
      <c r="L159" s="38" t="inlineStr">
        <is>
          <t>Lower reported concern, not a finding of no risk. The assumed controls are self-reported; a current incident, contrary evidence or failed control takes precedence.</t>
        </is>
      </c>
      <c r="M159" s="38" t="inlineStr">
        <is>
          <t>Maintain the practice described. At the next relevant review, agree specific changes and revisit whether the reason for concern has improved.</t>
        </is>
      </c>
      <c r="N159" s="38" t="inlineStr">
        <is>
          <t>Check whether changes in work, people or applicable requirements have made the original process less reliable.</t>
        </is>
      </c>
      <c r="O159" s="38" t="inlineStr">
        <is>
          <t>Retain the review outcome and act on any new exception. An unresolved live issue overrides this maintenance pathway.</t>
        </is>
      </c>
      <c r="P159" s="38" t="inlineStr">
        <is>
          <t>Maintain at the stated trigger; for a new low-priority improvement, plan within 90 days.</t>
        </is>
      </c>
      <c r="Q159" s="38" t="inlineStr">
        <is>
          <t>A current example of the practice and a proportionate recheck record. The business has tested the main retention concerns, implemented targeted actions and reviewed subsequent feedback and departures. Do not claim a causal reduction in turnover from a short observation period.</t>
        </is>
      </c>
      <c r="R159" s="38" t="inlineStr">
        <is>
          <t>The business has tested the main retention concerns, implemented targeted actions and reviewed subsequent feedback and departures. Do not claim a causal reduction in turnover from a short observation period.</t>
        </is>
      </c>
      <c r="S159" s="38" t="inlineStr">
        <is>
          <t>A key-person concern, repeated departures or a changed labour market.</t>
        </is>
      </c>
      <c r="T159" s="38" t="inlineStr">
        <is>
          <t>Business leader</t>
        </is>
      </c>
      <c r="U159" s="38" t="inlineStr">
        <is>
          <t>No further purchase is implied by this result. Seek support only for a material change, unresolved exception or chosen improvement.</t>
        </is>
      </c>
      <c r="V159" s="38" t="inlineStr">
        <is>
          <t>CULTURE</t>
        </is>
      </c>
      <c r="W159" s="38" t="inlineStr">
        <is>
          <t>A_CUL02</t>
        </is>
      </c>
      <c r="X159" s="38" t="inlineStr">
        <is>
          <t>DESIGN;DESIGN</t>
        </is>
      </c>
      <c r="Y159" s="38" t="inlineStr"/>
      <c r="Z159" s="38" t="inlineStr">
        <is>
          <t>Treating every retention issue as a salary issue or relying on percentages from a very small team.</t>
        </is>
      </c>
    </row>
    <row r="160" ht="61" customHeight="1">
      <c r="A160" s="37" t="inlineStr">
        <is>
          <t>CUL02_DK</t>
        </is>
      </c>
      <c r="B160" s="37" t="inlineStr">
        <is>
          <t>CUL02</t>
        </is>
      </c>
      <c r="C160" s="37" t="inlineStr">
        <is>
          <t>DK</t>
        </is>
      </c>
      <c r="D160" s="37" t="inlineStr">
        <is>
          <t>I need to confirm this.</t>
        </is>
      </c>
      <c r="E160" s="37" t="inlineStr">
        <is>
          <t>Verify: look beyond the turnover percentage</t>
        </is>
      </c>
      <c r="F160" s="37" t="inlineStr">
        <is>
          <t>This answer identifies a knowledge gap. It does not establish that the practice is missing, that harm has occurred or that a legal duty has been breached.</t>
        </is>
      </c>
      <c r="G160" s="37" t="inlineStr">
        <is>
          <t>Waiting for resignations can make preventable causes harder to address and increase disruption in critical roles.</t>
        </is>
      </c>
      <c r="H160" s="37" t="inlineStr">
        <is>
          <t>Retention and service continuity</t>
        </is>
      </c>
      <c r="I160" s="48" t="n">
        <v>2</v>
      </c>
      <c r="J160" s="48" t="n">
        <v>0</v>
      </c>
      <c r="K160" s="48" t="n">
        <v>2</v>
      </c>
      <c r="L160" s="37" t="inlineStr">
        <is>
          <t>The risk is not rated from an unknown answer. Verification is Medium priority because: Waiting for resignations can make preventable causes harder to address and increase disruption in critical roles.</t>
        </is>
      </c>
      <c r="M160" s="37" t="inlineStr">
        <is>
          <t>Ask the business leader to show a current example of the process and the evidence listed below. Confirm the answer before deciding what must be repaired.</t>
        </is>
      </c>
      <c r="N160" s="37" t="inlineStr">
        <is>
          <t>Compare the example with the established-practice description: We review retention concerns and any departures in context, check the likely causes and take targeted action.</t>
        </is>
      </c>
      <c r="O160" s="37" t="inlineStr">
        <is>
          <t>Record what was checked, by whom and when. If it remains unclear, keep the verification task open and agree any proportionate interim safeguard.</t>
        </is>
      </c>
      <c r="P160" s="37" t="inlineStr">
        <is>
          <t>Agree an owner and plan within 30 days, or before the next affected event if earlier.</t>
        </is>
      </c>
      <c r="Q160" s="37" t="inlineStr">
        <is>
          <t>A dated verification record, the supporting example, an updated answer and any remaining action. No automatic compliance conclusion.</t>
        </is>
      </c>
      <c r="R160" s="37" t="inlineStr">
        <is>
          <t>The business has tested the main retention concerns, implemented targeted actions and reviewed subsequent feedback and departures. Do not claim a causal reduction in turnover from a short observation period.</t>
        </is>
      </c>
      <c r="S160" s="37" t="inlineStr">
        <is>
          <t>A key-person concern, repeated departures or a changed labour market.</t>
        </is>
      </c>
      <c r="T160" s="37" t="inlineStr">
        <is>
          <t>Business leader</t>
        </is>
      </c>
      <c r="U160" s="37" t="inlineStr">
        <is>
          <t>Employee listening, retention diagnosis and accountable leadership practices.</t>
        </is>
      </c>
      <c r="V160" s="37" t="inlineStr">
        <is>
          <t>CULTURE</t>
        </is>
      </c>
      <c r="W160" s="37" t="inlineStr">
        <is>
          <t>A_CUL02</t>
        </is>
      </c>
      <c r="X160" s="37" t="inlineStr">
        <is>
          <t>DESIGN;DESIGN</t>
        </is>
      </c>
      <c r="Y160" s="37" t="inlineStr"/>
      <c r="Z160" s="37" t="inlineStr">
        <is>
          <t>Treating every retention issue as a salary issue or relying on percentages from a very small team.</t>
        </is>
      </c>
    </row>
    <row r="161" ht="121" customHeight="1">
      <c r="A161" s="38" t="inlineStr">
        <is>
          <t>CUL03_0</t>
        </is>
      </c>
      <c r="B161" s="38" t="inlineStr">
        <is>
          <t>CUL03</t>
        </is>
      </c>
      <c r="C161" s="49" t="n">
        <v>0</v>
      </c>
      <c r="D161" s="38" t="inlineStr">
        <is>
          <t>Recognition and opportunities are inconsistent or largely absent.</t>
        </is>
      </c>
      <c r="E161" s="38" t="inlineStr">
        <is>
          <t>Make recognition fair and specific</t>
        </is>
      </c>
      <c r="F161" s="38" t="inlineStr">
        <is>
          <t>The selected response reports a missing or unestablished element. Confirm the affected arrangements before drawing a conclusion about any actual breach or harm.</t>
        </is>
      </c>
      <c r="G161" s="38" t="inlineStr">
        <is>
          <t>Inconsistent recognition can leave useful contributions overlooked and make access to development feel arbitrary.</t>
        </is>
      </c>
      <c r="H161" s="38" t="inlineStr">
        <is>
          <t>Fair opportunity and recognition</t>
        </is>
      </c>
      <c r="I161" s="49" t="n">
        <v>1</v>
      </c>
      <c r="J161" s="49" t="n">
        <v>1</v>
      </c>
      <c r="K161" s="49" t="n">
        <v>1</v>
      </c>
      <c r="L161" s="38" t="inlineStr">
        <is>
          <t>Lower provisional concern: a supporting practice needs improvement. Inconsistent recognition can leave useful contributions overlooked and make access to development feel arbitrary.</t>
        </is>
      </c>
      <c r="M161" s="38" t="inlineStr">
        <is>
          <t>Review who received recognition or development opportunities recently and why. Address gaps and explain the criteria managers should use.</t>
        </is>
      </c>
      <c r="N161" s="38" t="inlineStr">
        <is>
          <t>Agree simple, explainable criteria for recognition and opportunity; check whose work is less visible because of role, location or hours.</t>
        </is>
      </c>
      <c r="O161" s="38" t="inlineStr">
        <is>
          <t>Review a later allocation for fairness and ask whether the recognition was meaningful.</t>
        </is>
      </c>
      <c r="P161" s="38" t="inlineStr">
        <is>
          <t>Maintain at the stated trigger; for a new low-priority improvement, plan within 90 days.</t>
        </is>
      </c>
      <c r="Q161" s="38" t="inlineStr">
        <is>
          <t>Recognition and development decisions have been checked for consistency and access, identified barriers have been addressed, and a later example shows the revised approach in use. Confirm that the change works in practice, not only that a document exists.</t>
        </is>
      </c>
      <c r="R161" s="38" t="inlineStr">
        <is>
          <t>Recognition and development decisions have been checked for consistency and access, identified barriers have been addressed, and a later example shows the revised approach in use.</t>
        </is>
      </c>
      <c r="S161" s="38" t="inlineStr">
        <is>
          <t>Recognition cycles or concerns about unequal access to opportunities.</t>
        </is>
      </c>
      <c r="T161" s="38" t="inlineStr">
        <is>
          <t>Business leader</t>
        </is>
      </c>
      <c r="U161" s="38" t="inlineStr">
        <is>
          <t>Employee listening, retention diagnosis and accountable leadership practices.</t>
        </is>
      </c>
      <c r="V161" s="38" t="inlineStr">
        <is>
          <t>CULTURE</t>
        </is>
      </c>
      <c r="W161" s="38" t="inlineStr">
        <is>
          <t>A_CUL03</t>
        </is>
      </c>
      <c r="X161" s="38" t="inlineStr">
        <is>
          <t>S10;S11;DESIGN</t>
        </is>
      </c>
      <c r="Y161"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161" s="38" t="inlineStr">
        <is>
          <t>Using social-event participation or personal visibility as a proxy for contribution.</t>
        </is>
      </c>
    </row>
    <row r="162" ht="121" customHeight="1">
      <c r="A162" s="37" t="inlineStr">
        <is>
          <t>CUL03_1</t>
        </is>
      </c>
      <c r="B162" s="37" t="inlineStr">
        <is>
          <t>CUL03</t>
        </is>
      </c>
      <c r="C162" s="48" t="n">
        <v>1</v>
      </c>
      <c r="D162" s="37" t="inlineStr">
        <is>
          <t>Recognition depends on personal relationships or who is most visible.</t>
        </is>
      </c>
      <c r="E162" s="37" t="inlineStr">
        <is>
          <t>Make recognition fair and specific</t>
        </is>
      </c>
      <c r="F162" s="37" t="inlineStr">
        <is>
          <t>The selected response relies on assumptions, informal decisions or an inconsistent process. The action is to make the relevant check reliable in routine work.</t>
        </is>
      </c>
      <c r="G162" s="37" t="inlineStr">
        <is>
          <t>Inconsistent recognition can leave useful contributions overlooked and make access to development feel arbitrary.</t>
        </is>
      </c>
      <c r="H162" s="37" t="inlineStr">
        <is>
          <t>Fair opportunity and recognition</t>
        </is>
      </c>
      <c r="I162" s="48" t="n">
        <v>1</v>
      </c>
      <c r="J162" s="48" t="n">
        <v>1</v>
      </c>
      <c r="K162" s="48" t="n">
        <v>1</v>
      </c>
      <c r="L162" s="37" t="inlineStr">
        <is>
          <t>Lower provisional concern: a supporting practice needs improvement. Inconsistent recognition can leave useful contributions overlooked and make access to development feel arbitrary.</t>
        </is>
      </c>
      <c r="M162" s="37" t="inlineStr">
        <is>
          <t>Replace the assumption with a current check. Review who received recognition or development opportunities recently and why. Address gaps and explain the criteria managers should use.</t>
        </is>
      </c>
      <c r="N162" s="37" t="inlineStr">
        <is>
          <t>Agree simple, explainable criteria for recognition and opportunity; check whose work is less visible because of role, location or hours.</t>
        </is>
      </c>
      <c r="O162" s="37" t="inlineStr">
        <is>
          <t>Review a later allocation for fairness and ask whether the recognition was meaningful.</t>
        </is>
      </c>
      <c r="P162" s="37" t="inlineStr">
        <is>
          <t>Maintain at the stated trigger; for a new low-priority improvement, plan within 90 days.</t>
        </is>
      </c>
      <c r="Q162" s="37" t="inlineStr">
        <is>
          <t>Recognition and development decisions have been checked for consistency and access, identified barriers have been addressed, and a later example shows the revised approach in use. Confirm that the change works in practice, not only that a document exists.</t>
        </is>
      </c>
      <c r="R162" s="37" t="inlineStr">
        <is>
          <t>Recognition and development decisions have been checked for consistency and access, identified barriers have been addressed, and a later example shows the revised approach in use.</t>
        </is>
      </c>
      <c r="S162" s="37" t="inlineStr">
        <is>
          <t>Recognition cycles or concerns about unequal access to opportunities.</t>
        </is>
      </c>
      <c r="T162" s="37" t="inlineStr">
        <is>
          <t>Business leader</t>
        </is>
      </c>
      <c r="U162" s="37" t="inlineStr">
        <is>
          <t>Employee listening, retention diagnosis and accountable leadership practices.</t>
        </is>
      </c>
      <c r="V162" s="37" t="inlineStr">
        <is>
          <t>CULTURE</t>
        </is>
      </c>
      <c r="W162" s="37" t="inlineStr">
        <is>
          <t>A_CUL03</t>
        </is>
      </c>
      <c r="X162" s="37" t="inlineStr">
        <is>
          <t>S10;S11;DESIGN</t>
        </is>
      </c>
      <c r="Y162"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162" s="37" t="inlineStr">
        <is>
          <t>Using social-event participation or personal visibility as a proxy for contribution.</t>
        </is>
      </c>
    </row>
    <row r="163" ht="121" customHeight="1">
      <c r="A163" s="38" t="inlineStr">
        <is>
          <t>CUL03_2</t>
        </is>
      </c>
      <c r="B163" s="38" t="inlineStr">
        <is>
          <t>CUL03</t>
        </is>
      </c>
      <c r="C163" s="49" t="n">
        <v>2</v>
      </c>
      <c r="D163" s="38" t="inlineStr">
        <is>
          <t>We recognise contribution, but fairness across roles, locations or work patterns needs checking.</t>
        </is>
      </c>
      <c r="E163" s="38" t="inlineStr">
        <is>
          <t>Complete the remaining check: make recognition fair and specific</t>
        </is>
      </c>
      <c r="F163" s="38" t="inlineStr">
        <is>
          <t>The selected response identifies an incomplete element within an existing practice. Keep what works and target the unresolved part; the stronger elements do not cancel the gap.</t>
        </is>
      </c>
      <c r="G163" s="38" t="inlineStr">
        <is>
          <t>Inconsistent recognition can leave useful contributions overlooked and make access to development feel arbitrary.</t>
        </is>
      </c>
      <c r="H163" s="38" t="inlineStr">
        <is>
          <t>Fair opportunity and recognition</t>
        </is>
      </c>
      <c r="I163" s="49" t="n">
        <v>1</v>
      </c>
      <c r="J163" s="49" t="n">
        <v>1</v>
      </c>
      <c r="K163" s="49" t="n">
        <v>1</v>
      </c>
      <c r="L163" s="38" t="inlineStr">
        <is>
          <t>Lower provisional concern: a supporting practice needs improvement. Inconsistent recognition can leave useful contributions overlooked and make access to development feel arbitrary.</t>
        </is>
      </c>
      <c r="M163" s="38" t="inlineStr">
        <is>
          <t>Focus on the unresolved arrangements or exceptions. Review who received recognition or development opportunities recently and why. Address gaps and explain the criteria managers should use.</t>
        </is>
      </c>
      <c r="N163" s="38" t="inlineStr">
        <is>
          <t>Agree simple, explainable criteria for recognition and opportunity; check whose work is less visible because of role, location or hours.</t>
        </is>
      </c>
      <c r="O163" s="38" t="inlineStr">
        <is>
          <t>Review a later allocation for fairness and ask whether the recognition was meaningful.</t>
        </is>
      </c>
      <c r="P163" s="38" t="inlineStr">
        <is>
          <t>Maintain at the stated trigger; for a new low-priority improvement, plan within 90 days.</t>
        </is>
      </c>
      <c r="Q163" s="38" t="inlineStr">
        <is>
          <t>Recognition and development decisions have been checked for consistency and access, identified barriers have been addressed, and a later example shows the revised approach in use. Confirm that the change works in practice, not only that a document exists.</t>
        </is>
      </c>
      <c r="R163" s="38" t="inlineStr">
        <is>
          <t>Recognition and development decisions have been checked for consistency and access, identified barriers have been addressed, and a later example shows the revised approach in use.</t>
        </is>
      </c>
      <c r="S163" s="38" t="inlineStr">
        <is>
          <t>Recognition cycles or concerns about unequal access to opportunities.</t>
        </is>
      </c>
      <c r="T163" s="38" t="inlineStr">
        <is>
          <t>Business leader</t>
        </is>
      </c>
      <c r="U163" s="38" t="inlineStr">
        <is>
          <t>Employee listening, retention diagnosis and accountable leadership practices.</t>
        </is>
      </c>
      <c r="V163" s="38" t="inlineStr">
        <is>
          <t>CULTURE</t>
        </is>
      </c>
      <c r="W163" s="38" t="inlineStr">
        <is>
          <t>A_CUL03</t>
        </is>
      </c>
      <c r="X163" s="38" t="inlineStr">
        <is>
          <t>S10;S11;DESIGN</t>
        </is>
      </c>
      <c r="Y163"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163" s="38" t="inlineStr">
        <is>
          <t>Using social-event participation or personal visibility as a proxy for contribution.</t>
        </is>
      </c>
    </row>
    <row r="164" ht="121" customHeight="1">
      <c r="A164" s="37" t="inlineStr">
        <is>
          <t>CUL03_3</t>
        </is>
      </c>
      <c r="B164" s="37" t="inlineStr">
        <is>
          <t>CUL03</t>
        </is>
      </c>
      <c r="C164" s="48" t="n">
        <v>3</v>
      </c>
      <c r="D164" s="37" t="inlineStr">
        <is>
          <t>We recognise specific contribution and use explainable criteria for opportunities, with checks for overlooked groups or individuals.</t>
        </is>
      </c>
      <c r="E164" s="37" t="inlineStr">
        <is>
          <t>Maintain and test: make recognition fair and specific</t>
        </is>
      </c>
      <c r="F164" s="37" t="inlineStr">
        <is>
          <t>The selected response reports an established and checked practice. The tool has not inspected the evidence and cannot certify the absence of risk.</t>
        </is>
      </c>
      <c r="G164" s="37" t="inlineStr">
        <is>
          <t>Inconsistent recognition can leave useful contributions overlooked and make access to development feel arbitrary.</t>
        </is>
      </c>
      <c r="H164" s="37" t="inlineStr">
        <is>
          <t>Fair opportunity and recognition</t>
        </is>
      </c>
      <c r="I164" s="48" t="n">
        <v>1</v>
      </c>
      <c r="J164" s="48" t="n">
        <v>1</v>
      </c>
      <c r="K164" s="48" t="n">
        <v>1</v>
      </c>
      <c r="L164" s="37" t="inlineStr">
        <is>
          <t>Lower reported concern, not a finding of no risk. The assumed controls are self-reported; a current incident, contrary evidence or failed control takes precedence.</t>
        </is>
      </c>
      <c r="M164" s="37" t="inlineStr">
        <is>
          <t>Maintain the practice described. At the next relevant review, review a later allocation for fairness and ask whether the recognition was meaningful.</t>
        </is>
      </c>
      <c r="N164" s="37" t="inlineStr">
        <is>
          <t>Check whether changes in work, people or applicable requirements have made the original process less reliable.</t>
        </is>
      </c>
      <c r="O164" s="37" t="inlineStr">
        <is>
          <t>Retain the review outcome and act on any new exception. An unresolved live issue overrides this maintenance pathway.</t>
        </is>
      </c>
      <c r="P164" s="37" t="inlineStr">
        <is>
          <t>Maintain at the stated trigger; for a new low-priority improvement, plan within 90 days.</t>
        </is>
      </c>
      <c r="Q164" s="37" t="inlineStr">
        <is>
          <t>A current example of the practice and a proportionate recheck record. Recognition and development decisions have been checked for consistency and access, identified barriers have been addressed, and a later example shows the revised approach in use.</t>
        </is>
      </c>
      <c r="R164" s="37" t="inlineStr">
        <is>
          <t>Recognition and development decisions have been checked for consistency and access, identified barriers have been addressed, and a later example shows the revised approach in use.</t>
        </is>
      </c>
      <c r="S164" s="37" t="inlineStr">
        <is>
          <t>Recognition cycles or concerns about unequal access to opportunities.</t>
        </is>
      </c>
      <c r="T164" s="37" t="inlineStr">
        <is>
          <t>Business leader</t>
        </is>
      </c>
      <c r="U164" s="37" t="inlineStr">
        <is>
          <t>No further purchase is implied by this result. Seek support only for a material change, unresolved exception or chosen improvement.</t>
        </is>
      </c>
      <c r="V164" s="37" t="inlineStr">
        <is>
          <t>CULTURE</t>
        </is>
      </c>
      <c r="W164" s="37" t="inlineStr">
        <is>
          <t>A_CUL03</t>
        </is>
      </c>
      <c r="X164" s="37" t="inlineStr">
        <is>
          <t>S10;S11;DESIGN</t>
        </is>
      </c>
      <c r="Y164"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164" s="37" t="inlineStr">
        <is>
          <t>Using social-event participation or personal visibility as a proxy for contribution.</t>
        </is>
      </c>
    </row>
    <row r="165" ht="121" customHeight="1">
      <c r="A165" s="38" t="inlineStr">
        <is>
          <t>CUL03_DK</t>
        </is>
      </c>
      <c r="B165" s="38" t="inlineStr">
        <is>
          <t>CUL03</t>
        </is>
      </c>
      <c r="C165" s="38" t="inlineStr">
        <is>
          <t>DK</t>
        </is>
      </c>
      <c r="D165" s="38" t="inlineStr">
        <is>
          <t>I need to confirm this.</t>
        </is>
      </c>
      <c r="E165" s="38" t="inlineStr">
        <is>
          <t>Verify: make recognition fair and specific</t>
        </is>
      </c>
      <c r="F165" s="38" t="inlineStr">
        <is>
          <t>This answer identifies a knowledge gap. It does not establish that the practice is missing, that harm has occurred or that a legal duty has been breached.</t>
        </is>
      </c>
      <c r="G165" s="38" t="inlineStr">
        <is>
          <t>Inconsistent recognition can leave useful contributions overlooked and make access to development feel arbitrary.</t>
        </is>
      </c>
      <c r="H165" s="38" t="inlineStr">
        <is>
          <t>Fair opportunity and recognition</t>
        </is>
      </c>
      <c r="I165" s="49" t="n">
        <v>1</v>
      </c>
      <c r="J165" s="49" t="n">
        <v>0</v>
      </c>
      <c r="K165" s="49" t="n">
        <v>2</v>
      </c>
      <c r="L165" s="38" t="inlineStr">
        <is>
          <t>The risk is not rated from an unknown answer. Verification is Medium priority because: Inconsistent recognition can leave useful contributions overlooked and make access to development feel arbitrary.</t>
        </is>
      </c>
      <c r="M165" s="38" t="inlineStr">
        <is>
          <t>Ask the business leader to show a current example of the process and the evidence listed below. Confirm the answer before deciding what must be repaired.</t>
        </is>
      </c>
      <c r="N165" s="38" t="inlineStr">
        <is>
          <t>Compare the example with the established-practice description: We recognise specific contribution and use explainable criteria for opportunities, with checks for overlooked groups or individuals.</t>
        </is>
      </c>
      <c r="O165" s="38" t="inlineStr">
        <is>
          <t>Record what was checked, by whom and when. If it remains unclear, keep the verification task open and agree any proportionate interim safeguard.</t>
        </is>
      </c>
      <c r="P165" s="38" t="inlineStr">
        <is>
          <t>Agree an owner and plan within 30 days, or before the next affected event if earlier.</t>
        </is>
      </c>
      <c r="Q165" s="38" t="inlineStr">
        <is>
          <t>A dated verification record, the supporting example, an updated answer and any remaining action. No automatic compliance conclusion.</t>
        </is>
      </c>
      <c r="R165" s="38" t="inlineStr">
        <is>
          <t>Recognition and development decisions have been checked for consistency and access, identified barriers have been addressed, and a later example shows the revised approach in use.</t>
        </is>
      </c>
      <c r="S165" s="38" t="inlineStr">
        <is>
          <t>Recognition cycles or concerns about unequal access to opportunities.</t>
        </is>
      </c>
      <c r="T165" s="38" t="inlineStr">
        <is>
          <t>Business leader</t>
        </is>
      </c>
      <c r="U165" s="38" t="inlineStr">
        <is>
          <t>Employee listening, retention diagnosis and accountable leadership practices.</t>
        </is>
      </c>
      <c r="V165" s="38" t="inlineStr">
        <is>
          <t>CULTURE</t>
        </is>
      </c>
      <c r="W165" s="38" t="inlineStr">
        <is>
          <t>A_CUL03</t>
        </is>
      </c>
      <c r="X165" s="38" t="inlineStr">
        <is>
          <t>S10;S11;DESIGN</t>
        </is>
      </c>
      <c r="Y165"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165" s="38" t="inlineStr">
        <is>
          <t>Using social-event participation or personal visibility as a proxy for contribution.</t>
        </is>
      </c>
    </row>
    <row r="166" ht="106" customHeight="1">
      <c r="A166" s="37" t="inlineStr">
        <is>
          <t>CUL04_0</t>
        </is>
      </c>
      <c r="B166" s="37" t="inlineStr">
        <is>
          <t>CUL04</t>
        </is>
      </c>
      <c r="C166" s="48" t="n">
        <v>0</v>
      </c>
      <c r="D166" s="37" t="inlineStr">
        <is>
          <t>People management expectations are not clear or reviewed.</t>
        </is>
      </c>
      <c r="E166" s="37" t="inlineStr">
        <is>
          <t>Make leadership behaviour part of performance</t>
        </is>
      </c>
      <c r="F166" s="37" t="inlineStr">
        <is>
          <t>The selected response reports a missing or unestablished element. Confirm the affected arrangements before drawing a conclusion about any actual breach or harm.</t>
        </is>
      </c>
      <c r="G166" s="37" t="inlineStr">
        <is>
          <t>A leader who delivers operational results can still create unresolved people problems unless behaviour is reviewed separately.</t>
        </is>
      </c>
      <c r="H166" s="37" t="inlineStr">
        <is>
          <t>Leadership accountability</t>
        </is>
      </c>
      <c r="I166" s="48" t="n">
        <v>2</v>
      </c>
      <c r="J166" s="48" t="n">
        <v>2</v>
      </c>
      <c r="K166" s="48" t="n">
        <v>2</v>
      </c>
      <c r="L166" s="37" t="inlineStr">
        <is>
          <t>Medium provisional concern: a material practice needs improvement. A leader who delivers operational results can still create unresolved people problems unless behaviour is reviewed separately.</t>
        </is>
      </c>
      <c r="M166" s="37" t="inlineStr">
        <is>
          <t>Agree a small set of observable management expectations and a way to review them using more than the leader's own account.</t>
        </is>
      </c>
      <c r="N166" s="37" t="inlineStr">
        <is>
          <t>Set observable expectations for feedback, decisions, respectful conduct and follow-through, with support to meet them.</t>
        </is>
      </c>
      <c r="O166" s="37" t="inlineStr">
        <is>
          <t>Review actual examples and employee input, and address recurring concerns even where commercial results are strong.</t>
        </is>
      </c>
      <c r="P166" s="37" t="inlineStr">
        <is>
          <t>Agree an owner and plan within 30 days, or before the next affected event if earlier.</t>
        </is>
      </c>
      <c r="Q166" s="37" t="inlineStr">
        <is>
          <t>People-leadership expectations and support are clear, and a sample of real decisions demonstrates their use. Inconsistent behaviour is addressed and followed up, not simply recorded in a leadership document. Confirm that the change works in practice, not only that a document exists.</t>
        </is>
      </c>
      <c r="R166" s="37" t="inlineStr">
        <is>
          <t>People-leadership expectations and support are clear, and a sample of real decisions demonstrates their use. Inconsistent behaviour is addressed and followed up, not simply recorded in a leadership document.</t>
        </is>
      </c>
      <c r="S166" s="37" t="inlineStr">
        <is>
          <t>Repeated team concerns, a new leader or a performance review.</t>
        </is>
      </c>
      <c r="T166" s="37" t="inlineStr">
        <is>
          <t>Business leader</t>
        </is>
      </c>
      <c r="U166" s="37" t="inlineStr">
        <is>
          <t>Employee listening, retention diagnosis and accountable leadership practices.</t>
        </is>
      </c>
      <c r="V166" s="37" t="inlineStr">
        <is>
          <t>LEADERSHIP</t>
        </is>
      </c>
      <c r="W166" s="37" t="inlineStr">
        <is>
          <t>A_CUL04</t>
        </is>
      </c>
      <c r="X166" s="37" t="inlineStr">
        <is>
          <t>S10;S27;DESIGN</t>
        </is>
      </c>
      <c r="Y166"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166" s="37" t="inlineStr">
        <is>
          <t>Rewarding outcomes while overlooking the conduct used to achieve them.</t>
        </is>
      </c>
    </row>
    <row r="167" ht="106" customHeight="1">
      <c r="A167" s="38" t="inlineStr">
        <is>
          <t>CUL04_1</t>
        </is>
      </c>
      <c r="B167" s="38" t="inlineStr">
        <is>
          <t>CUL04</t>
        </is>
      </c>
      <c r="C167" s="49" t="n">
        <v>1</v>
      </c>
      <c r="D167" s="38" t="inlineStr">
        <is>
          <t>Leaders are judged mainly on operational results, even when people concerns arise.</t>
        </is>
      </c>
      <c r="E167" s="38" t="inlineStr">
        <is>
          <t>Make leadership behaviour part of performance</t>
        </is>
      </c>
      <c r="F167" s="38" t="inlineStr">
        <is>
          <t>The selected response relies on assumptions, informal decisions or an inconsistent process. The action is to make the relevant check reliable in routine work.</t>
        </is>
      </c>
      <c r="G167" s="38" t="inlineStr">
        <is>
          <t>A leader who delivers operational results can still create unresolved people problems unless behaviour is reviewed separately.</t>
        </is>
      </c>
      <c r="H167" s="38" t="inlineStr">
        <is>
          <t>Leadership accountability</t>
        </is>
      </c>
      <c r="I167" s="49" t="n">
        <v>2</v>
      </c>
      <c r="J167" s="49" t="n">
        <v>2</v>
      </c>
      <c r="K167" s="49" t="n">
        <v>2</v>
      </c>
      <c r="L167" s="38" t="inlineStr">
        <is>
          <t>Medium provisional concern: a material practice needs improvement. A leader who delivers operational results can still create unresolved people problems unless behaviour is reviewed separately.</t>
        </is>
      </c>
      <c r="M167" s="38" t="inlineStr">
        <is>
          <t>Replace the assumption with a current check. Agree a small set of observable management expectations and a way to review them using more than the leader's own account.</t>
        </is>
      </c>
      <c r="N167" s="38" t="inlineStr">
        <is>
          <t>Set observable expectations for feedback, decisions, respectful conduct and follow-through, with support to meet them.</t>
        </is>
      </c>
      <c r="O167" s="38" t="inlineStr">
        <is>
          <t>Review actual examples and employee input, and address recurring concerns even where commercial results are strong.</t>
        </is>
      </c>
      <c r="P167" s="38" t="inlineStr">
        <is>
          <t>Agree an owner and plan within 30 days, or before the next affected event if earlier.</t>
        </is>
      </c>
      <c r="Q167" s="38" t="inlineStr">
        <is>
          <t>People-leadership expectations and support are clear, and a sample of real decisions demonstrates their use. Inconsistent behaviour is addressed and followed up, not simply recorded in a leadership document. Confirm that the change works in practice, not only that a document exists.</t>
        </is>
      </c>
      <c r="R167" s="38" t="inlineStr">
        <is>
          <t>People-leadership expectations and support are clear, and a sample of real decisions demonstrates their use. Inconsistent behaviour is addressed and followed up, not simply recorded in a leadership document.</t>
        </is>
      </c>
      <c r="S167" s="38" t="inlineStr">
        <is>
          <t>Repeated team concerns, a new leader or a performance review.</t>
        </is>
      </c>
      <c r="T167" s="38" t="inlineStr">
        <is>
          <t>Business leader</t>
        </is>
      </c>
      <c r="U167" s="38" t="inlineStr">
        <is>
          <t>Employee listening, retention diagnosis and accountable leadership practices.</t>
        </is>
      </c>
      <c r="V167" s="38" t="inlineStr">
        <is>
          <t>LEADERSHIP</t>
        </is>
      </c>
      <c r="W167" s="38" t="inlineStr">
        <is>
          <t>A_CUL04</t>
        </is>
      </c>
      <c r="X167" s="38" t="inlineStr">
        <is>
          <t>S10;S27;DESIGN</t>
        </is>
      </c>
      <c r="Y167" s="38"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167" s="38" t="inlineStr">
        <is>
          <t>Rewarding outcomes while overlooking the conduct used to achieve them.</t>
        </is>
      </c>
    </row>
    <row r="168" ht="106" customHeight="1">
      <c r="A168" s="37" t="inlineStr">
        <is>
          <t>CUL04_2</t>
        </is>
      </c>
      <c r="B168" s="37" t="inlineStr">
        <is>
          <t>CUL04</t>
        </is>
      </c>
      <c r="C168" s="48" t="n">
        <v>2</v>
      </c>
      <c r="D168" s="37" t="inlineStr">
        <is>
          <t>Expectations exist, but support or accountability varies between leaders.</t>
        </is>
      </c>
      <c r="E168" s="37" t="inlineStr">
        <is>
          <t>Complete the remaining check: make leadership behaviour part of performance</t>
        </is>
      </c>
      <c r="F168" s="37" t="inlineStr">
        <is>
          <t>The selected response identifies an incomplete element within an existing practice. Keep what works and target the unresolved part; the stronger elements do not cancel the gap.</t>
        </is>
      </c>
      <c r="G168" s="37" t="inlineStr">
        <is>
          <t>A leader who delivers operational results can still create unresolved people problems unless behaviour is reviewed separately.</t>
        </is>
      </c>
      <c r="H168" s="37" t="inlineStr">
        <is>
          <t>Leadership accountability</t>
        </is>
      </c>
      <c r="I168" s="48" t="n">
        <v>2</v>
      </c>
      <c r="J168" s="48" t="n">
        <v>2</v>
      </c>
      <c r="K168" s="48" t="n">
        <v>2</v>
      </c>
      <c r="L168" s="37" t="inlineStr">
        <is>
          <t>Medium provisional concern: a material practice needs improvement. A leader who delivers operational results can still create unresolved people problems unless behaviour is reviewed separately.</t>
        </is>
      </c>
      <c r="M168" s="37" t="inlineStr">
        <is>
          <t>Focus on the unresolved arrangements or exceptions. Agree a small set of observable management expectations and a way to review them using more than the leader's own account.</t>
        </is>
      </c>
      <c r="N168" s="37" t="inlineStr">
        <is>
          <t>Set observable expectations for feedback, decisions, respectful conduct and follow-through, with support to meet them.</t>
        </is>
      </c>
      <c r="O168" s="37" t="inlineStr">
        <is>
          <t>Review actual examples and employee input, and address recurring concerns even where commercial results are strong.</t>
        </is>
      </c>
      <c r="P168" s="37" t="inlineStr">
        <is>
          <t>Agree an owner and plan within 30 days, or before the next affected event if earlier.</t>
        </is>
      </c>
      <c r="Q168" s="37" t="inlineStr">
        <is>
          <t>People-leadership expectations and support are clear, and a sample of real decisions demonstrates their use. Inconsistent behaviour is addressed and followed up, not simply recorded in a leadership document. Confirm that the change works in practice, not only that a document exists.</t>
        </is>
      </c>
      <c r="R168" s="37" t="inlineStr">
        <is>
          <t>People-leadership expectations and support are clear, and a sample of real decisions demonstrates their use. Inconsistent behaviour is addressed and followed up, not simply recorded in a leadership document.</t>
        </is>
      </c>
      <c r="S168" s="37" t="inlineStr">
        <is>
          <t>Repeated team concerns, a new leader or a performance review.</t>
        </is>
      </c>
      <c r="T168" s="37" t="inlineStr">
        <is>
          <t>Business leader</t>
        </is>
      </c>
      <c r="U168" s="37" t="inlineStr">
        <is>
          <t>Employee listening, retention diagnosis and accountable leadership practices.</t>
        </is>
      </c>
      <c r="V168" s="37" t="inlineStr">
        <is>
          <t>LEADERSHIP</t>
        </is>
      </c>
      <c r="W168" s="37" t="inlineStr">
        <is>
          <t>A_CUL04</t>
        </is>
      </c>
      <c r="X168" s="37" t="inlineStr">
        <is>
          <t>S10;S27;DESIGN</t>
        </is>
      </c>
      <c r="Y168"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168" s="37" t="inlineStr">
        <is>
          <t>Rewarding outcomes while overlooking the conduct used to achieve them.</t>
        </is>
      </c>
    </row>
    <row r="169" ht="106" customHeight="1">
      <c r="A169" s="38" t="inlineStr">
        <is>
          <t>CUL04_3</t>
        </is>
      </c>
      <c r="B169" s="38" t="inlineStr">
        <is>
          <t>CUL04</t>
        </is>
      </c>
      <c r="C169" s="49" t="n">
        <v>3</v>
      </c>
      <c r="D169" s="38" t="inlineStr">
        <is>
          <t>Leaders have clear people management expectations, practical support and regular review of how they apply them.</t>
        </is>
      </c>
      <c r="E169" s="38" t="inlineStr">
        <is>
          <t>Maintain and test: make leadership behaviour part of performance</t>
        </is>
      </c>
      <c r="F169" s="38" t="inlineStr">
        <is>
          <t>The selected response reports an established and checked practice. The tool has not inspected the evidence and cannot certify the absence of risk.</t>
        </is>
      </c>
      <c r="G169" s="38" t="inlineStr">
        <is>
          <t>A leader who delivers operational results can still create unresolved people problems unless behaviour is reviewed separately.</t>
        </is>
      </c>
      <c r="H169" s="38" t="inlineStr">
        <is>
          <t>Leadership accountability</t>
        </is>
      </c>
      <c r="I169" s="49" t="n">
        <v>2</v>
      </c>
      <c r="J169" s="49" t="n">
        <v>1</v>
      </c>
      <c r="K169" s="49" t="n">
        <v>1</v>
      </c>
      <c r="L169" s="38" t="inlineStr">
        <is>
          <t>Lower reported concern, not a finding of no risk. The assumed controls are self-reported; a current incident, contrary evidence or failed control takes precedence.</t>
        </is>
      </c>
      <c r="M169" s="38" t="inlineStr">
        <is>
          <t>Maintain the practice described. At the next relevant review, review actual examples and employee input, and address recurring concerns even where commercial results are strong.</t>
        </is>
      </c>
      <c r="N169" s="38" t="inlineStr">
        <is>
          <t>Check whether changes in work, people or applicable requirements have made the original process less reliable.</t>
        </is>
      </c>
      <c r="O169" s="38" t="inlineStr">
        <is>
          <t>Retain the review outcome and act on any new exception. An unresolved live issue overrides this maintenance pathway.</t>
        </is>
      </c>
      <c r="P169" s="38" t="inlineStr">
        <is>
          <t>Maintain at the stated trigger; for a new low-priority improvement, plan within 90 days.</t>
        </is>
      </c>
      <c r="Q169" s="38" t="inlineStr">
        <is>
          <t>A current example of the practice and a proportionate recheck record. People-leadership expectations and support are clear, and a sample of real decisions demonstrates their use. Inconsistent behaviour is addressed and followed up, not simply recorded in a leadership document.</t>
        </is>
      </c>
      <c r="R169" s="38" t="inlineStr">
        <is>
          <t>People-leadership expectations and support are clear, and a sample of real decisions demonstrates their use. Inconsistent behaviour is addressed and followed up, not simply recorded in a leadership document.</t>
        </is>
      </c>
      <c r="S169" s="38" t="inlineStr">
        <is>
          <t>Repeated team concerns, a new leader or a performance review.</t>
        </is>
      </c>
      <c r="T169" s="38" t="inlineStr">
        <is>
          <t>Business leader</t>
        </is>
      </c>
      <c r="U169" s="38" t="inlineStr">
        <is>
          <t>No further purchase is implied by this result. Seek support only for a material change, unresolved exception or chosen improvement.</t>
        </is>
      </c>
      <c r="V169" s="38" t="inlineStr">
        <is>
          <t>LEADERSHIP</t>
        </is>
      </c>
      <c r="W169" s="38" t="inlineStr">
        <is>
          <t>A_CUL04</t>
        </is>
      </c>
      <c r="X169" s="38" t="inlineStr">
        <is>
          <t>S10;S27;DESIGN</t>
        </is>
      </c>
      <c r="Y169" s="38"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169" s="38" t="inlineStr">
        <is>
          <t>Rewarding outcomes while overlooking the conduct used to achieve them.</t>
        </is>
      </c>
    </row>
    <row r="170" ht="106" customHeight="1">
      <c r="A170" s="37" t="inlineStr">
        <is>
          <t>CUL04_DK</t>
        </is>
      </c>
      <c r="B170" s="37" t="inlineStr">
        <is>
          <t>CUL04</t>
        </is>
      </c>
      <c r="C170" s="37" t="inlineStr">
        <is>
          <t>DK</t>
        </is>
      </c>
      <c r="D170" s="37" t="inlineStr">
        <is>
          <t>I need to confirm this.</t>
        </is>
      </c>
      <c r="E170" s="37" t="inlineStr">
        <is>
          <t>Verify: make leadership behaviour part of performance</t>
        </is>
      </c>
      <c r="F170" s="37" t="inlineStr">
        <is>
          <t>This answer identifies a knowledge gap. It does not establish that the practice is missing, that harm has occurred or that a legal duty has been breached.</t>
        </is>
      </c>
      <c r="G170" s="37" t="inlineStr">
        <is>
          <t>A leader who delivers operational results can still create unresolved people problems unless behaviour is reviewed separately.</t>
        </is>
      </c>
      <c r="H170" s="37" t="inlineStr">
        <is>
          <t>Leadership accountability</t>
        </is>
      </c>
      <c r="I170" s="48" t="n">
        <v>2</v>
      </c>
      <c r="J170" s="48" t="n">
        <v>0</v>
      </c>
      <c r="K170" s="48" t="n">
        <v>2</v>
      </c>
      <c r="L170" s="37" t="inlineStr">
        <is>
          <t>The risk is not rated from an unknown answer. Verification is Medium priority because: A leader who delivers operational results can still create unresolved people problems unless behaviour is reviewed separately.</t>
        </is>
      </c>
      <c r="M170" s="37" t="inlineStr">
        <is>
          <t>Ask the business leader to show a current example of the process and the evidence listed below. Confirm the answer before deciding what must be repaired.</t>
        </is>
      </c>
      <c r="N170" s="37" t="inlineStr">
        <is>
          <t>Compare the example with the established-practice description: Leaders have clear people management expectations, practical support and regular review of how they apply them.</t>
        </is>
      </c>
      <c r="O170" s="37" t="inlineStr">
        <is>
          <t>Record what was checked, by whom and when. If it remains unclear, keep the verification task open and agree any proportionate interim safeguard.</t>
        </is>
      </c>
      <c r="P170" s="37" t="inlineStr">
        <is>
          <t>Agree an owner and plan within 30 days, or before the next affected event if earlier.</t>
        </is>
      </c>
      <c r="Q170" s="37" t="inlineStr">
        <is>
          <t>A dated verification record, the supporting example, an updated answer and any remaining action. No automatic compliance conclusion.</t>
        </is>
      </c>
      <c r="R170" s="37" t="inlineStr">
        <is>
          <t>People-leadership expectations and support are clear, and a sample of real decisions demonstrates their use. Inconsistent behaviour is addressed and followed up, not simply recorded in a leadership document.</t>
        </is>
      </c>
      <c r="S170" s="37" t="inlineStr">
        <is>
          <t>Repeated team concerns, a new leader or a performance review.</t>
        </is>
      </c>
      <c r="T170" s="37" t="inlineStr">
        <is>
          <t>Business leader</t>
        </is>
      </c>
      <c r="U170" s="37" t="inlineStr">
        <is>
          <t>Employee listening, retention diagnosis and accountable leadership practices.</t>
        </is>
      </c>
      <c r="V170" s="37" t="inlineStr">
        <is>
          <t>LEADERSHIP</t>
        </is>
      </c>
      <c r="W170" s="37" t="inlineStr">
        <is>
          <t>A_CUL04</t>
        </is>
      </c>
      <c r="X170" s="37" t="inlineStr">
        <is>
          <t>S10;S27;DESIGN</t>
        </is>
      </c>
      <c r="Y170" s="37" t="inlineStr">
        <is>
          <t>https://humanrights.gov.au/resource-hub/resources-for-organisations-businesses/positive-duty-pdfs/guidelines-for-complying-with-the-positive-duty-under-the-sex-discrimination-act-1984-cth
https://www.fairwork.gov.au/sites/default/files/migration/711/managing-underperformance-best-practice-guide.pdf</t>
        </is>
      </c>
      <c r="Z170" s="37" t="inlineStr">
        <is>
          <t>Rewarding outcomes while overlooking the conduct used to achieve them.</t>
        </is>
      </c>
    </row>
    <row r="171" ht="76" customHeight="1">
      <c r="A171" s="38" t="inlineStr">
        <is>
          <t>DAT01_0</t>
        </is>
      </c>
      <c r="B171" s="38" t="inlineStr">
        <is>
          <t>DAT01</t>
        </is>
      </c>
      <c r="C171" s="49" t="n">
        <v>0</v>
      </c>
      <c r="D171" s="38" t="inlineStr">
        <is>
          <t>Records are missing or would not support a reliable reconstruction.</t>
        </is>
      </c>
      <c r="E171" s="38" t="inlineStr">
        <is>
          <t>Make the pay decision traceable</t>
        </is>
      </c>
      <c r="F171" s="38" t="inlineStr">
        <is>
          <t>The selected response reports a missing or unestablished element. Confirm the affected arrangements before drawing a conclusion about any actual breach or harm.</t>
        </is>
      </c>
      <c r="G171" s="38" t="inlineStr">
        <is>
          <t>Missing source records make it harder to establish what work was performed and whether entitlements were paid correctly.</t>
        </is>
      </c>
      <c r="H171" s="38" t="inlineStr">
        <is>
          <t>Pay records and evidentiary reliability</t>
        </is>
      </c>
      <c r="I171" s="49" t="n">
        <v>3</v>
      </c>
      <c r="J171" s="49" t="n">
        <v>3</v>
      </c>
      <c r="K171" s="49" t="n">
        <v>3</v>
      </c>
      <c r="L171" s="38" t="inlineStr">
        <is>
          <t>High provisional concern: an essential element remains unresolved. Missing source records make it harder to establish what work was performed and whether entitlements were paid correctly.</t>
        </is>
      </c>
      <c r="M171" s="38" t="inlineStr">
        <is>
          <t>Choose a recent pay period and reconstruct one ordinary and one exception payment from source records. Identify missing records and fix the capture process.</t>
        </is>
      </c>
      <c r="N171" s="38" t="inlineStr">
        <is>
          <t>Identify missing records and improve capture, retention and correction controls without retrospectively inventing evidence.</t>
        </is>
      </c>
      <c r="O171" s="38" t="inlineStr">
        <is>
          <t>Repeat the reconstruction using an ordinary and an exception payment and confirm another authorised person can follow it.</t>
        </is>
      </c>
      <c r="P171" s="38" t="inlineStr">
        <is>
          <t>Review or verify within two business days and before the next affected event if earlier. Do not wait where a duty or current harm requires earlier action.</t>
        </is>
      </c>
      <c r="Q171" s="38" t="inlineStr">
        <is>
          <t>A reproducible pay trail, retention rules and records of corrections rather than unexplained changes. Confirm that the change works in practice, not only that a document exists.</t>
        </is>
      </c>
      <c r="R171" s="38" t="inlineStr">
        <is>
          <t>A reproducible pay trail, retention rules and records of corrections rather than unexplained changes.</t>
        </is>
      </c>
      <c r="S171" s="38" t="inlineStr">
        <is>
          <t>A discrepancy, record-system change or missing source record.</t>
        </is>
      </c>
      <c r="T171" s="38" t="inlineStr">
        <is>
          <t>Payroll / systems lead</t>
        </is>
      </c>
      <c r="U171" s="38" t="inlineStr">
        <is>
          <t>Employment-record process review and coordination with privacy/cyber specialists where necessary.</t>
        </is>
      </c>
      <c r="V171" s="38" t="inlineStr">
        <is>
          <t>PAY_ASSURANCE</t>
        </is>
      </c>
      <c r="W171" s="38" t="inlineStr">
        <is>
          <t>A_DAT01</t>
        </is>
      </c>
      <c r="X171" s="38" t="inlineStr">
        <is>
          <t>S14;S07;DESIGN</t>
        </is>
      </c>
      <c r="Y171" s="38" t="inlineStr">
        <is>
          <t>https://www.fairwork.gov.au/tools-and-resources/fact-sheets/rights-and-obligations/record-keeping-pay-slips
https://www.fairwork.gov.au/newsroom/news/offsetting-and-record-keeping-salaried-employees</t>
        </is>
      </c>
      <c r="Z171" s="38" t="inlineStr">
        <is>
          <t>Treating the roster or payroll output as the complete record of actual work.</t>
        </is>
      </c>
    </row>
    <row r="172" ht="76" customHeight="1">
      <c r="A172" s="37" t="inlineStr">
        <is>
          <t>DAT01_1</t>
        </is>
      </c>
      <c r="B172" s="37" t="inlineStr">
        <is>
          <t>DAT01</t>
        </is>
      </c>
      <c r="C172" s="48" t="n">
        <v>1</v>
      </c>
      <c r="D172" s="37" t="inlineStr">
        <is>
          <t>We rely on rosters, memory or incomplete records.</t>
        </is>
      </c>
      <c r="E172" s="37" t="inlineStr">
        <is>
          <t>Make the pay decision traceable</t>
        </is>
      </c>
      <c r="F172" s="37" t="inlineStr">
        <is>
          <t>The selected response relies on assumptions, informal decisions or an inconsistent process. The action is to make the relevant check reliable in routine work.</t>
        </is>
      </c>
      <c r="G172" s="37" t="inlineStr">
        <is>
          <t>Missing source records make it harder to establish what work was performed and whether entitlements were paid correctly.</t>
        </is>
      </c>
      <c r="H172" s="37" t="inlineStr">
        <is>
          <t>Pay records and evidentiary reliability</t>
        </is>
      </c>
      <c r="I172" s="48" t="n">
        <v>3</v>
      </c>
      <c r="J172" s="48" t="n">
        <v>3</v>
      </c>
      <c r="K172" s="48" t="n">
        <v>3</v>
      </c>
      <c r="L172" s="37" t="inlineStr">
        <is>
          <t>High provisional concern: an essential element remains unresolved. Missing source records make it harder to establish what work was performed and whether entitlements were paid correctly.</t>
        </is>
      </c>
      <c r="M172" s="37" t="inlineStr">
        <is>
          <t>Replace the assumption with a current check. Choose a recent pay period and reconstruct one ordinary and one exception payment from source records. Identify missing records and fix the capture process.</t>
        </is>
      </c>
      <c r="N172" s="37" t="inlineStr">
        <is>
          <t>Identify missing records and improve capture, retention and correction controls without retrospectively inventing evidence.</t>
        </is>
      </c>
      <c r="O172" s="37" t="inlineStr">
        <is>
          <t>Repeat the reconstruction using an ordinary and an exception payment and confirm another authorised person can follow it.</t>
        </is>
      </c>
      <c r="P172" s="37" t="inlineStr">
        <is>
          <t>Review or verify within two business days and before the next affected event if earlier. Do not wait where a duty or current harm requires earlier action.</t>
        </is>
      </c>
      <c r="Q172" s="37" t="inlineStr">
        <is>
          <t>A reproducible pay trail, retention rules and records of corrections rather than unexplained changes. Confirm that the change works in practice, not only that a document exists.</t>
        </is>
      </c>
      <c r="R172" s="37" t="inlineStr">
        <is>
          <t>A reproducible pay trail, retention rules and records of corrections rather than unexplained changes.</t>
        </is>
      </c>
      <c r="S172" s="37" t="inlineStr">
        <is>
          <t>A discrepancy, record-system change or missing source record.</t>
        </is>
      </c>
      <c r="T172" s="37" t="inlineStr">
        <is>
          <t>Payroll / systems lead</t>
        </is>
      </c>
      <c r="U172" s="37" t="inlineStr">
        <is>
          <t>Employment-record process review and coordination with privacy/cyber specialists where necessary.</t>
        </is>
      </c>
      <c r="V172" s="37" t="inlineStr">
        <is>
          <t>PAY_ASSURANCE</t>
        </is>
      </c>
      <c r="W172" s="37" t="inlineStr">
        <is>
          <t>A_DAT01</t>
        </is>
      </c>
      <c r="X172" s="37" t="inlineStr">
        <is>
          <t>S14;S07;DESIGN</t>
        </is>
      </c>
      <c r="Y172" s="37" t="inlineStr">
        <is>
          <t>https://www.fairwork.gov.au/tools-and-resources/fact-sheets/rights-and-obligations/record-keeping-pay-slips
https://www.fairwork.gov.au/newsroom/news/offsetting-and-record-keeping-salaried-employees</t>
        </is>
      </c>
      <c r="Z172" s="37" t="inlineStr">
        <is>
          <t>Treating the roster or payroll output as the complete record of actual work.</t>
        </is>
      </c>
    </row>
    <row r="173" ht="76" customHeight="1">
      <c r="A173" s="38" t="inlineStr">
        <is>
          <t>DAT01_2</t>
        </is>
      </c>
      <c r="B173" s="38" t="inlineStr">
        <is>
          <t>DAT01</t>
        </is>
      </c>
      <c r="C173" s="49" t="n">
        <v>2</v>
      </c>
      <c r="D173" s="38" t="inlineStr">
        <is>
          <t>Most records are available, but actual hours, changes or approvals are inconsistent.</t>
        </is>
      </c>
      <c r="E173" s="38" t="inlineStr">
        <is>
          <t>Complete the remaining check: make the pay decision traceable</t>
        </is>
      </c>
      <c r="F173" s="38" t="inlineStr">
        <is>
          <t>The selected response identifies an incomplete element within an existing practice. Keep what works and target the unresolved part; the stronger elements do not cancel the gap.</t>
        </is>
      </c>
      <c r="G173" s="38" t="inlineStr">
        <is>
          <t>Missing source records make it harder to establish what work was performed and whether entitlements were paid correctly.</t>
        </is>
      </c>
      <c r="H173" s="38" t="inlineStr">
        <is>
          <t>Pay records and evidentiary reliability</t>
        </is>
      </c>
      <c r="I173" s="49" t="n">
        <v>3</v>
      </c>
      <c r="J173" s="49" t="n">
        <v>3</v>
      </c>
      <c r="K173" s="49" t="n">
        <v>3</v>
      </c>
      <c r="L173" s="38" t="inlineStr">
        <is>
          <t>High provisional concern: an essential element remains unresolved. Missing source records make it harder to establish what work was performed and whether entitlements were paid correctly.</t>
        </is>
      </c>
      <c r="M173" s="38" t="inlineStr">
        <is>
          <t>Focus on the unresolved arrangements or exceptions. Choose a recent pay period and reconstruct one ordinary and one exception payment from source records. Identify missing records and fix the capture process.</t>
        </is>
      </c>
      <c r="N173" s="38" t="inlineStr">
        <is>
          <t>Identify missing records and improve capture, retention and correction controls without retrospectively inventing evidence.</t>
        </is>
      </c>
      <c r="O173" s="38" t="inlineStr">
        <is>
          <t>Repeat the reconstruction using an ordinary and an exception payment and confirm another authorised person can follow it.</t>
        </is>
      </c>
      <c r="P173" s="38" t="inlineStr">
        <is>
          <t>Review or verify within two business days and before the next affected event if earlier. Do not wait where a duty or current harm requires earlier action.</t>
        </is>
      </c>
      <c r="Q173" s="38" t="inlineStr">
        <is>
          <t>A reproducible pay trail, retention rules and records of corrections rather than unexplained changes. Confirm that the change works in practice, not only that a document exists.</t>
        </is>
      </c>
      <c r="R173" s="38" t="inlineStr">
        <is>
          <t>A reproducible pay trail, retention rules and records of corrections rather than unexplained changes.</t>
        </is>
      </c>
      <c r="S173" s="38" t="inlineStr">
        <is>
          <t>A discrepancy, record-system change or missing source record.</t>
        </is>
      </c>
      <c r="T173" s="38" t="inlineStr">
        <is>
          <t>Payroll / systems lead</t>
        </is>
      </c>
      <c r="U173" s="38" t="inlineStr">
        <is>
          <t>Employment-record process review and coordination with privacy/cyber specialists where necessary.</t>
        </is>
      </c>
      <c r="V173" s="38" t="inlineStr">
        <is>
          <t>PAY_ASSURANCE</t>
        </is>
      </c>
      <c r="W173" s="38" t="inlineStr">
        <is>
          <t>A_DAT01</t>
        </is>
      </c>
      <c r="X173" s="38" t="inlineStr">
        <is>
          <t>S14;S07;DESIGN</t>
        </is>
      </c>
      <c r="Y173" s="38" t="inlineStr">
        <is>
          <t>https://www.fairwork.gov.au/tools-and-resources/fact-sheets/rights-and-obligations/record-keeping-pay-slips
https://www.fairwork.gov.au/newsroom/news/offsetting-and-record-keeping-salaried-employees</t>
        </is>
      </c>
      <c r="Z173" s="38" t="inlineStr">
        <is>
          <t>Treating the roster or payroll output as the complete record of actual work.</t>
        </is>
      </c>
    </row>
    <row r="174" ht="76" customHeight="1">
      <c r="A174" s="37" t="inlineStr">
        <is>
          <t>DAT01_3</t>
        </is>
      </c>
      <c r="B174" s="37" t="inlineStr">
        <is>
          <t>DAT01</t>
        </is>
      </c>
      <c r="C174" s="48" t="n">
        <v>3</v>
      </c>
      <c r="D174" s="37" t="inlineStr">
        <is>
          <t>We keep the required records, can reconcile them to payroll and retain them for the applicable period.</t>
        </is>
      </c>
      <c r="E174" s="37" t="inlineStr">
        <is>
          <t>Maintain and test: make the pay decision traceable</t>
        </is>
      </c>
      <c r="F174" s="37" t="inlineStr">
        <is>
          <t>The selected response reports an established and checked practice. The tool has not inspected the evidence and cannot certify the absence of risk.</t>
        </is>
      </c>
      <c r="G174" s="37" t="inlineStr">
        <is>
          <t>Missing source records make it harder to establish what work was performed and whether entitlements were paid correctly.</t>
        </is>
      </c>
      <c r="H174" s="37" t="inlineStr">
        <is>
          <t>Pay records and evidentiary reliability</t>
        </is>
      </c>
      <c r="I174" s="48" t="n">
        <v>3</v>
      </c>
      <c r="J174" s="48" t="n">
        <v>1</v>
      </c>
      <c r="K174" s="48" t="n">
        <v>1</v>
      </c>
      <c r="L174" s="37" t="inlineStr">
        <is>
          <t>Lower reported concern, not a finding of no risk. The assumed controls are self-reported; a current incident, contrary evidence or failed control takes precedence.</t>
        </is>
      </c>
      <c r="M174" s="37" t="inlineStr">
        <is>
          <t>Maintain the practice described. At the next relevant review, repeat the reconstruction using an ordinary and an exception payment and confirm another authorised person can follow it.</t>
        </is>
      </c>
      <c r="N174" s="37" t="inlineStr">
        <is>
          <t>Check whether changes in work, people or applicable requirements have made the original process less reliable.</t>
        </is>
      </c>
      <c r="O174" s="37" t="inlineStr">
        <is>
          <t>Retain the review outcome and act on any new exception. An unresolved live issue overrides this maintenance pathway.</t>
        </is>
      </c>
      <c r="P174" s="37" t="inlineStr">
        <is>
          <t>Maintain at the stated trigger; for a new low-priority improvement, plan within 90 days.</t>
        </is>
      </c>
      <c r="Q174" s="37" t="inlineStr">
        <is>
          <t>A current example of the practice and a proportionate recheck record. A reproducible pay trail, retention rules and records of corrections rather than unexplained changes.</t>
        </is>
      </c>
      <c r="R174" s="37" t="inlineStr">
        <is>
          <t>A reproducible pay trail, retention rules and records of corrections rather than unexplained changes.</t>
        </is>
      </c>
      <c r="S174" s="37" t="inlineStr">
        <is>
          <t>A discrepancy, record-system change or missing source record.</t>
        </is>
      </c>
      <c r="T174" s="37" t="inlineStr">
        <is>
          <t>Payroll / systems lead</t>
        </is>
      </c>
      <c r="U174" s="37" t="inlineStr">
        <is>
          <t>No further purchase is implied by this result. Seek support only for a material change, unresolved exception or chosen improvement.</t>
        </is>
      </c>
      <c r="V174" s="37" t="inlineStr">
        <is>
          <t>PAY_ASSURANCE</t>
        </is>
      </c>
      <c r="W174" s="37" t="inlineStr">
        <is>
          <t>A_DAT01</t>
        </is>
      </c>
      <c r="X174" s="37" t="inlineStr">
        <is>
          <t>S14;S07;DESIGN</t>
        </is>
      </c>
      <c r="Y174" s="37" t="inlineStr">
        <is>
          <t>https://www.fairwork.gov.au/tools-and-resources/fact-sheets/rights-and-obligations/record-keeping-pay-slips
https://www.fairwork.gov.au/newsroom/news/offsetting-and-record-keeping-salaried-employees</t>
        </is>
      </c>
      <c r="Z174" s="37" t="inlineStr">
        <is>
          <t>Treating the roster or payroll output as the complete record of actual work.</t>
        </is>
      </c>
    </row>
    <row r="175" ht="76" customHeight="1">
      <c r="A175" s="38" t="inlineStr">
        <is>
          <t>DAT01_DK</t>
        </is>
      </c>
      <c r="B175" s="38" t="inlineStr">
        <is>
          <t>DAT01</t>
        </is>
      </c>
      <c r="C175" s="38" t="inlineStr">
        <is>
          <t>DK</t>
        </is>
      </c>
      <c r="D175" s="38" t="inlineStr">
        <is>
          <t>I need to confirm this.</t>
        </is>
      </c>
      <c r="E175" s="38" t="inlineStr">
        <is>
          <t>Verify: make the pay decision traceable</t>
        </is>
      </c>
      <c r="F175" s="38" t="inlineStr">
        <is>
          <t>This answer identifies a knowledge gap. It does not establish that the practice is missing, that harm has occurred or that a legal duty has been breached.</t>
        </is>
      </c>
      <c r="G175" s="38" t="inlineStr">
        <is>
          <t>Missing source records make it harder to establish what work was performed and whether entitlements were paid correctly.</t>
        </is>
      </c>
      <c r="H175" s="38" t="inlineStr">
        <is>
          <t>Pay records and evidentiary reliability</t>
        </is>
      </c>
      <c r="I175" s="49" t="n">
        <v>3</v>
      </c>
      <c r="J175" s="49" t="n">
        <v>0</v>
      </c>
      <c r="K175" s="49" t="n">
        <v>3</v>
      </c>
      <c r="L175" s="38" t="inlineStr">
        <is>
          <t>The risk is not rated from an unknown answer. Verification is High priority because: Missing source records make it harder to establish what work was performed and whether entitlements were paid correctly.</t>
        </is>
      </c>
      <c r="M175" s="38" t="inlineStr">
        <is>
          <t>Ask the payroll / systems lead to show a current example of the process and the evidence listed below. Confirm the answer before deciding what must be repaired.</t>
        </is>
      </c>
      <c r="N175" s="38" t="inlineStr">
        <is>
          <t>Compare the example with the established-practice description: We keep the required records, can reconcile them to payroll and retain them for the applicable period.</t>
        </is>
      </c>
      <c r="O175" s="38" t="inlineStr">
        <is>
          <t>Record what was checked, by whom and when. If it remains unclear, keep the verification task open and agree any proportionate interim safeguard.</t>
        </is>
      </c>
      <c r="P175" s="38" t="inlineStr">
        <is>
          <t>Review or verify within two business days and before the next affected event if earlier. Do not wait where a duty or current harm requires earlier action.</t>
        </is>
      </c>
      <c r="Q175" s="38" t="inlineStr">
        <is>
          <t>A dated verification record, the supporting example, an updated answer and any remaining action. No automatic compliance conclusion.</t>
        </is>
      </c>
      <c r="R175" s="38" t="inlineStr">
        <is>
          <t>A reproducible pay trail, retention rules and records of corrections rather than unexplained changes.</t>
        </is>
      </c>
      <c r="S175" s="38" t="inlineStr">
        <is>
          <t>A discrepancy, record-system change or missing source record.</t>
        </is>
      </c>
      <c r="T175" s="38" t="inlineStr">
        <is>
          <t>Payroll / systems lead</t>
        </is>
      </c>
      <c r="U175" s="38" t="inlineStr">
        <is>
          <t>Employment-record process review and coordination with privacy/cyber specialists where necessary.</t>
        </is>
      </c>
      <c r="V175" s="38" t="inlineStr">
        <is>
          <t>PAY_ASSURANCE</t>
        </is>
      </c>
      <c r="W175" s="38" t="inlineStr">
        <is>
          <t>A_DAT01</t>
        </is>
      </c>
      <c r="X175" s="38" t="inlineStr">
        <is>
          <t>S14;S07;DESIGN</t>
        </is>
      </c>
      <c r="Y175" s="38" t="inlineStr">
        <is>
          <t>https://www.fairwork.gov.au/tools-and-resources/fact-sheets/rights-and-obligations/record-keeping-pay-slips
https://www.fairwork.gov.au/newsroom/news/offsetting-and-record-keeping-salaried-employees</t>
        </is>
      </c>
      <c r="Z175" s="38" t="inlineStr">
        <is>
          <t>Treating the roster or payroll output as the complete record of actual work.</t>
        </is>
      </c>
    </row>
    <row r="176" ht="121" customHeight="1">
      <c r="A176" s="37" t="inlineStr">
        <is>
          <t>DAT02_0</t>
        </is>
      </c>
      <c r="B176" s="37" t="inlineStr">
        <is>
          <t>DAT02</t>
        </is>
      </c>
      <c r="C176" s="48" t="n">
        <v>0</v>
      </c>
      <c r="D176" s="37" t="inlineStr">
        <is>
          <t>Sensitive information is widely accessible or handled without clear rules.</t>
        </is>
      </c>
      <c r="E176" s="37" t="inlineStr">
        <is>
          <t>Protect information across the whole process</t>
        </is>
      </c>
      <c r="F176" s="37" t="inlineStr">
        <is>
          <t>The selected response reports a missing or unestablished element. Confirm the affected arrangements before drawing a conclusion about any actual breach or harm.</t>
        </is>
      </c>
      <c r="G176" s="37" t="inlineStr">
        <is>
          <t>Excessive access or uncontrolled sharing can expose sensitive information, including material held outside the main HR system.</t>
        </is>
      </c>
      <c r="H176" s="37" t="inlineStr">
        <is>
          <t>Privacy and confidential information</t>
        </is>
      </c>
      <c r="I176" s="48" t="n">
        <v>3</v>
      </c>
      <c r="J176" s="48" t="n">
        <v>3</v>
      </c>
      <c r="K176" s="48" t="n">
        <v>3</v>
      </c>
      <c r="L176" s="37" t="inlineStr">
        <is>
          <t>High provisional concern: an essential element remains unresolved. Excessive access or uncontrolled sharing can expose sensitive information, including material held outside the main HR system.</t>
        </is>
      </c>
      <c r="M176" s="37" t="inlineStr">
        <is>
          <t>Map where employee and applicant information is held and shared. Remove unnecessary access and check the basis for collection, use and retention.</t>
        </is>
      </c>
      <c r="N176" s="37" t="inlineStr">
        <is>
          <t>Map collection, storage, sharing and providers. Restrict unnecessary access and check applicable privacy, retention and incident requirements.</t>
        </is>
      </c>
      <c r="O176" s="37" t="inlineStr">
        <is>
          <t>Test a representative information flow and remove unnecessary copies or access through a controlled process, subject to retention and preservation requirements.</t>
        </is>
      </c>
      <c r="P176" s="37" t="inlineStr">
        <is>
          <t>Review or verify within two business days and before the next affected event if earlier. Do not wait where a duty or current harm requires earlier action.</t>
        </is>
      </c>
      <c r="Q176" s="37" t="inlineStr">
        <is>
          <t>The information-handling and access review is complete, unnecessary access has been removed, applicable privacy and retention requirements are mapped and priority safeguards work in practice. An unresolved exposure stays open. Confirm that the change works in practice, not only that a document exists.</t>
        </is>
      </c>
      <c r="R176" s="37" t="inlineStr">
        <is>
          <t>The information-handling and access review is complete, unnecessary access has been removed, applicable privacy and retention requirements are mapped and priority safeguards work in practice. An unresolved exposure stays open.</t>
        </is>
      </c>
      <c r="S176" s="37" t="inlineStr">
        <is>
          <t>New systems or providers, access changes or suspected disclosure.</t>
        </is>
      </c>
      <c r="T176" s="37" t="inlineStr">
        <is>
          <t>Payroll / systems lead</t>
        </is>
      </c>
      <c r="U176" s="37" t="inlineStr">
        <is>
          <t>Employment-record process review and coordination with privacy/cyber specialists where necessary.</t>
        </is>
      </c>
      <c r="V176" s="37" t="inlineStr">
        <is>
          <t>INFORMATION</t>
        </is>
      </c>
      <c r="W176" s="37" t="inlineStr">
        <is>
          <t>A_DAT02</t>
        </is>
      </c>
      <c r="X176" s="37" t="inlineStr">
        <is>
          <t>S15;S16;S17;DESIGN</t>
        </is>
      </c>
      <c r="Y176"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176" s="37" t="inlineStr">
        <is>
          <t>Assuming the employee-records exemption covers applicants, external providers and every use of staff data.</t>
        </is>
      </c>
    </row>
    <row r="177" ht="121" customHeight="1">
      <c r="A177" s="38" t="inlineStr">
        <is>
          <t>DAT02_1</t>
        </is>
      </c>
      <c r="B177" s="38" t="inlineStr">
        <is>
          <t>DAT02</t>
        </is>
      </c>
      <c r="C177" s="49" t="n">
        <v>1</v>
      </c>
      <c r="D177" s="38" t="inlineStr">
        <is>
          <t>We rely on staff discretion and basic folder access.</t>
        </is>
      </c>
      <c r="E177" s="38" t="inlineStr">
        <is>
          <t>Protect information across the whole process</t>
        </is>
      </c>
      <c r="F177" s="38" t="inlineStr">
        <is>
          <t>The selected response relies on assumptions, informal decisions or an inconsistent process. The action is to make the relevant check reliable in routine work.</t>
        </is>
      </c>
      <c r="G177" s="38" t="inlineStr">
        <is>
          <t>Excessive access or uncontrolled sharing can expose sensitive information, including material held outside the main HR system.</t>
        </is>
      </c>
      <c r="H177" s="38" t="inlineStr">
        <is>
          <t>Privacy and confidential information</t>
        </is>
      </c>
      <c r="I177" s="49" t="n">
        <v>3</v>
      </c>
      <c r="J177" s="49" t="n">
        <v>3</v>
      </c>
      <c r="K177" s="49" t="n">
        <v>3</v>
      </c>
      <c r="L177" s="38" t="inlineStr">
        <is>
          <t>High provisional concern: an essential element remains unresolved. Excessive access or uncontrolled sharing can expose sensitive information, including material held outside the main HR system.</t>
        </is>
      </c>
      <c r="M177" s="38" t="inlineStr">
        <is>
          <t>Replace the assumption with a current check. Map where employee and applicant information is held and shared. Remove unnecessary access and check the basis for collection, use and retention.</t>
        </is>
      </c>
      <c r="N177" s="38" t="inlineStr">
        <is>
          <t>Map collection, storage, sharing and providers. Restrict unnecessary access and check applicable privacy, retention and incident requirements.</t>
        </is>
      </c>
      <c r="O177" s="38" t="inlineStr">
        <is>
          <t>Test a representative information flow and remove unnecessary copies or access through a controlled process, subject to retention and preservation requirements.</t>
        </is>
      </c>
      <c r="P177" s="38" t="inlineStr">
        <is>
          <t>Review or verify within two business days and before the next affected event if earlier. Do not wait where a duty or current harm requires earlier action.</t>
        </is>
      </c>
      <c r="Q177" s="38" t="inlineStr">
        <is>
          <t>The information-handling and access review is complete, unnecessary access has been removed, applicable privacy and retention requirements are mapped and priority safeguards work in practice. An unresolved exposure stays open. Confirm that the change works in practice, not only that a document exists.</t>
        </is>
      </c>
      <c r="R177" s="38" t="inlineStr">
        <is>
          <t>The information-handling and access review is complete, unnecessary access has been removed, applicable privacy and retention requirements are mapped and priority safeguards work in practice. An unresolved exposure stays open.</t>
        </is>
      </c>
      <c r="S177" s="38" t="inlineStr">
        <is>
          <t>New systems or providers, access changes or suspected disclosure.</t>
        </is>
      </c>
      <c r="T177" s="38" t="inlineStr">
        <is>
          <t>Payroll / systems lead</t>
        </is>
      </c>
      <c r="U177" s="38" t="inlineStr">
        <is>
          <t>Employment-record process review and coordination with privacy/cyber specialists where necessary.</t>
        </is>
      </c>
      <c r="V177" s="38" t="inlineStr">
        <is>
          <t>INFORMATION</t>
        </is>
      </c>
      <c r="W177" s="38" t="inlineStr">
        <is>
          <t>A_DAT02</t>
        </is>
      </c>
      <c r="X177" s="38" t="inlineStr">
        <is>
          <t>S15;S16;S17;DESIGN</t>
        </is>
      </c>
      <c r="Y177"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177" s="38" t="inlineStr">
        <is>
          <t>Assuming the employee-records exemption covers applicants, external providers and every use of staff data.</t>
        </is>
      </c>
    </row>
    <row r="178" ht="121" customHeight="1">
      <c r="A178" s="37" t="inlineStr">
        <is>
          <t>DAT02_2</t>
        </is>
      </c>
      <c r="B178" s="37" t="inlineStr">
        <is>
          <t>DAT02</t>
        </is>
      </c>
      <c r="C178" s="48" t="n">
        <v>2</v>
      </c>
      <c r="D178" s="37" t="inlineStr">
        <is>
          <t>Access is restricted, but sharing, providers or retention rules have not been fully checked.</t>
        </is>
      </c>
      <c r="E178" s="37" t="inlineStr">
        <is>
          <t>Complete the remaining check: protect information across the whole process</t>
        </is>
      </c>
      <c r="F178" s="37" t="inlineStr">
        <is>
          <t>The selected response identifies an incomplete element within an existing practice. Keep what works and target the unresolved part; the stronger elements do not cancel the gap.</t>
        </is>
      </c>
      <c r="G178" s="37" t="inlineStr">
        <is>
          <t>Excessive access or uncontrolled sharing can expose sensitive information, including material held outside the main HR system.</t>
        </is>
      </c>
      <c r="H178" s="37" t="inlineStr">
        <is>
          <t>Privacy and confidential information</t>
        </is>
      </c>
      <c r="I178" s="48" t="n">
        <v>3</v>
      </c>
      <c r="J178" s="48" t="n">
        <v>3</v>
      </c>
      <c r="K178" s="48" t="n">
        <v>3</v>
      </c>
      <c r="L178" s="37" t="inlineStr">
        <is>
          <t>High provisional concern: an essential element remains unresolved. Excessive access or uncontrolled sharing can expose sensitive information, including material held outside the main HR system.</t>
        </is>
      </c>
      <c r="M178" s="37" t="inlineStr">
        <is>
          <t>Focus on the unresolved arrangements or exceptions. Map where employee and applicant information is held and shared. Remove unnecessary access and check the basis for collection, use and retention.</t>
        </is>
      </c>
      <c r="N178" s="37" t="inlineStr">
        <is>
          <t>Map collection, storage, sharing and providers. Restrict unnecessary access and check applicable privacy, retention and incident requirements.</t>
        </is>
      </c>
      <c r="O178" s="37" t="inlineStr">
        <is>
          <t>Test a representative information flow and remove unnecessary copies or access through a controlled process, subject to retention and preservation requirements.</t>
        </is>
      </c>
      <c r="P178" s="37" t="inlineStr">
        <is>
          <t>Review or verify within two business days and before the next affected event if earlier. Do not wait where a duty or current harm requires earlier action.</t>
        </is>
      </c>
      <c r="Q178" s="37" t="inlineStr">
        <is>
          <t>The information-handling and access review is complete, unnecessary access has been removed, applicable privacy and retention requirements are mapped and priority safeguards work in practice. An unresolved exposure stays open. Confirm that the change works in practice, not only that a document exists.</t>
        </is>
      </c>
      <c r="R178" s="37" t="inlineStr">
        <is>
          <t>The information-handling and access review is complete, unnecessary access has been removed, applicable privacy and retention requirements are mapped and priority safeguards work in practice. An unresolved exposure stays open.</t>
        </is>
      </c>
      <c r="S178" s="37" t="inlineStr">
        <is>
          <t>New systems or providers, access changes or suspected disclosure.</t>
        </is>
      </c>
      <c r="T178" s="37" t="inlineStr">
        <is>
          <t>Payroll / systems lead</t>
        </is>
      </c>
      <c r="U178" s="37" t="inlineStr">
        <is>
          <t>Employment-record process review and coordination with privacy/cyber specialists where necessary.</t>
        </is>
      </c>
      <c r="V178" s="37" t="inlineStr">
        <is>
          <t>INFORMATION</t>
        </is>
      </c>
      <c r="W178" s="37" t="inlineStr">
        <is>
          <t>A_DAT02</t>
        </is>
      </c>
      <c r="X178" s="37" t="inlineStr">
        <is>
          <t>S15;S16;S17;DESIGN</t>
        </is>
      </c>
      <c r="Y178"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178" s="37" t="inlineStr">
        <is>
          <t>Assuming the employee-records exemption covers applicants, external providers and every use of staff data.</t>
        </is>
      </c>
    </row>
    <row r="179" ht="121" customHeight="1">
      <c r="A179" s="38" t="inlineStr">
        <is>
          <t>DAT02_3</t>
        </is>
      </c>
      <c r="B179" s="38" t="inlineStr">
        <is>
          <t>DAT02</t>
        </is>
      </c>
      <c r="C179" s="49" t="n">
        <v>3</v>
      </c>
      <c r="D179" s="38" t="inlineStr">
        <is>
          <t>We limit access and use to legitimate purposes, check providers and maintain clear retention, sharing and incident-response rules.</t>
        </is>
      </c>
      <c r="E179" s="38" t="inlineStr">
        <is>
          <t>Maintain and test: protect information across the whole process</t>
        </is>
      </c>
      <c r="F179" s="38" t="inlineStr">
        <is>
          <t>The selected response reports an established and checked practice. The tool has not inspected the evidence and cannot certify the absence of risk.</t>
        </is>
      </c>
      <c r="G179" s="38" t="inlineStr">
        <is>
          <t>Excessive access or uncontrolled sharing can expose sensitive information, including material held outside the main HR system.</t>
        </is>
      </c>
      <c r="H179" s="38" t="inlineStr">
        <is>
          <t>Privacy and confidential information</t>
        </is>
      </c>
      <c r="I179" s="49" t="n">
        <v>3</v>
      </c>
      <c r="J179" s="49" t="n">
        <v>1</v>
      </c>
      <c r="K179" s="49" t="n">
        <v>1</v>
      </c>
      <c r="L179" s="38" t="inlineStr">
        <is>
          <t>Lower reported concern, not a finding of no risk. The assumed controls are self-reported; a current incident, contrary evidence or failed control takes precedence.</t>
        </is>
      </c>
      <c r="M179" s="38" t="inlineStr">
        <is>
          <t>Maintain the practice described. At the next relevant review, test a representative information flow and remove unnecessary copies or access through a controlled process, subject to retention and preservation requirements.</t>
        </is>
      </c>
      <c r="N179" s="38" t="inlineStr">
        <is>
          <t>Check whether changes in work, people or applicable requirements have made the original process less reliable.</t>
        </is>
      </c>
      <c r="O179" s="38" t="inlineStr">
        <is>
          <t>Retain the review outcome and act on any new exception. An unresolved live issue overrides this maintenance pathway.</t>
        </is>
      </c>
      <c r="P179" s="38" t="inlineStr">
        <is>
          <t>Maintain at the stated trigger; for a new low-priority improvement, plan within 90 days.</t>
        </is>
      </c>
      <c r="Q179" s="38" t="inlineStr">
        <is>
          <t>A current example of the practice and a proportionate recheck record. The information-handling and access review is complete, unnecessary access has been removed, applicable privacy and retention requirements are mapped and priority safeguards work in practice. An unresolved exposure stays open.</t>
        </is>
      </c>
      <c r="R179" s="38" t="inlineStr">
        <is>
          <t>The information-handling and access review is complete, unnecessary access has been removed, applicable privacy and retention requirements are mapped and priority safeguards work in practice. An unresolved exposure stays open.</t>
        </is>
      </c>
      <c r="S179" s="38" t="inlineStr">
        <is>
          <t>New systems or providers, access changes or suspected disclosure.</t>
        </is>
      </c>
      <c r="T179" s="38" t="inlineStr">
        <is>
          <t>Payroll / systems lead</t>
        </is>
      </c>
      <c r="U179" s="38" t="inlineStr">
        <is>
          <t>No further purchase is implied by this result. Seek support only for a material change, unresolved exception or chosen improvement.</t>
        </is>
      </c>
      <c r="V179" s="38" t="inlineStr">
        <is>
          <t>INFORMATION</t>
        </is>
      </c>
      <c r="W179" s="38" t="inlineStr">
        <is>
          <t>A_DAT02</t>
        </is>
      </c>
      <c r="X179" s="38" t="inlineStr">
        <is>
          <t>S15;S16;S17;DESIGN</t>
        </is>
      </c>
      <c r="Y179"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179" s="38" t="inlineStr">
        <is>
          <t>Assuming the employee-records exemption covers applicants, external providers and every use of staff data.</t>
        </is>
      </c>
    </row>
    <row r="180" ht="121" customHeight="1">
      <c r="A180" s="37" t="inlineStr">
        <is>
          <t>DAT02_DK</t>
        </is>
      </c>
      <c r="B180" s="37" t="inlineStr">
        <is>
          <t>DAT02</t>
        </is>
      </c>
      <c r="C180" s="37" t="inlineStr">
        <is>
          <t>DK</t>
        </is>
      </c>
      <c r="D180" s="37" t="inlineStr">
        <is>
          <t>I need to confirm this.</t>
        </is>
      </c>
      <c r="E180" s="37" t="inlineStr">
        <is>
          <t>Verify: protect information across the whole process</t>
        </is>
      </c>
      <c r="F180" s="37" t="inlineStr">
        <is>
          <t>This answer identifies a knowledge gap. It does not establish that the practice is missing, that harm has occurred or that a legal duty has been breached.</t>
        </is>
      </c>
      <c r="G180" s="37" t="inlineStr">
        <is>
          <t>Excessive access or uncontrolled sharing can expose sensitive information, including material held outside the main HR system.</t>
        </is>
      </c>
      <c r="H180" s="37" t="inlineStr">
        <is>
          <t>Privacy and confidential information</t>
        </is>
      </c>
      <c r="I180" s="48" t="n">
        <v>3</v>
      </c>
      <c r="J180" s="48" t="n">
        <v>0</v>
      </c>
      <c r="K180" s="48" t="n">
        <v>3</v>
      </c>
      <c r="L180" s="37" t="inlineStr">
        <is>
          <t>The risk is not rated from an unknown answer. Verification is High priority because: Excessive access or uncontrolled sharing can expose sensitive information, including material held outside the main HR system.</t>
        </is>
      </c>
      <c r="M180" s="37" t="inlineStr">
        <is>
          <t>Ask the payroll / systems lead to show a current example of the process and the evidence listed below. Confirm the answer before deciding what must be repaired.</t>
        </is>
      </c>
      <c r="N180" s="37" t="inlineStr">
        <is>
          <t>Compare the example with the established-practice description: We limit access and use to legitimate purposes, check providers and maintain clear retention, sharing and incident-response rules.</t>
        </is>
      </c>
      <c r="O180" s="37" t="inlineStr">
        <is>
          <t>Record what was checked, by whom and when. If it remains unclear, keep the verification task open and agree any proportionate interim safeguard.</t>
        </is>
      </c>
      <c r="P180" s="37" t="inlineStr">
        <is>
          <t>Review or verify within two business days and before the next affected event if earlier. Do not wait where a duty or current harm requires earlier action.</t>
        </is>
      </c>
      <c r="Q180" s="37" t="inlineStr">
        <is>
          <t>A dated verification record, the supporting example, an updated answer and any remaining action. No automatic compliance conclusion.</t>
        </is>
      </c>
      <c r="R180" s="37" t="inlineStr">
        <is>
          <t>The information-handling and access review is complete, unnecessary access has been removed, applicable privacy and retention requirements are mapped and priority safeguards work in practice. An unresolved exposure stays open.</t>
        </is>
      </c>
      <c r="S180" s="37" t="inlineStr">
        <is>
          <t>New systems or providers, access changes or suspected disclosure.</t>
        </is>
      </c>
      <c r="T180" s="37" t="inlineStr">
        <is>
          <t>Payroll / systems lead</t>
        </is>
      </c>
      <c r="U180" s="37" t="inlineStr">
        <is>
          <t>Employment-record process review and coordination with privacy/cyber specialists where necessary.</t>
        </is>
      </c>
      <c r="V180" s="37" t="inlineStr">
        <is>
          <t>INFORMATION</t>
        </is>
      </c>
      <c r="W180" s="37" t="inlineStr">
        <is>
          <t>A_DAT02</t>
        </is>
      </c>
      <c r="X180" s="37" t="inlineStr">
        <is>
          <t>S15;S16;S17;DESIGN</t>
        </is>
      </c>
      <c r="Y180"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180" s="37" t="inlineStr">
        <is>
          <t>Assuming the employee-records exemption covers applicants, external providers and every use of staff data.</t>
        </is>
      </c>
    </row>
    <row r="181" ht="91" customHeight="1">
      <c r="A181" s="38" t="inlineStr">
        <is>
          <t>DAT03_0</t>
        </is>
      </c>
      <c r="B181" s="38" t="inlineStr">
        <is>
          <t>DAT03</t>
        </is>
      </c>
      <c r="C181" s="49" t="n">
        <v>0</v>
      </c>
      <c r="D181" s="38" t="inlineStr">
        <is>
          <t>Essential records depend on one person or system with no workable backup.</t>
        </is>
      </c>
      <c r="E181" s="38" t="inlineStr">
        <is>
          <t>Test retrieval before you need it</t>
        </is>
      </c>
      <c r="F181" s="38" t="inlineStr">
        <is>
          <t>The selected response reports a missing or unestablished element. Confirm the affected arrangements before drawing a conclusion about any actual breach or harm.</t>
        </is>
      </c>
      <c r="G181" s="38" t="inlineStr">
        <is>
          <t>A backup that cannot be retrieved by an authorised person may fail when the usual administrator or system is unavailable.</t>
        </is>
      </c>
      <c r="H181" s="38" t="inlineStr">
        <is>
          <t>Record availability and continuity</t>
        </is>
      </c>
      <c r="I181" s="49" t="n">
        <v>3</v>
      </c>
      <c r="J181" s="49" t="n">
        <v>3</v>
      </c>
      <c r="K181" s="49" t="n">
        <v>3</v>
      </c>
      <c r="L181" s="38" t="inlineStr">
        <is>
          <t>High provisional concern: an essential element remains unresolved. A backup that cannot be retrieved by an authorised person may fail when the usual administrator or system is unavailable.</t>
        </is>
      </c>
      <c r="M181" s="38" t="inlineStr">
        <is>
          <t>Ask an authorised backup person to retrieve a defined set of current records without the usual administrator's assistance. Record and fix any gaps.</t>
        </is>
      </c>
      <c r="N181" s="38" t="inlineStr">
        <is>
          <t>Arrange controlled backup access, current exports or recovery methods and clear ownership.</t>
        </is>
      </c>
      <c r="O181" s="38" t="inlineStr">
        <is>
          <t>Run a retrieval test using a defined set of essential records and verify completeness and current versions.</t>
        </is>
      </c>
      <c r="P181" s="38" t="inlineStr">
        <is>
          <t>Review or verify within two business days and before the next affected event if earlier. Do not wait where a duty or current harm requires earlier action.</t>
        </is>
      </c>
      <c r="Q181" s="38" t="inlineStr">
        <is>
          <t>A successful retrieval test, secure access arrangements and a record owner. Confirm that the change works in practice, not only that a document exists.</t>
        </is>
      </c>
      <c r="R181" s="38" t="inlineStr">
        <is>
          <t>A successful retrieval test, secure access arrangements and a record owner.</t>
        </is>
      </c>
      <c r="S181" s="38" t="inlineStr">
        <is>
          <t>System changes, administrator absence or a failed recovery test.</t>
        </is>
      </c>
      <c r="T181" s="38" t="inlineStr">
        <is>
          <t>Payroll / systems lead</t>
        </is>
      </c>
      <c r="U181" s="38" t="inlineStr">
        <is>
          <t>Employment-record process review and coordination with privacy/cyber specialists where necessary.</t>
        </is>
      </c>
      <c r="V181" s="38" t="inlineStr">
        <is>
          <t>INFORMATION</t>
        </is>
      </c>
      <c r="W181" s="38" t="inlineStr">
        <is>
          <t>A_DAT03</t>
        </is>
      </c>
      <c r="X181" s="38" t="inlineStr">
        <is>
          <t>S14;S15;DESIGN</t>
        </is>
      </c>
      <c r="Y181" s="38" t="inlineStr">
        <is>
          <t>https://www.fairwork.gov.au/tools-and-resources/fact-sheets/rights-and-obligations/record-keeping-pay-slips
https://www.oaic.gov.au/privacy/privacy-guidance-for-organisations-and-government-agencies/organisations/employee-records-exemption</t>
        </is>
      </c>
      <c r="Z181" s="38" t="inlineStr">
        <is>
          <t>Sharing passwords or assuming a supplier will provide a usable export immediately.</t>
        </is>
      </c>
    </row>
    <row r="182" ht="91" customHeight="1">
      <c r="A182" s="37" t="inlineStr">
        <is>
          <t>DAT03_1</t>
        </is>
      </c>
      <c r="B182" s="37" t="inlineStr">
        <is>
          <t>DAT03</t>
        </is>
      </c>
      <c r="C182" s="48" t="n">
        <v>1</v>
      </c>
      <c r="D182" s="37" t="inlineStr">
        <is>
          <t>We believe records are backed up, but retrieval has not been tested.</t>
        </is>
      </c>
      <c r="E182" s="37" t="inlineStr">
        <is>
          <t>Test retrieval before you need it</t>
        </is>
      </c>
      <c r="F182" s="37" t="inlineStr">
        <is>
          <t>The selected response relies on assumptions, informal decisions or an inconsistent process. The action is to make the relevant check reliable in routine work.</t>
        </is>
      </c>
      <c r="G182" s="37" t="inlineStr">
        <is>
          <t>A backup that cannot be retrieved by an authorised person may fail when the usual administrator or system is unavailable.</t>
        </is>
      </c>
      <c r="H182" s="37" t="inlineStr">
        <is>
          <t>Record availability and continuity</t>
        </is>
      </c>
      <c r="I182" s="48" t="n">
        <v>3</v>
      </c>
      <c r="J182" s="48" t="n">
        <v>3</v>
      </c>
      <c r="K182" s="48" t="n">
        <v>3</v>
      </c>
      <c r="L182" s="37" t="inlineStr">
        <is>
          <t>High provisional concern: an essential element remains unresolved. A backup that cannot be retrieved by an authorised person may fail when the usual administrator or system is unavailable.</t>
        </is>
      </c>
      <c r="M182" s="37" t="inlineStr">
        <is>
          <t>Replace the assumption with a current check. Ask an authorised backup person to retrieve a defined set of current records without the usual administrator's assistance. Record and fix any gaps.</t>
        </is>
      </c>
      <c r="N182" s="37" t="inlineStr">
        <is>
          <t>Arrange controlled backup access, current exports or recovery methods and clear ownership.</t>
        </is>
      </c>
      <c r="O182" s="37" t="inlineStr">
        <is>
          <t>Run a retrieval test using a defined set of essential records and verify completeness and current versions.</t>
        </is>
      </c>
      <c r="P182" s="37" t="inlineStr">
        <is>
          <t>Review or verify within two business days and before the next affected event if earlier. Do not wait where a duty or current harm requires earlier action.</t>
        </is>
      </c>
      <c r="Q182" s="37" t="inlineStr">
        <is>
          <t>A successful retrieval test, secure access arrangements and a record owner. Confirm that the change works in practice, not only that a document exists.</t>
        </is>
      </c>
      <c r="R182" s="37" t="inlineStr">
        <is>
          <t>A successful retrieval test, secure access arrangements and a record owner.</t>
        </is>
      </c>
      <c r="S182" s="37" t="inlineStr">
        <is>
          <t>System changes, administrator absence or a failed recovery test.</t>
        </is>
      </c>
      <c r="T182" s="37" t="inlineStr">
        <is>
          <t>Payroll / systems lead</t>
        </is>
      </c>
      <c r="U182" s="37" t="inlineStr">
        <is>
          <t>Employment-record process review and coordination with privacy/cyber specialists where necessary.</t>
        </is>
      </c>
      <c r="V182" s="37" t="inlineStr">
        <is>
          <t>INFORMATION</t>
        </is>
      </c>
      <c r="W182" s="37" t="inlineStr">
        <is>
          <t>A_DAT03</t>
        </is>
      </c>
      <c r="X182" s="37" t="inlineStr">
        <is>
          <t>S14;S15;DESIGN</t>
        </is>
      </c>
      <c r="Y182" s="37" t="inlineStr">
        <is>
          <t>https://www.fairwork.gov.au/tools-and-resources/fact-sheets/rights-and-obligations/record-keeping-pay-slips
https://www.oaic.gov.au/privacy/privacy-guidance-for-organisations-and-government-agencies/organisations/employee-records-exemption</t>
        </is>
      </c>
      <c r="Z182" s="37" t="inlineStr">
        <is>
          <t>Sharing passwords or assuming a supplier will provide a usable export immediately.</t>
        </is>
      </c>
    </row>
    <row r="183" ht="91" customHeight="1">
      <c r="A183" s="38" t="inlineStr">
        <is>
          <t>DAT03_2</t>
        </is>
      </c>
      <c r="B183" s="38" t="inlineStr">
        <is>
          <t>DAT03</t>
        </is>
      </c>
      <c r="C183" s="49" t="n">
        <v>2</v>
      </c>
      <c r="D183" s="38" t="inlineStr">
        <is>
          <t>Some records can be recovered, but permissions, completeness or version control need checking.</t>
        </is>
      </c>
      <c r="E183" s="38" t="inlineStr">
        <is>
          <t>Complete the remaining check: test retrieval before you need it</t>
        </is>
      </c>
      <c r="F183" s="38" t="inlineStr">
        <is>
          <t>The selected response identifies an incomplete element within an existing practice. Keep what works and target the unresolved part; the stronger elements do not cancel the gap.</t>
        </is>
      </c>
      <c r="G183" s="38" t="inlineStr">
        <is>
          <t>A backup that cannot be retrieved by an authorised person may fail when the usual administrator or system is unavailable.</t>
        </is>
      </c>
      <c r="H183" s="38" t="inlineStr">
        <is>
          <t>Record availability and continuity</t>
        </is>
      </c>
      <c r="I183" s="49" t="n">
        <v>3</v>
      </c>
      <c r="J183" s="49" t="n">
        <v>2</v>
      </c>
      <c r="K183" s="49" t="n">
        <v>2</v>
      </c>
      <c r="L183" s="38" t="inlineStr">
        <is>
          <t>Medium provisional concern: a material practice needs improvement. A backup that cannot be retrieved by an authorised person may fail when the usual administrator or system is unavailable.</t>
        </is>
      </c>
      <c r="M183" s="38" t="inlineStr">
        <is>
          <t>Focus on the unresolved arrangements or exceptions. Ask an authorised backup person to retrieve a defined set of current records without the usual administrator's assistance. Record and fix any gaps.</t>
        </is>
      </c>
      <c r="N183" s="38" t="inlineStr">
        <is>
          <t>Arrange controlled backup access, current exports or recovery methods and clear ownership.</t>
        </is>
      </c>
      <c r="O183" s="38" t="inlineStr">
        <is>
          <t>Run a retrieval test using a defined set of essential records and verify completeness and current versions.</t>
        </is>
      </c>
      <c r="P183" s="38" t="inlineStr">
        <is>
          <t>Agree an owner and plan within 30 days, or before the next affected event if earlier.</t>
        </is>
      </c>
      <c r="Q183" s="38" t="inlineStr">
        <is>
          <t>A successful retrieval test, secure access arrangements and a record owner. Confirm that the change works in practice, not only that a document exists.</t>
        </is>
      </c>
      <c r="R183" s="38" t="inlineStr">
        <is>
          <t>A successful retrieval test, secure access arrangements and a record owner.</t>
        </is>
      </c>
      <c r="S183" s="38" t="inlineStr">
        <is>
          <t>System changes, administrator absence or a failed recovery test.</t>
        </is>
      </c>
      <c r="T183" s="38" t="inlineStr">
        <is>
          <t>Payroll / systems lead</t>
        </is>
      </c>
      <c r="U183" s="38" t="inlineStr">
        <is>
          <t>Employment-record process review and coordination with privacy/cyber specialists where necessary.</t>
        </is>
      </c>
      <c r="V183" s="38" t="inlineStr">
        <is>
          <t>INFORMATION</t>
        </is>
      </c>
      <c r="W183" s="38" t="inlineStr">
        <is>
          <t>A_DAT03</t>
        </is>
      </c>
      <c r="X183" s="38" t="inlineStr">
        <is>
          <t>S14;S15;DESIGN</t>
        </is>
      </c>
      <c r="Y183" s="38" t="inlineStr">
        <is>
          <t>https://www.fairwork.gov.au/tools-and-resources/fact-sheets/rights-and-obligations/record-keeping-pay-slips
https://www.oaic.gov.au/privacy/privacy-guidance-for-organisations-and-government-agencies/organisations/employee-records-exemption</t>
        </is>
      </c>
      <c r="Z183" s="38" t="inlineStr">
        <is>
          <t>Sharing passwords or assuming a supplier will provide a usable export immediately.</t>
        </is>
      </c>
    </row>
    <row r="184" ht="91" customHeight="1">
      <c r="A184" s="37" t="inlineStr">
        <is>
          <t>DAT03_3</t>
        </is>
      </c>
      <c r="B184" s="37" t="inlineStr">
        <is>
          <t>DAT03</t>
        </is>
      </c>
      <c r="C184" s="48" t="n">
        <v>3</v>
      </c>
      <c r="D184" s="37" t="inlineStr">
        <is>
          <t>Authorised people can retrieve the current essential records through a tested backup or recovery process.</t>
        </is>
      </c>
      <c r="E184" s="37" t="inlineStr">
        <is>
          <t>Maintain and test: test retrieval before you need it</t>
        </is>
      </c>
      <c r="F184" s="37" t="inlineStr">
        <is>
          <t>The selected response reports an established and checked practice. The tool has not inspected the evidence and cannot certify the absence of risk.</t>
        </is>
      </c>
      <c r="G184" s="37" t="inlineStr">
        <is>
          <t>A backup that cannot be retrieved by an authorised person may fail when the usual administrator or system is unavailable.</t>
        </is>
      </c>
      <c r="H184" s="37" t="inlineStr">
        <is>
          <t>Record availability and continuity</t>
        </is>
      </c>
      <c r="I184" s="48" t="n">
        <v>3</v>
      </c>
      <c r="J184" s="48" t="n">
        <v>1</v>
      </c>
      <c r="K184" s="48" t="n">
        <v>1</v>
      </c>
      <c r="L184" s="37" t="inlineStr">
        <is>
          <t>Lower reported concern, not a finding of no risk. The assumed controls are self-reported; a current incident, contrary evidence or failed control takes precedence.</t>
        </is>
      </c>
      <c r="M184" s="37" t="inlineStr">
        <is>
          <t>Maintain the practice described. At the next relevant review, run a retrieval test using a defined set of essential records and verify completeness and current versions.</t>
        </is>
      </c>
      <c r="N184" s="37" t="inlineStr">
        <is>
          <t>Check whether changes in work, people or applicable requirements have made the original process less reliable.</t>
        </is>
      </c>
      <c r="O184" s="37" t="inlineStr">
        <is>
          <t>Retain the review outcome and act on any new exception. An unresolved live issue overrides this maintenance pathway.</t>
        </is>
      </c>
      <c r="P184" s="37" t="inlineStr">
        <is>
          <t>Maintain at the stated trigger; for a new low-priority improvement, plan within 90 days.</t>
        </is>
      </c>
      <c r="Q184" s="37" t="inlineStr">
        <is>
          <t>A current example of the practice and a proportionate recheck record. A successful retrieval test, secure access arrangements and a record owner.</t>
        </is>
      </c>
      <c r="R184" s="37" t="inlineStr">
        <is>
          <t>A successful retrieval test, secure access arrangements and a record owner.</t>
        </is>
      </c>
      <c r="S184" s="37" t="inlineStr">
        <is>
          <t>System changes, administrator absence or a failed recovery test.</t>
        </is>
      </c>
      <c r="T184" s="37" t="inlineStr">
        <is>
          <t>Payroll / systems lead</t>
        </is>
      </c>
      <c r="U184" s="37" t="inlineStr">
        <is>
          <t>No further purchase is implied by this result. Seek support only for a material change, unresolved exception or chosen improvement.</t>
        </is>
      </c>
      <c r="V184" s="37" t="inlineStr">
        <is>
          <t>INFORMATION</t>
        </is>
      </c>
      <c r="W184" s="37" t="inlineStr">
        <is>
          <t>A_DAT03</t>
        </is>
      </c>
      <c r="X184" s="37" t="inlineStr">
        <is>
          <t>S14;S15;DESIGN</t>
        </is>
      </c>
      <c r="Y184" s="37" t="inlineStr">
        <is>
          <t>https://www.fairwork.gov.au/tools-and-resources/fact-sheets/rights-and-obligations/record-keeping-pay-slips
https://www.oaic.gov.au/privacy/privacy-guidance-for-organisations-and-government-agencies/organisations/employee-records-exemption</t>
        </is>
      </c>
      <c r="Z184" s="37" t="inlineStr">
        <is>
          <t>Sharing passwords or assuming a supplier will provide a usable export immediately.</t>
        </is>
      </c>
    </row>
    <row r="185" ht="91" customHeight="1">
      <c r="A185" s="38" t="inlineStr">
        <is>
          <t>DAT03_DK</t>
        </is>
      </c>
      <c r="B185" s="38" t="inlineStr">
        <is>
          <t>DAT03</t>
        </is>
      </c>
      <c r="C185" s="38" t="inlineStr">
        <is>
          <t>DK</t>
        </is>
      </c>
      <c r="D185" s="38" t="inlineStr">
        <is>
          <t>I need to confirm this.</t>
        </is>
      </c>
      <c r="E185" s="38" t="inlineStr">
        <is>
          <t>Verify: test retrieval before you need it</t>
        </is>
      </c>
      <c r="F185" s="38" t="inlineStr">
        <is>
          <t>This answer identifies a knowledge gap. It does not establish that the practice is missing, that harm has occurred or that a legal duty has been breached.</t>
        </is>
      </c>
      <c r="G185" s="38" t="inlineStr">
        <is>
          <t>A backup that cannot be retrieved by an authorised person may fail when the usual administrator or system is unavailable.</t>
        </is>
      </c>
      <c r="H185" s="38" t="inlineStr">
        <is>
          <t>Record availability and continuity</t>
        </is>
      </c>
      <c r="I185" s="49" t="n">
        <v>3</v>
      </c>
      <c r="J185" s="49" t="n">
        <v>0</v>
      </c>
      <c r="K185" s="49" t="n">
        <v>3</v>
      </c>
      <c r="L185" s="38" t="inlineStr">
        <is>
          <t>The risk is not rated from an unknown answer. Verification is High priority because: A backup that cannot be retrieved by an authorised person may fail when the usual administrator or system is unavailable.</t>
        </is>
      </c>
      <c r="M185" s="38" t="inlineStr">
        <is>
          <t>Ask the payroll / systems lead to show a current example of the process and the evidence listed below. Confirm the answer before deciding what must be repaired.</t>
        </is>
      </c>
      <c r="N185" s="38" t="inlineStr">
        <is>
          <t>Compare the example with the established-practice description: Authorised people can retrieve the current essential records through a tested backup or recovery process.</t>
        </is>
      </c>
      <c r="O185" s="38" t="inlineStr">
        <is>
          <t>Record what was checked, by whom and when. If it remains unclear, keep the verification task open and agree any proportionate interim safeguard.</t>
        </is>
      </c>
      <c r="P185" s="38" t="inlineStr">
        <is>
          <t>Review or verify within two business days and before the next affected event if earlier. Do not wait where a duty or current harm requires earlier action.</t>
        </is>
      </c>
      <c r="Q185" s="38" t="inlineStr">
        <is>
          <t>A dated verification record, the supporting example, an updated answer and any remaining action. No automatic compliance conclusion.</t>
        </is>
      </c>
      <c r="R185" s="38" t="inlineStr">
        <is>
          <t>A successful retrieval test, secure access arrangements and a record owner.</t>
        </is>
      </c>
      <c r="S185" s="38" t="inlineStr">
        <is>
          <t>System changes, administrator absence or a failed recovery test.</t>
        </is>
      </c>
      <c r="T185" s="38" t="inlineStr">
        <is>
          <t>Payroll / systems lead</t>
        </is>
      </c>
      <c r="U185" s="38" t="inlineStr">
        <is>
          <t>Employment-record process review and coordination with privacy/cyber specialists where necessary.</t>
        </is>
      </c>
      <c r="V185" s="38" t="inlineStr">
        <is>
          <t>INFORMATION</t>
        </is>
      </c>
      <c r="W185" s="38" t="inlineStr">
        <is>
          <t>A_DAT03</t>
        </is>
      </c>
      <c r="X185" s="38" t="inlineStr">
        <is>
          <t>S14;S15;DESIGN</t>
        </is>
      </c>
      <c r="Y185" s="38" t="inlineStr">
        <is>
          <t>https://www.fairwork.gov.au/tools-and-resources/fact-sheets/rights-and-obligations/record-keeping-pay-slips
https://www.oaic.gov.au/privacy/privacy-guidance-for-organisations-and-government-agencies/organisations/employee-records-exemption</t>
        </is>
      </c>
      <c r="Z185" s="38" t="inlineStr">
        <is>
          <t>Sharing passwords or assuming a supplier will provide a usable export immediately.</t>
        </is>
      </c>
    </row>
    <row r="186" ht="61" customHeight="1">
      <c r="A186" s="37" t="inlineStr">
        <is>
          <t>EXT01_0</t>
        </is>
      </c>
      <c r="B186" s="37" t="inlineStr">
        <is>
          <t>EXT01</t>
        </is>
      </c>
      <c r="C186" s="48" t="n">
        <v>0</v>
      </c>
      <c r="D186" s="37" t="inlineStr">
        <is>
          <t>The decision may be made without checking the applicable obligations.</t>
        </is>
      </c>
      <c r="E186" s="37" t="inlineStr">
        <is>
          <t>Review the decision before it becomes irreversible</t>
        </is>
      </c>
      <c r="F186" s="37" t="inlineStr">
        <is>
          <t>The selected response reports a missing or unestablished element. Confirm the affected arrangements before drawing a conclusion about any actual breach or harm.</t>
        </is>
      </c>
      <c r="G186" s="37" t="inlineStr">
        <is>
          <t>A decision can be difficult to reverse once communicated. A probation clause or notice payment does not resolve every legal protection or process requirement.</t>
        </is>
      </c>
      <c r="H186" s="37" t="inlineStr">
        <is>
          <t>Employment-ending decisions</t>
        </is>
      </c>
      <c r="I186" s="48" t="n">
        <v>3</v>
      </c>
      <c r="J186" s="48" t="n">
        <v>3</v>
      </c>
      <c r="K186" s="48" t="n">
        <v>3</v>
      </c>
      <c r="L186" s="37" t="inlineStr">
        <is>
          <t>High provisional concern: an essential element remains unresolved. A decision can be difficult to reverse once communicated. A probation clause or notice payment does not resolve every legal protection or process requirement.</t>
        </is>
      </c>
      <c r="M186" s="37" t="inlineStr">
        <is>
          <t>Use a pre-decision review covering the reason, evidence, employee response, protected circumstances, alternatives and required procedure. Obtain advice for a live high-risk matter.</t>
        </is>
      </c>
      <c r="N186" s="37" t="inlineStr">
        <is>
          <t>Check the reason, relevant facts, response opportunity, protected circumstances and available alternatives before approving the decision.</t>
        </is>
      </c>
      <c r="O186" s="37" t="inlineStr">
        <is>
          <t>Have an appropriate reviewer test the reasoning and required process before communication, particularly for a live or contested matter.</t>
        </is>
      </c>
      <c r="P186" s="37" t="inlineStr">
        <is>
          <t>Review or verify within two business days and before the next affected event if earlier. Do not wait where a duty or current harm requires earlier action.</t>
        </is>
      </c>
      <c r="Q186" s="37" t="inlineStr">
        <is>
          <t>A dated decision record with the applicable checks and approvals, prepared before the decision is communicated. Confirm that the change works in practice, not only that a document exists.</t>
        </is>
      </c>
      <c r="R186" s="37" t="inlineStr">
        <is>
          <t>A dated decision record with the applicable checks and approvals, prepared before the decision is communicated.</t>
        </is>
      </c>
      <c r="S186" s="37" t="inlineStr">
        <is>
          <t>Any proposed employer-initiated termination or disputed exit.</t>
        </is>
      </c>
      <c r="T186" s="37" t="inlineStr">
        <is>
          <t>Owner / HR lead</t>
        </is>
      </c>
      <c r="U186" s="37" t="inlineStr">
        <is>
          <t>Pre-decision HR review, final-pay coordination and legal referral where the matter requires it.</t>
        </is>
      </c>
      <c r="V186" s="37" t="inlineStr">
        <is>
          <t>FAIR_DECISIONS</t>
        </is>
      </c>
      <c r="W186" s="37" t="inlineStr">
        <is>
          <t>A_EXT01</t>
        </is>
      </c>
      <c r="X186" s="37" t="inlineStr">
        <is>
          <t>S02;S26;DESIGN</t>
        </is>
      </c>
      <c r="Y186" s="37" t="inlineStr">
        <is>
          <t>https://www.fairwork.gov.au/taxonomy/term/527
https://www.fairwork.gov.au/tools-and-resources/fact-sheets/minimum-workplace-entitlements/ending-employment</t>
        </is>
      </c>
      <c r="Z186" s="37" t="inlineStr">
        <is>
          <t>Choosing the exit outcome first and assembling the justification afterwards.</t>
        </is>
      </c>
    </row>
    <row r="187" ht="61" customHeight="1">
      <c r="A187" s="38" t="inlineStr">
        <is>
          <t>EXT01_1</t>
        </is>
      </c>
      <c r="B187" s="38" t="inlineStr">
        <is>
          <t>EXT01</t>
        </is>
      </c>
      <c r="C187" s="49" t="n">
        <v>1</v>
      </c>
      <c r="D187" s="38" t="inlineStr">
        <is>
          <t>We rely on assumptions about probation, small-business rules or the contract.</t>
        </is>
      </c>
      <c r="E187" s="38" t="inlineStr">
        <is>
          <t>Review the decision before it becomes irreversible</t>
        </is>
      </c>
      <c r="F187" s="38" t="inlineStr">
        <is>
          <t>The selected response relies on assumptions, informal decisions or an inconsistent process. The action is to make the relevant check reliable in routine work.</t>
        </is>
      </c>
      <c r="G187" s="38" t="inlineStr">
        <is>
          <t>A decision can be difficult to reverse once communicated. A probation clause or notice payment does not resolve every legal protection or process requirement.</t>
        </is>
      </c>
      <c r="H187" s="38" t="inlineStr">
        <is>
          <t>Employment-ending decisions</t>
        </is>
      </c>
      <c r="I187" s="49" t="n">
        <v>3</v>
      </c>
      <c r="J187" s="49" t="n">
        <v>3</v>
      </c>
      <c r="K187" s="49" t="n">
        <v>3</v>
      </c>
      <c r="L187" s="38" t="inlineStr">
        <is>
          <t>High provisional concern: an essential element remains unresolved. A decision can be difficult to reverse once communicated. A probation clause or notice payment does not resolve every legal protection or process requirement.</t>
        </is>
      </c>
      <c r="M187" s="38" t="inlineStr">
        <is>
          <t>Replace the assumption with a current check. Use a pre-decision review covering the reason, evidence, employee response, protected circumstances, alternatives and required procedure. Obtain advice for a live high-risk matter.</t>
        </is>
      </c>
      <c r="N187" s="38" t="inlineStr">
        <is>
          <t>Check the reason, relevant facts, response opportunity, protected circumstances and available alternatives before approving the decision.</t>
        </is>
      </c>
      <c r="O187" s="38" t="inlineStr">
        <is>
          <t>Have an appropriate reviewer test the reasoning and required process before communication, particularly for a live or contested matter.</t>
        </is>
      </c>
      <c r="P187" s="38" t="inlineStr">
        <is>
          <t>Review or verify within two business days and before the next affected event if earlier. Do not wait where a duty or current harm requires earlier action.</t>
        </is>
      </c>
      <c r="Q187" s="38" t="inlineStr">
        <is>
          <t>A dated decision record with the applicable checks and approvals, prepared before the decision is communicated. Confirm that the change works in practice, not only that a document exists.</t>
        </is>
      </c>
      <c r="R187" s="38" t="inlineStr">
        <is>
          <t>A dated decision record with the applicable checks and approvals, prepared before the decision is communicated.</t>
        </is>
      </c>
      <c r="S187" s="38" t="inlineStr">
        <is>
          <t>Any proposed employer-initiated termination or disputed exit.</t>
        </is>
      </c>
      <c r="T187" s="38" t="inlineStr">
        <is>
          <t>Owner / HR lead</t>
        </is>
      </c>
      <c r="U187" s="38" t="inlineStr">
        <is>
          <t>Pre-decision HR review, final-pay coordination and legal referral where the matter requires it.</t>
        </is>
      </c>
      <c r="V187" s="38" t="inlineStr">
        <is>
          <t>FAIR_DECISIONS</t>
        </is>
      </c>
      <c r="W187" s="38" t="inlineStr">
        <is>
          <t>A_EXT01</t>
        </is>
      </c>
      <c r="X187" s="38" t="inlineStr">
        <is>
          <t>S02;S26;DESIGN</t>
        </is>
      </c>
      <c r="Y187" s="38" t="inlineStr">
        <is>
          <t>https://www.fairwork.gov.au/taxonomy/term/527
https://www.fairwork.gov.au/tools-and-resources/fact-sheets/minimum-workplace-entitlements/ending-employment</t>
        </is>
      </c>
      <c r="Z187" s="38" t="inlineStr">
        <is>
          <t>Choosing the exit outcome first and assembling the justification afterwards.</t>
        </is>
      </c>
    </row>
    <row r="188" ht="61" customHeight="1">
      <c r="A188" s="37" t="inlineStr">
        <is>
          <t>EXT01_2</t>
        </is>
      </c>
      <c r="B188" s="37" t="inlineStr">
        <is>
          <t>EXT01</t>
        </is>
      </c>
      <c r="C188" s="48" t="n">
        <v>2</v>
      </c>
      <c r="D188" s="37" t="inlineStr">
        <is>
          <t>We check some requirements, but the reason, employee response or protected circumstances may be missed.</t>
        </is>
      </c>
      <c r="E188" s="37" t="inlineStr">
        <is>
          <t>Complete the remaining check: review the decision before it becomes irreversible</t>
        </is>
      </c>
      <c r="F188" s="37" t="inlineStr">
        <is>
          <t>The selected response identifies an incomplete element within an existing practice. Keep what works and target the unresolved part; the stronger elements do not cancel the gap.</t>
        </is>
      </c>
      <c r="G188" s="37" t="inlineStr">
        <is>
          <t>A decision can be difficult to reverse once communicated. A probation clause or notice payment does not resolve every legal protection or process requirement.</t>
        </is>
      </c>
      <c r="H188" s="37" t="inlineStr">
        <is>
          <t>Employment-ending decisions</t>
        </is>
      </c>
      <c r="I188" s="48" t="n">
        <v>3</v>
      </c>
      <c r="J188" s="48" t="n">
        <v>3</v>
      </c>
      <c r="K188" s="48" t="n">
        <v>3</v>
      </c>
      <c r="L188" s="37" t="inlineStr">
        <is>
          <t>High provisional concern: an essential element remains unresolved. A decision can be difficult to reverse once communicated. A probation clause or notice payment does not resolve every legal protection or process requirement.</t>
        </is>
      </c>
      <c r="M188" s="37" t="inlineStr">
        <is>
          <t>Focus on the unresolved arrangements or exceptions. Use a pre-decision review covering the reason, evidence, employee response, protected circumstances, alternatives and required procedure. Obtain advice for a live high-risk matter.</t>
        </is>
      </c>
      <c r="N188" s="37" t="inlineStr">
        <is>
          <t>Check the reason, relevant facts, response opportunity, protected circumstances and available alternatives before approving the decision.</t>
        </is>
      </c>
      <c r="O188" s="37" t="inlineStr">
        <is>
          <t>Have an appropriate reviewer test the reasoning and required process before communication, particularly for a live or contested matter.</t>
        </is>
      </c>
      <c r="P188" s="37" t="inlineStr">
        <is>
          <t>Review or verify within two business days and before the next affected event if earlier. Do not wait where a duty or current harm requires earlier action.</t>
        </is>
      </c>
      <c r="Q188" s="37" t="inlineStr">
        <is>
          <t>A dated decision record with the applicable checks and approvals, prepared before the decision is communicated. Confirm that the change works in practice, not only that a document exists.</t>
        </is>
      </c>
      <c r="R188" s="37" t="inlineStr">
        <is>
          <t>A dated decision record with the applicable checks and approvals, prepared before the decision is communicated.</t>
        </is>
      </c>
      <c r="S188" s="37" t="inlineStr">
        <is>
          <t>Any proposed employer-initiated termination or disputed exit.</t>
        </is>
      </c>
      <c r="T188" s="37" t="inlineStr">
        <is>
          <t>Owner / HR lead</t>
        </is>
      </c>
      <c r="U188" s="37" t="inlineStr">
        <is>
          <t>Pre-decision HR review, final-pay coordination and legal referral where the matter requires it.</t>
        </is>
      </c>
      <c r="V188" s="37" t="inlineStr">
        <is>
          <t>FAIR_DECISIONS</t>
        </is>
      </c>
      <c r="W188" s="37" t="inlineStr">
        <is>
          <t>A_EXT01</t>
        </is>
      </c>
      <c r="X188" s="37" t="inlineStr">
        <is>
          <t>S02;S26;DESIGN</t>
        </is>
      </c>
      <c r="Y188" s="37" t="inlineStr">
        <is>
          <t>https://www.fairwork.gov.au/taxonomy/term/527
https://www.fairwork.gov.au/tools-and-resources/fact-sheets/minimum-workplace-entitlements/ending-employment</t>
        </is>
      </c>
      <c r="Z188" s="37" t="inlineStr">
        <is>
          <t>Choosing the exit outcome first and assembling the justification afterwards.</t>
        </is>
      </c>
    </row>
    <row r="189" ht="61" customHeight="1">
      <c r="A189" s="38" t="inlineStr">
        <is>
          <t>EXT01_3</t>
        </is>
      </c>
      <c r="B189" s="38" t="inlineStr">
        <is>
          <t>EXT01</t>
        </is>
      </c>
      <c r="C189" s="49" t="n">
        <v>3</v>
      </c>
      <c r="D189" s="38" t="inlineStr">
        <is>
          <t>We check the facts, lawful basis, relevant protections and required process, with appropriate advice before a high-risk decision.</t>
        </is>
      </c>
      <c r="E189" s="38" t="inlineStr">
        <is>
          <t>Maintain and test: review the decision before it becomes irreversible</t>
        </is>
      </c>
      <c r="F189" s="38" t="inlineStr">
        <is>
          <t>The selected response reports an established and checked practice. The tool has not inspected the evidence and cannot certify the absence of risk.</t>
        </is>
      </c>
      <c r="G189" s="38" t="inlineStr">
        <is>
          <t>A decision can be difficult to reverse once communicated. A probation clause or notice payment does not resolve every legal protection or process requirement.</t>
        </is>
      </c>
      <c r="H189" s="38" t="inlineStr">
        <is>
          <t>Employment-ending decisions</t>
        </is>
      </c>
      <c r="I189" s="49" t="n">
        <v>3</v>
      </c>
      <c r="J189" s="49" t="n">
        <v>1</v>
      </c>
      <c r="K189" s="49" t="n">
        <v>1</v>
      </c>
      <c r="L189" s="38" t="inlineStr">
        <is>
          <t>Lower reported concern, not a finding of no risk. The assumed controls are self-reported; a current incident, contrary evidence or failed control takes precedence.</t>
        </is>
      </c>
      <c r="M189" s="38" t="inlineStr">
        <is>
          <t>Maintain the practice described. At the next relevant review, have an appropriate reviewer test the reasoning and required process before communication, particularly for a live or contested matter.</t>
        </is>
      </c>
      <c r="N189" s="38" t="inlineStr">
        <is>
          <t>Check whether changes in work, people or applicable requirements have made the original process less reliable.</t>
        </is>
      </c>
      <c r="O189" s="38" t="inlineStr">
        <is>
          <t>Retain the review outcome and act on any new exception. An unresolved live issue overrides this maintenance pathway.</t>
        </is>
      </c>
      <c r="P189" s="38" t="inlineStr">
        <is>
          <t>Maintain at the stated trigger; for a new low-priority improvement, plan within 90 days.</t>
        </is>
      </c>
      <c r="Q189" s="38" t="inlineStr">
        <is>
          <t>A current example of the practice and a proportionate recheck record. A dated decision record with the applicable checks and approvals, prepared before the decision is communicated.</t>
        </is>
      </c>
      <c r="R189" s="38" t="inlineStr">
        <is>
          <t>A dated decision record with the applicable checks and approvals, prepared before the decision is communicated.</t>
        </is>
      </c>
      <c r="S189" s="38" t="inlineStr">
        <is>
          <t>Any proposed employer-initiated termination or disputed exit.</t>
        </is>
      </c>
      <c r="T189" s="38" t="inlineStr">
        <is>
          <t>Owner / HR lead</t>
        </is>
      </c>
      <c r="U189" s="38" t="inlineStr">
        <is>
          <t>No further purchase is implied by this result. Seek support only for a material change, unresolved exception or chosen improvement.</t>
        </is>
      </c>
      <c r="V189" s="38" t="inlineStr">
        <is>
          <t>FAIR_DECISIONS</t>
        </is>
      </c>
      <c r="W189" s="38" t="inlineStr">
        <is>
          <t>A_EXT01</t>
        </is>
      </c>
      <c r="X189" s="38" t="inlineStr">
        <is>
          <t>S02;S26;DESIGN</t>
        </is>
      </c>
      <c r="Y189" s="38" t="inlineStr">
        <is>
          <t>https://www.fairwork.gov.au/taxonomy/term/527
https://www.fairwork.gov.au/tools-and-resources/fact-sheets/minimum-workplace-entitlements/ending-employment</t>
        </is>
      </c>
      <c r="Z189" s="38" t="inlineStr">
        <is>
          <t>Choosing the exit outcome first and assembling the justification afterwards.</t>
        </is>
      </c>
    </row>
    <row r="190" ht="61" customHeight="1">
      <c r="A190" s="37" t="inlineStr">
        <is>
          <t>EXT01_DK</t>
        </is>
      </c>
      <c r="B190" s="37" t="inlineStr">
        <is>
          <t>EXT01</t>
        </is>
      </c>
      <c r="C190" s="37" t="inlineStr">
        <is>
          <t>DK</t>
        </is>
      </c>
      <c r="D190" s="37" t="inlineStr">
        <is>
          <t>I need to confirm this.</t>
        </is>
      </c>
      <c r="E190" s="37" t="inlineStr">
        <is>
          <t>Verify: review the decision before it becomes irreversible</t>
        </is>
      </c>
      <c r="F190" s="37" t="inlineStr">
        <is>
          <t>This answer identifies a knowledge gap. It does not establish that the practice is missing, that harm has occurred or that a legal duty has been breached.</t>
        </is>
      </c>
      <c r="G190" s="37" t="inlineStr">
        <is>
          <t>A decision can be difficult to reverse once communicated. A probation clause or notice payment does not resolve every legal protection or process requirement.</t>
        </is>
      </c>
      <c r="H190" s="37" t="inlineStr">
        <is>
          <t>Employment-ending decisions</t>
        </is>
      </c>
      <c r="I190" s="48" t="n">
        <v>3</v>
      </c>
      <c r="J190" s="48" t="n">
        <v>0</v>
      </c>
      <c r="K190" s="48" t="n">
        <v>3</v>
      </c>
      <c r="L190" s="37" t="inlineStr">
        <is>
          <t>The risk is not rated from an unknown answer. Verification is High priority because: A decision can be difficult to reverse once communicated. A probation clause or notice payment does not resolve every legal protection or process requirement.</t>
        </is>
      </c>
      <c r="M190" s="37" t="inlineStr">
        <is>
          <t>Ask the owner / hr lead to show a current example of the process and the evidence listed below. Confirm the answer before deciding what must be repaired.</t>
        </is>
      </c>
      <c r="N190" s="37" t="inlineStr">
        <is>
          <t>Compare the example with the established-practice description: We check the facts, lawful basis, relevant protections and required process, with appropriate advice before a high-risk decision.</t>
        </is>
      </c>
      <c r="O190" s="37" t="inlineStr">
        <is>
          <t>Record what was checked, by whom and when. If it remains unclear, keep the verification task open and agree any proportionate interim safeguard.</t>
        </is>
      </c>
      <c r="P190" s="37" t="inlineStr">
        <is>
          <t>Review or verify within two business days and before the next affected event if earlier. Do not wait where a duty or current harm requires earlier action.</t>
        </is>
      </c>
      <c r="Q190" s="37" t="inlineStr">
        <is>
          <t>A dated verification record, the supporting example, an updated answer and any remaining action. No automatic compliance conclusion.</t>
        </is>
      </c>
      <c r="R190" s="37" t="inlineStr">
        <is>
          <t>A dated decision record with the applicable checks and approvals, prepared before the decision is communicated.</t>
        </is>
      </c>
      <c r="S190" s="37" t="inlineStr">
        <is>
          <t>Any proposed employer-initiated termination or disputed exit.</t>
        </is>
      </c>
      <c r="T190" s="37" t="inlineStr">
        <is>
          <t>Owner / HR lead</t>
        </is>
      </c>
      <c r="U190" s="37" t="inlineStr">
        <is>
          <t>Pre-decision HR review, final-pay coordination and legal referral where the matter requires it.</t>
        </is>
      </c>
      <c r="V190" s="37" t="inlineStr">
        <is>
          <t>FAIR_DECISIONS</t>
        </is>
      </c>
      <c r="W190" s="37" t="inlineStr">
        <is>
          <t>A_EXT01</t>
        </is>
      </c>
      <c r="X190" s="37" t="inlineStr">
        <is>
          <t>S02;S26;DESIGN</t>
        </is>
      </c>
      <c r="Y190" s="37" t="inlineStr">
        <is>
          <t>https://www.fairwork.gov.au/taxonomy/term/527
https://www.fairwork.gov.au/tools-and-resources/fact-sheets/minimum-workplace-entitlements/ending-employment</t>
        </is>
      </c>
      <c r="Z190" s="37" t="inlineStr">
        <is>
          <t>Choosing the exit outcome first and assembling the justification afterwards.</t>
        </is>
      </c>
    </row>
    <row r="191" ht="106" customHeight="1">
      <c r="A191" s="38" t="inlineStr">
        <is>
          <t>EXT02_0</t>
        </is>
      </c>
      <c r="B191" s="38" t="inlineStr">
        <is>
          <t>EXT02</t>
        </is>
      </c>
      <c r="C191" s="49" t="n">
        <v>0</v>
      </c>
      <c r="D191" s="38" t="inlineStr">
        <is>
          <t>Final payments are processed without a specific exit check.</t>
        </is>
      </c>
      <c r="E191" s="38" t="inlineStr">
        <is>
          <t>Check final pay as a separate transaction</t>
        </is>
      </c>
      <c r="F191" s="38" t="inlineStr">
        <is>
          <t>The selected response reports a missing or unestablished element. Confirm the affected arrangements before drawing a conclusion about any actual breach or harm.</t>
        </is>
      </c>
      <c r="G191" s="38" t="inlineStr">
        <is>
          <t>Final pay can include rules and entitlements that do not appear in ordinary payroll and should be checked as a separate transaction.</t>
        </is>
      </c>
      <c r="H191" s="38" t="inlineStr">
        <is>
          <t>Final pay and entitlements</t>
        </is>
      </c>
      <c r="I191" s="49" t="n">
        <v>3</v>
      </c>
      <c r="J191" s="49" t="n">
        <v>3</v>
      </c>
      <c r="K191" s="49" t="n">
        <v>3</v>
      </c>
      <c r="L191" s="38" t="inlineStr">
        <is>
          <t>High provisional concern: an essential element remains unresolved. Final pay can include rules and entitlements that do not appear in ordinary payroll and should be checked as a separate transaction.</t>
        </is>
      </c>
      <c r="M191" s="38" t="inlineStr">
        <is>
          <t>Use an exit payment checklist and independently review unusual notice, leave, redundancy or deduction items before processing.</t>
        </is>
      </c>
      <c r="N191" s="38" t="inlineStr">
        <is>
          <t>Reconcile notice, leave, redundancy where relevant, deductions and timing against the actual exit circumstances.</t>
        </is>
      </c>
      <c r="O191" s="38" t="inlineStr">
        <is>
          <t>Retain the calculation, appropriate review and payment record; check that employment documentation matches the decision.</t>
        </is>
      </c>
      <c r="P191" s="38" t="inlineStr">
        <is>
          <t>Review or verify within two business days and before the next affected event if earlier. Do not wait where a duty or current harm requires earlier action.</t>
        </is>
      </c>
      <c r="Q191" s="38" t="inlineStr">
        <is>
          <t>A completed final-pay calculation and review, with written employment documentation. Confirm that the change works in practice, not only that a document exists.</t>
        </is>
      </c>
      <c r="R191" s="38" t="inlineStr">
        <is>
          <t>A completed final-pay calculation and review, with written employment documentation.</t>
        </is>
      </c>
      <c r="S191" s="38" t="inlineStr">
        <is>
          <t>Every departure and any unusual exit payment.</t>
        </is>
      </c>
      <c r="T191" s="38" t="inlineStr">
        <is>
          <t>Owner / HR lead</t>
        </is>
      </c>
      <c r="U191" s="38" t="inlineStr">
        <is>
          <t>Pre-decision HR review, final-pay coordination and legal referral where the matter requires it.</t>
        </is>
      </c>
      <c r="V191" s="38" t="inlineStr">
        <is>
          <t>EXIT</t>
        </is>
      </c>
      <c r="W191" s="38" t="inlineStr">
        <is>
          <t>A_EXT02</t>
        </is>
      </c>
      <c r="X191" s="38" t="inlineStr">
        <is>
          <t>S26;S08;S14;DESIGN</t>
        </is>
      </c>
      <c r="Y191" s="38" t="inlineStr">
        <is>
          <t>https://www.fairwork.gov.au/tools-and-resources/fact-sheets/minimum-workplace-entitlements/ending-employment
https://www.fairwork.gov.au/pay-and-wages/deductions-and-related-issues/deducting-pay
https://www.fairwork.gov.au/tools-and-resources/fact-sheets/rights-and-obligations/record-keeping-pay-slips</t>
        </is>
      </c>
      <c r="Z191" s="38" t="inlineStr">
        <is>
          <t>Holding back final pay because equipment has not been returned without checking the lawful basis.</t>
        </is>
      </c>
    </row>
    <row r="192" ht="106" customHeight="1">
      <c r="A192" s="37" t="inlineStr">
        <is>
          <t>EXT02_1</t>
        </is>
      </c>
      <c r="B192" s="37" t="inlineStr">
        <is>
          <t>EXT02</t>
        </is>
      </c>
      <c r="C192" s="48" t="n">
        <v>1</v>
      </c>
      <c r="D192" s="37" t="inlineStr">
        <is>
          <t>We rely on payroll defaults or the manager's instructions.</t>
        </is>
      </c>
      <c r="E192" s="37" t="inlineStr">
        <is>
          <t>Check final pay as a separate transaction</t>
        </is>
      </c>
      <c r="F192" s="37" t="inlineStr">
        <is>
          <t>The selected response relies on assumptions, informal decisions or an inconsistent process. The action is to make the relevant check reliable in routine work.</t>
        </is>
      </c>
      <c r="G192" s="37" t="inlineStr">
        <is>
          <t>Final pay can include rules and entitlements that do not appear in ordinary payroll and should be checked as a separate transaction.</t>
        </is>
      </c>
      <c r="H192" s="37" t="inlineStr">
        <is>
          <t>Final pay and entitlements</t>
        </is>
      </c>
      <c r="I192" s="48" t="n">
        <v>3</v>
      </c>
      <c r="J192" s="48" t="n">
        <v>3</v>
      </c>
      <c r="K192" s="48" t="n">
        <v>3</v>
      </c>
      <c r="L192" s="37" t="inlineStr">
        <is>
          <t>High provisional concern: an essential element remains unresolved. Final pay can include rules and entitlements that do not appear in ordinary payroll and should be checked as a separate transaction.</t>
        </is>
      </c>
      <c r="M192" s="37" t="inlineStr">
        <is>
          <t>Replace the assumption with a current check. Use an exit payment checklist and independently review unusual notice, leave, redundancy or deduction items before processing.</t>
        </is>
      </c>
      <c r="N192" s="37" t="inlineStr">
        <is>
          <t>Reconcile notice, leave, redundancy where relevant, deductions and timing against the actual exit circumstances.</t>
        </is>
      </c>
      <c r="O192" s="37" t="inlineStr">
        <is>
          <t>Retain the calculation, appropriate review and payment record; check that employment documentation matches the decision.</t>
        </is>
      </c>
      <c r="P192" s="37" t="inlineStr">
        <is>
          <t>Review or verify within two business days and before the next affected event if earlier. Do not wait where a duty or current harm requires earlier action.</t>
        </is>
      </c>
      <c r="Q192" s="37" t="inlineStr">
        <is>
          <t>A completed final-pay calculation and review, with written employment documentation. Confirm that the change works in practice, not only that a document exists.</t>
        </is>
      </c>
      <c r="R192" s="37" t="inlineStr">
        <is>
          <t>A completed final-pay calculation and review, with written employment documentation.</t>
        </is>
      </c>
      <c r="S192" s="37" t="inlineStr">
        <is>
          <t>Every departure and any unusual exit payment.</t>
        </is>
      </c>
      <c r="T192" s="37" t="inlineStr">
        <is>
          <t>Owner / HR lead</t>
        </is>
      </c>
      <c r="U192" s="37" t="inlineStr">
        <is>
          <t>Pre-decision HR review, final-pay coordination and legal referral where the matter requires it.</t>
        </is>
      </c>
      <c r="V192" s="37" t="inlineStr">
        <is>
          <t>EXIT</t>
        </is>
      </c>
      <c r="W192" s="37" t="inlineStr">
        <is>
          <t>A_EXT02</t>
        </is>
      </c>
      <c r="X192" s="37" t="inlineStr">
        <is>
          <t>S26;S08;S14;DESIGN</t>
        </is>
      </c>
      <c r="Y192" s="37" t="inlineStr">
        <is>
          <t>https://www.fairwork.gov.au/tools-and-resources/fact-sheets/minimum-workplace-entitlements/ending-employment
https://www.fairwork.gov.au/pay-and-wages/deductions-and-related-issues/deducting-pay
https://www.fairwork.gov.au/tools-and-resources/fact-sheets/rights-and-obligations/record-keeping-pay-slips</t>
        </is>
      </c>
      <c r="Z192" s="37" t="inlineStr">
        <is>
          <t>Holding back final pay because equipment has not been returned without checking the lawful basis.</t>
        </is>
      </c>
    </row>
    <row r="193" ht="106" customHeight="1">
      <c r="A193" s="38" t="inlineStr">
        <is>
          <t>EXT02_2</t>
        </is>
      </c>
      <c r="B193" s="38" t="inlineStr">
        <is>
          <t>EXT02</t>
        </is>
      </c>
      <c r="C193" s="49" t="n">
        <v>2</v>
      </c>
      <c r="D193" s="38" t="inlineStr">
        <is>
          <t>Most items are checked, but timing, unusual entitlements or deductions can be missed.</t>
        </is>
      </c>
      <c r="E193" s="38" t="inlineStr">
        <is>
          <t>Complete the remaining check: check final pay as a separate transaction</t>
        </is>
      </c>
      <c r="F193" s="38" t="inlineStr">
        <is>
          <t>The selected response identifies an incomplete element within an existing practice. Keep what works and target the unresolved part; the stronger elements do not cancel the gap.</t>
        </is>
      </c>
      <c r="G193" s="38" t="inlineStr">
        <is>
          <t>Final pay can include rules and entitlements that do not appear in ordinary payroll and should be checked as a separate transaction.</t>
        </is>
      </c>
      <c r="H193" s="38" t="inlineStr">
        <is>
          <t>Final pay and entitlements</t>
        </is>
      </c>
      <c r="I193" s="49" t="n">
        <v>3</v>
      </c>
      <c r="J193" s="49" t="n">
        <v>2</v>
      </c>
      <c r="K193" s="49" t="n">
        <v>2</v>
      </c>
      <c r="L193" s="38" t="inlineStr">
        <is>
          <t>Medium provisional concern: a material practice needs improvement. Final pay can include rules and entitlements that do not appear in ordinary payroll and should be checked as a separate transaction.</t>
        </is>
      </c>
      <c r="M193" s="38" t="inlineStr">
        <is>
          <t>Focus on the unresolved arrangements or exceptions. Use an exit payment checklist and independently review unusual notice, leave, redundancy or deduction items before processing.</t>
        </is>
      </c>
      <c r="N193" s="38" t="inlineStr">
        <is>
          <t>Reconcile notice, leave, redundancy where relevant, deductions and timing against the actual exit circumstances.</t>
        </is>
      </c>
      <c r="O193" s="38" t="inlineStr">
        <is>
          <t>Retain the calculation, appropriate review and payment record; check that employment documentation matches the decision.</t>
        </is>
      </c>
      <c r="P193" s="38" t="inlineStr">
        <is>
          <t>Agree an owner and plan within 30 days, or before the next affected event if earlier.</t>
        </is>
      </c>
      <c r="Q193" s="38" t="inlineStr">
        <is>
          <t>A completed final-pay calculation and review, with written employment documentation. Confirm that the change works in practice, not only that a document exists.</t>
        </is>
      </c>
      <c r="R193" s="38" t="inlineStr">
        <is>
          <t>A completed final-pay calculation and review, with written employment documentation.</t>
        </is>
      </c>
      <c r="S193" s="38" t="inlineStr">
        <is>
          <t>Every departure and any unusual exit payment.</t>
        </is>
      </c>
      <c r="T193" s="38" t="inlineStr">
        <is>
          <t>Owner / HR lead</t>
        </is>
      </c>
      <c r="U193" s="38" t="inlineStr">
        <is>
          <t>Pre-decision HR review, final-pay coordination and legal referral where the matter requires it.</t>
        </is>
      </c>
      <c r="V193" s="38" t="inlineStr">
        <is>
          <t>EXIT</t>
        </is>
      </c>
      <c r="W193" s="38" t="inlineStr">
        <is>
          <t>A_EXT02</t>
        </is>
      </c>
      <c r="X193" s="38" t="inlineStr">
        <is>
          <t>S26;S08;S14;DESIGN</t>
        </is>
      </c>
      <c r="Y193" s="38" t="inlineStr">
        <is>
          <t>https://www.fairwork.gov.au/tools-and-resources/fact-sheets/minimum-workplace-entitlements/ending-employment
https://www.fairwork.gov.au/pay-and-wages/deductions-and-related-issues/deducting-pay
https://www.fairwork.gov.au/tools-and-resources/fact-sheets/rights-and-obligations/record-keeping-pay-slips</t>
        </is>
      </c>
      <c r="Z193" s="38" t="inlineStr">
        <is>
          <t>Holding back final pay because equipment has not been returned without checking the lawful basis.</t>
        </is>
      </c>
    </row>
    <row r="194" ht="106" customHeight="1">
      <c r="A194" s="37" t="inlineStr">
        <is>
          <t>EXT02_3</t>
        </is>
      </c>
      <c r="B194" s="37" t="inlineStr">
        <is>
          <t>EXT02</t>
        </is>
      </c>
      <c r="C194" s="48" t="n">
        <v>3</v>
      </c>
      <c r="D194" s="37" t="inlineStr">
        <is>
          <t>We check the reason for exit, relevant entitlements, payment timing and documentation, and resolve exceptions before payment.</t>
        </is>
      </c>
      <c r="E194" s="37" t="inlineStr">
        <is>
          <t>Maintain and test: check final pay as a separate transaction</t>
        </is>
      </c>
      <c r="F194" s="37" t="inlineStr">
        <is>
          <t>The selected response reports an established and checked practice. The tool has not inspected the evidence and cannot certify the absence of risk.</t>
        </is>
      </c>
      <c r="G194" s="37" t="inlineStr">
        <is>
          <t>Final pay can include rules and entitlements that do not appear in ordinary payroll and should be checked as a separate transaction.</t>
        </is>
      </c>
      <c r="H194" s="37" t="inlineStr">
        <is>
          <t>Final pay and entitlements</t>
        </is>
      </c>
      <c r="I194" s="48" t="n">
        <v>3</v>
      </c>
      <c r="J194" s="48" t="n">
        <v>1</v>
      </c>
      <c r="K194" s="48" t="n">
        <v>1</v>
      </c>
      <c r="L194" s="37" t="inlineStr">
        <is>
          <t>Lower reported concern, not a finding of no risk. The assumed controls are self-reported; a current incident, contrary evidence or failed control takes precedence.</t>
        </is>
      </c>
      <c r="M194" s="37" t="inlineStr">
        <is>
          <t>Maintain the practice described. At the next relevant review, retain the calculation, appropriate review and payment record; check that employment documentation matches the decision.</t>
        </is>
      </c>
      <c r="N194" s="37" t="inlineStr">
        <is>
          <t>Check whether changes in work, people or applicable requirements have made the original process less reliable.</t>
        </is>
      </c>
      <c r="O194" s="37" t="inlineStr">
        <is>
          <t>Retain the review outcome and act on any new exception. An unresolved live issue overrides this maintenance pathway.</t>
        </is>
      </c>
      <c r="P194" s="37" t="inlineStr">
        <is>
          <t>Maintain at the stated trigger; for a new low-priority improvement, plan within 90 days.</t>
        </is>
      </c>
      <c r="Q194" s="37" t="inlineStr">
        <is>
          <t>A current example of the practice and a proportionate recheck record. A completed final-pay calculation and review, with written employment documentation.</t>
        </is>
      </c>
      <c r="R194" s="37" t="inlineStr">
        <is>
          <t>A completed final-pay calculation and review, with written employment documentation.</t>
        </is>
      </c>
      <c r="S194" s="37" t="inlineStr">
        <is>
          <t>Every departure and any unusual exit payment.</t>
        </is>
      </c>
      <c r="T194" s="37" t="inlineStr">
        <is>
          <t>Owner / HR lead</t>
        </is>
      </c>
      <c r="U194" s="37" t="inlineStr">
        <is>
          <t>No further purchase is implied by this result. Seek support only for a material change, unresolved exception or chosen improvement.</t>
        </is>
      </c>
      <c r="V194" s="37" t="inlineStr">
        <is>
          <t>EXIT</t>
        </is>
      </c>
      <c r="W194" s="37" t="inlineStr">
        <is>
          <t>A_EXT02</t>
        </is>
      </c>
      <c r="X194" s="37" t="inlineStr">
        <is>
          <t>S26;S08;S14;DESIGN</t>
        </is>
      </c>
      <c r="Y194" s="37" t="inlineStr">
        <is>
          <t>https://www.fairwork.gov.au/tools-and-resources/fact-sheets/minimum-workplace-entitlements/ending-employment
https://www.fairwork.gov.au/pay-and-wages/deductions-and-related-issues/deducting-pay
https://www.fairwork.gov.au/tools-and-resources/fact-sheets/rights-and-obligations/record-keeping-pay-slips</t>
        </is>
      </c>
      <c r="Z194" s="37" t="inlineStr">
        <is>
          <t>Holding back final pay because equipment has not been returned without checking the lawful basis.</t>
        </is>
      </c>
    </row>
    <row r="195" ht="106" customHeight="1">
      <c r="A195" s="38" t="inlineStr">
        <is>
          <t>EXT02_DK</t>
        </is>
      </c>
      <c r="B195" s="38" t="inlineStr">
        <is>
          <t>EXT02</t>
        </is>
      </c>
      <c r="C195" s="38" t="inlineStr">
        <is>
          <t>DK</t>
        </is>
      </c>
      <c r="D195" s="38" t="inlineStr">
        <is>
          <t>I need to confirm this.</t>
        </is>
      </c>
      <c r="E195" s="38" t="inlineStr">
        <is>
          <t>Verify: check final pay as a separate transaction</t>
        </is>
      </c>
      <c r="F195" s="38" t="inlineStr">
        <is>
          <t>This answer identifies a knowledge gap. It does not establish that the practice is missing, that harm has occurred or that a legal duty has been breached.</t>
        </is>
      </c>
      <c r="G195" s="38" t="inlineStr">
        <is>
          <t>Final pay can include rules and entitlements that do not appear in ordinary payroll and should be checked as a separate transaction.</t>
        </is>
      </c>
      <c r="H195" s="38" t="inlineStr">
        <is>
          <t>Final pay and entitlements</t>
        </is>
      </c>
      <c r="I195" s="49" t="n">
        <v>3</v>
      </c>
      <c r="J195" s="49" t="n">
        <v>0</v>
      </c>
      <c r="K195" s="49" t="n">
        <v>3</v>
      </c>
      <c r="L195" s="38" t="inlineStr">
        <is>
          <t>The risk is not rated from an unknown answer. Verification is High priority because: Final pay can include rules and entitlements that do not appear in ordinary payroll and should be checked as a separate transaction.</t>
        </is>
      </c>
      <c r="M195" s="38" t="inlineStr">
        <is>
          <t>Ask the owner / hr lead to show a current example of the process and the evidence listed below. Confirm the answer before deciding what must be repaired.</t>
        </is>
      </c>
      <c r="N195" s="38" t="inlineStr">
        <is>
          <t>Compare the example with the established-practice description: We check the reason for exit, relevant entitlements, payment timing and documentation, and resolve exceptions before payment.</t>
        </is>
      </c>
      <c r="O195" s="38" t="inlineStr">
        <is>
          <t>Record what was checked, by whom and when. If it remains unclear, keep the verification task open and agree any proportionate interim safeguard.</t>
        </is>
      </c>
      <c r="P195" s="38" t="inlineStr">
        <is>
          <t>Review or verify within two business days and before the next affected event if earlier. Do not wait where a duty or current harm requires earlier action.</t>
        </is>
      </c>
      <c r="Q195" s="38" t="inlineStr">
        <is>
          <t>A dated verification record, the supporting example, an updated answer and any remaining action. No automatic compliance conclusion.</t>
        </is>
      </c>
      <c r="R195" s="38" t="inlineStr">
        <is>
          <t>A completed final-pay calculation and review, with written employment documentation.</t>
        </is>
      </c>
      <c r="S195" s="38" t="inlineStr">
        <is>
          <t>Every departure and any unusual exit payment.</t>
        </is>
      </c>
      <c r="T195" s="38" t="inlineStr">
        <is>
          <t>Owner / HR lead</t>
        </is>
      </c>
      <c r="U195" s="38" t="inlineStr">
        <is>
          <t>Pre-decision HR review, final-pay coordination and legal referral where the matter requires it.</t>
        </is>
      </c>
      <c r="V195" s="38" t="inlineStr">
        <is>
          <t>EXIT</t>
        </is>
      </c>
      <c r="W195" s="38" t="inlineStr">
        <is>
          <t>A_EXT02</t>
        </is>
      </c>
      <c r="X195" s="38" t="inlineStr">
        <is>
          <t>S26;S08;S14;DESIGN</t>
        </is>
      </c>
      <c r="Y195" s="38" t="inlineStr">
        <is>
          <t>https://www.fairwork.gov.au/tools-and-resources/fact-sheets/minimum-workplace-entitlements/ending-employment
https://www.fairwork.gov.au/pay-and-wages/deductions-and-related-issues/deducting-pay
https://www.fairwork.gov.au/tools-and-resources/fact-sheets/rights-and-obligations/record-keeping-pay-slips</t>
        </is>
      </c>
      <c r="Z195" s="38" t="inlineStr">
        <is>
          <t>Holding back final pay because equipment has not been returned without checking the lawful basis.</t>
        </is>
      </c>
    </row>
    <row r="196" ht="121" customHeight="1">
      <c r="A196" s="37" t="inlineStr">
        <is>
          <t>EXT03_0</t>
        </is>
      </c>
      <c r="B196" s="37" t="inlineStr">
        <is>
          <t>EXT03</t>
        </is>
      </c>
      <c r="C196" s="48" t="n">
        <v>0</v>
      </c>
      <c r="D196" s="37" t="inlineStr">
        <is>
          <t>There is no consistent offboarding process.</t>
        </is>
      </c>
      <c r="E196" s="37" t="inlineStr">
        <is>
          <t>Close the operational gaps in an exit</t>
        </is>
      </c>
      <c r="F196" s="37" t="inlineStr">
        <is>
          <t>The selected response reports a missing or unestablished element. Confirm the affected arrangements before drawing a conclusion about any actual breach or harm.</t>
        </is>
      </c>
      <c r="G196" s="37" t="inlineStr">
        <is>
          <t>Late or incomplete offboarding can leave information accessible and essential work without an owner.</t>
        </is>
      </c>
      <c r="H196" s="37" t="inlineStr">
        <is>
          <t>Access, records and continuity</t>
        </is>
      </c>
      <c r="I196" s="48" t="n">
        <v>3</v>
      </c>
      <c r="J196" s="48" t="n">
        <v>3</v>
      </c>
      <c r="K196" s="48" t="n">
        <v>3</v>
      </c>
      <c r="L196" s="37" t="inlineStr">
        <is>
          <t>High provisional concern: an essential element remains unresolved. Late or incomplete offboarding can leave information accessible and essential work without an owner.</t>
        </is>
      </c>
      <c r="M196" s="37" t="inlineStr">
        <is>
          <t>Review your most recent exit against a short offboarding checklist, including systems outside the main HR platform.</t>
        </is>
      </c>
      <c r="N196" s="37" t="inlineStr">
        <is>
          <t>Coordinate access changes, record preservation, property and work handover with the actual departure circumstances.</t>
        </is>
      </c>
      <c r="O196" s="37" t="inlineStr">
        <is>
          <t>Confirm completion with systems and work owners, and test that essential information remains accessible to authorised staff.</t>
        </is>
      </c>
      <c r="P196" s="37" t="inlineStr">
        <is>
          <t>Review or verify within two business days and before the next affected event if earlier. Do not wait where a duty or current harm requires earlier action.</t>
        </is>
      </c>
      <c r="Q196" s="37" t="inlineStr">
        <is>
          <t>A completed offboarding record showing access, property, handover and record retention. Confirm that the change works in practice, not only that a document exists.</t>
        </is>
      </c>
      <c r="R196" s="37" t="inlineStr">
        <is>
          <t>A completed offboarding record showing access, property, handover and record retention.</t>
        </is>
      </c>
      <c r="S196" s="37" t="inlineStr">
        <is>
          <t>Any departure, particularly one involving privileged system access.</t>
        </is>
      </c>
      <c r="T196" s="37" t="inlineStr">
        <is>
          <t>Owner / HR lead</t>
        </is>
      </c>
      <c r="U196" s="37" t="inlineStr">
        <is>
          <t>Pre-decision HR review, final-pay coordination and legal referral where the matter requires it.</t>
        </is>
      </c>
      <c r="V196" s="37" t="inlineStr">
        <is>
          <t>EXIT</t>
        </is>
      </c>
      <c r="W196" s="37" t="inlineStr">
        <is>
          <t>A_EXT03</t>
        </is>
      </c>
      <c r="X196" s="37" t="inlineStr">
        <is>
          <t>S14;S15;S08;DESIGN</t>
        </is>
      </c>
      <c r="Y196" s="37"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Z196" s="37" t="inlineStr">
        <is>
          <t>Deleting accounts or records before checking preservation requirements and transfer of work.</t>
        </is>
      </c>
    </row>
    <row r="197" ht="121" customHeight="1">
      <c r="A197" s="38" t="inlineStr">
        <is>
          <t>EXT03_1</t>
        </is>
      </c>
      <c r="B197" s="38" t="inlineStr">
        <is>
          <t>EXT03</t>
        </is>
      </c>
      <c r="C197" s="49" t="n">
        <v>1</v>
      </c>
      <c r="D197" s="38" t="inlineStr">
        <is>
          <t>Managers handle property and access informally, sometimes after the person has left.</t>
        </is>
      </c>
      <c r="E197" s="38" t="inlineStr">
        <is>
          <t>Close the operational gaps in an exit</t>
        </is>
      </c>
      <c r="F197" s="38" t="inlineStr">
        <is>
          <t>The selected response relies on assumptions, informal decisions or an inconsistent process. The action is to make the relevant check reliable in routine work.</t>
        </is>
      </c>
      <c r="G197" s="38" t="inlineStr">
        <is>
          <t>Late or incomplete offboarding can leave information accessible and essential work without an owner.</t>
        </is>
      </c>
      <c r="H197" s="38" t="inlineStr">
        <is>
          <t>Access, records and continuity</t>
        </is>
      </c>
      <c r="I197" s="49" t="n">
        <v>3</v>
      </c>
      <c r="J197" s="49" t="n">
        <v>3</v>
      </c>
      <c r="K197" s="49" t="n">
        <v>3</v>
      </c>
      <c r="L197" s="38" t="inlineStr">
        <is>
          <t>High provisional concern: an essential element remains unresolved. Late or incomplete offboarding can leave information accessible and essential work without an owner.</t>
        </is>
      </c>
      <c r="M197" s="38" t="inlineStr">
        <is>
          <t>Replace the assumption with a current check. Review your most recent exit against a short offboarding checklist, including systems outside the main HR platform.</t>
        </is>
      </c>
      <c r="N197" s="38" t="inlineStr">
        <is>
          <t>Coordinate access changes, record preservation, property and work handover with the actual departure circumstances.</t>
        </is>
      </c>
      <c r="O197" s="38" t="inlineStr">
        <is>
          <t>Confirm completion with systems and work owners, and test that essential information remains accessible to authorised staff.</t>
        </is>
      </c>
      <c r="P197" s="38" t="inlineStr">
        <is>
          <t>Review or verify within two business days and before the next affected event if earlier. Do not wait where a duty or current harm requires earlier action.</t>
        </is>
      </c>
      <c r="Q197" s="38" t="inlineStr">
        <is>
          <t>A completed offboarding record showing access, property, handover and record retention. Confirm that the change works in practice, not only that a document exists.</t>
        </is>
      </c>
      <c r="R197" s="38" t="inlineStr">
        <is>
          <t>A completed offboarding record showing access, property, handover and record retention.</t>
        </is>
      </c>
      <c r="S197" s="38" t="inlineStr">
        <is>
          <t>Any departure, particularly one involving privileged system access.</t>
        </is>
      </c>
      <c r="T197" s="38" t="inlineStr">
        <is>
          <t>Owner / HR lead</t>
        </is>
      </c>
      <c r="U197" s="38" t="inlineStr">
        <is>
          <t>Pre-decision HR review, final-pay coordination and legal referral where the matter requires it.</t>
        </is>
      </c>
      <c r="V197" s="38" t="inlineStr">
        <is>
          <t>EXIT</t>
        </is>
      </c>
      <c r="W197" s="38" t="inlineStr">
        <is>
          <t>A_EXT03</t>
        </is>
      </c>
      <c r="X197" s="38" t="inlineStr">
        <is>
          <t>S14;S15;S08;DESIGN</t>
        </is>
      </c>
      <c r="Y197" s="38"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Z197" s="38" t="inlineStr">
        <is>
          <t>Deleting accounts or records before checking preservation requirements and transfer of work.</t>
        </is>
      </c>
    </row>
    <row r="198" ht="121" customHeight="1">
      <c r="A198" s="37" t="inlineStr">
        <is>
          <t>EXT03_2</t>
        </is>
      </c>
      <c r="B198" s="37" t="inlineStr">
        <is>
          <t>EXT03</t>
        </is>
      </c>
      <c r="C198" s="48" t="n">
        <v>2</v>
      </c>
      <c r="D198" s="37" t="inlineStr">
        <is>
          <t>We have a checklist, but handover, access or records are not always completed.</t>
        </is>
      </c>
      <c r="E198" s="37" t="inlineStr">
        <is>
          <t>Complete the remaining check: close the operational gaps in an exit</t>
        </is>
      </c>
      <c r="F198" s="37" t="inlineStr">
        <is>
          <t>The selected response identifies an incomplete element within an existing practice. Keep what works and target the unresolved part; the stronger elements do not cancel the gap.</t>
        </is>
      </c>
      <c r="G198" s="37" t="inlineStr">
        <is>
          <t>Late or incomplete offboarding can leave information accessible and essential work without an owner.</t>
        </is>
      </c>
      <c r="H198" s="37" t="inlineStr">
        <is>
          <t>Access, records and continuity</t>
        </is>
      </c>
      <c r="I198" s="48" t="n">
        <v>3</v>
      </c>
      <c r="J198" s="48" t="n">
        <v>2</v>
      </c>
      <c r="K198" s="48" t="n">
        <v>2</v>
      </c>
      <c r="L198" s="37" t="inlineStr">
        <is>
          <t>Medium provisional concern: a material practice needs improvement. Late or incomplete offboarding can leave information accessible and essential work without an owner.</t>
        </is>
      </c>
      <c r="M198" s="37" t="inlineStr">
        <is>
          <t>Focus on the unresolved arrangements or exceptions. Review your most recent exit against a short offboarding checklist, including systems outside the main HR platform.</t>
        </is>
      </c>
      <c r="N198" s="37" t="inlineStr">
        <is>
          <t>Coordinate access changes, record preservation, property and work handover with the actual departure circumstances.</t>
        </is>
      </c>
      <c r="O198" s="37" t="inlineStr">
        <is>
          <t>Confirm completion with systems and work owners, and test that essential information remains accessible to authorised staff.</t>
        </is>
      </c>
      <c r="P198" s="37" t="inlineStr">
        <is>
          <t>Agree an owner and plan within 30 days, or before the next affected event if earlier.</t>
        </is>
      </c>
      <c r="Q198" s="37" t="inlineStr">
        <is>
          <t>A completed offboarding record showing access, property, handover and record retention. Confirm that the change works in practice, not only that a document exists.</t>
        </is>
      </c>
      <c r="R198" s="37" t="inlineStr">
        <is>
          <t>A completed offboarding record showing access, property, handover and record retention.</t>
        </is>
      </c>
      <c r="S198" s="37" t="inlineStr">
        <is>
          <t>Any departure, particularly one involving privileged system access.</t>
        </is>
      </c>
      <c r="T198" s="37" t="inlineStr">
        <is>
          <t>Owner / HR lead</t>
        </is>
      </c>
      <c r="U198" s="37" t="inlineStr">
        <is>
          <t>Pre-decision HR review, final-pay coordination and legal referral where the matter requires it.</t>
        </is>
      </c>
      <c r="V198" s="37" t="inlineStr">
        <is>
          <t>EXIT</t>
        </is>
      </c>
      <c r="W198" s="37" t="inlineStr">
        <is>
          <t>A_EXT03</t>
        </is>
      </c>
      <c r="X198" s="37" t="inlineStr">
        <is>
          <t>S14;S15;S08;DESIGN</t>
        </is>
      </c>
      <c r="Y198" s="37"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Z198" s="37" t="inlineStr">
        <is>
          <t>Deleting accounts or records before checking preservation requirements and transfer of work.</t>
        </is>
      </c>
    </row>
    <row r="199" ht="121" customHeight="1">
      <c r="A199" s="38" t="inlineStr">
        <is>
          <t>EXT03_3</t>
        </is>
      </c>
      <c r="B199" s="38" t="inlineStr">
        <is>
          <t>EXT03</t>
        </is>
      </c>
      <c r="C199" s="49" t="n">
        <v>3</v>
      </c>
      <c r="D199" s="38" t="inlineStr">
        <is>
          <t>We coordinate handover, property, appropriately timed access changes and record preservation, with a named owner confirming completion.</t>
        </is>
      </c>
      <c r="E199" s="38" t="inlineStr">
        <is>
          <t>Maintain and test: close the operational gaps in an exit</t>
        </is>
      </c>
      <c r="F199" s="38" t="inlineStr">
        <is>
          <t>The selected response reports an established and checked practice. The tool has not inspected the evidence and cannot certify the absence of risk.</t>
        </is>
      </c>
      <c r="G199" s="38" t="inlineStr">
        <is>
          <t>Late or incomplete offboarding can leave information accessible and essential work without an owner.</t>
        </is>
      </c>
      <c r="H199" s="38" t="inlineStr">
        <is>
          <t>Access, records and continuity</t>
        </is>
      </c>
      <c r="I199" s="49" t="n">
        <v>3</v>
      </c>
      <c r="J199" s="49" t="n">
        <v>1</v>
      </c>
      <c r="K199" s="49" t="n">
        <v>1</v>
      </c>
      <c r="L199" s="38" t="inlineStr">
        <is>
          <t>Lower reported concern, not a finding of no risk. The assumed controls are self-reported; a current incident, contrary evidence or failed control takes precedence.</t>
        </is>
      </c>
      <c r="M199" s="38" t="inlineStr">
        <is>
          <t>Maintain the practice described. At the next relevant review, confirm completion with systems and work owners, and test that essential information remains accessible to authorised staff.</t>
        </is>
      </c>
      <c r="N199" s="38" t="inlineStr">
        <is>
          <t>Check whether changes in work, people or applicable requirements have made the original process less reliable.</t>
        </is>
      </c>
      <c r="O199" s="38" t="inlineStr">
        <is>
          <t>Retain the review outcome and act on any new exception. An unresolved live issue overrides this maintenance pathway.</t>
        </is>
      </c>
      <c r="P199" s="38" t="inlineStr">
        <is>
          <t>Maintain at the stated trigger; for a new low-priority improvement, plan within 90 days.</t>
        </is>
      </c>
      <c r="Q199" s="38" t="inlineStr">
        <is>
          <t>A current example of the practice and a proportionate recheck record. A completed offboarding record showing access, property, handover and record retention.</t>
        </is>
      </c>
      <c r="R199" s="38" t="inlineStr">
        <is>
          <t>A completed offboarding record showing access, property, handover and record retention.</t>
        </is>
      </c>
      <c r="S199" s="38" t="inlineStr">
        <is>
          <t>Any departure, particularly one involving privileged system access.</t>
        </is>
      </c>
      <c r="T199" s="38" t="inlineStr">
        <is>
          <t>Owner / HR lead</t>
        </is>
      </c>
      <c r="U199" s="38" t="inlineStr">
        <is>
          <t>No further purchase is implied by this result. Seek support only for a material change, unresolved exception or chosen improvement.</t>
        </is>
      </c>
      <c r="V199" s="38" t="inlineStr">
        <is>
          <t>EXIT</t>
        </is>
      </c>
      <c r="W199" s="38" t="inlineStr">
        <is>
          <t>A_EXT03</t>
        </is>
      </c>
      <c r="X199" s="38" t="inlineStr">
        <is>
          <t>S14;S15;S08;DESIGN</t>
        </is>
      </c>
      <c r="Y199" s="38"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Z199" s="38" t="inlineStr">
        <is>
          <t>Deleting accounts or records before checking preservation requirements and transfer of work.</t>
        </is>
      </c>
    </row>
    <row r="200" ht="121" customHeight="1">
      <c r="A200" s="37" t="inlineStr">
        <is>
          <t>EXT03_DK</t>
        </is>
      </c>
      <c r="B200" s="37" t="inlineStr">
        <is>
          <t>EXT03</t>
        </is>
      </c>
      <c r="C200" s="37" t="inlineStr">
        <is>
          <t>DK</t>
        </is>
      </c>
      <c r="D200" s="37" t="inlineStr">
        <is>
          <t>I need to confirm this.</t>
        </is>
      </c>
      <c r="E200" s="37" t="inlineStr">
        <is>
          <t>Verify: close the operational gaps in an exit</t>
        </is>
      </c>
      <c r="F200" s="37" t="inlineStr">
        <is>
          <t>This answer identifies a knowledge gap. It does not establish that the practice is missing, that harm has occurred or that a legal duty has been breached.</t>
        </is>
      </c>
      <c r="G200" s="37" t="inlineStr">
        <is>
          <t>Late or incomplete offboarding can leave information accessible and essential work without an owner.</t>
        </is>
      </c>
      <c r="H200" s="37" t="inlineStr">
        <is>
          <t>Access, records and continuity</t>
        </is>
      </c>
      <c r="I200" s="48" t="n">
        <v>3</v>
      </c>
      <c r="J200" s="48" t="n">
        <v>0</v>
      </c>
      <c r="K200" s="48" t="n">
        <v>3</v>
      </c>
      <c r="L200" s="37" t="inlineStr">
        <is>
          <t>The risk is not rated from an unknown answer. Verification is High priority because: Late or incomplete offboarding can leave information accessible and essential work without an owner.</t>
        </is>
      </c>
      <c r="M200" s="37" t="inlineStr">
        <is>
          <t>Ask the owner / hr lead to show a current example of the process and the evidence listed below. Confirm the answer before deciding what must be repaired.</t>
        </is>
      </c>
      <c r="N200" s="37" t="inlineStr">
        <is>
          <t>Compare the example with the established-practice description: We coordinate handover, property, appropriately timed access changes and record preservation, with a named owner confirming completion.</t>
        </is>
      </c>
      <c r="O200" s="37" t="inlineStr">
        <is>
          <t>Record what was checked, by whom and when. If it remains unclear, keep the verification task open and agree any proportionate interim safeguard.</t>
        </is>
      </c>
      <c r="P200" s="37" t="inlineStr">
        <is>
          <t>Review or verify within two business days and before the next affected event if earlier. Do not wait where a duty or current harm requires earlier action.</t>
        </is>
      </c>
      <c r="Q200" s="37" t="inlineStr">
        <is>
          <t>A dated verification record, the supporting example, an updated answer and any remaining action. No automatic compliance conclusion.</t>
        </is>
      </c>
      <c r="R200" s="37" t="inlineStr">
        <is>
          <t>A completed offboarding record showing access, property, handover and record retention.</t>
        </is>
      </c>
      <c r="S200" s="37" t="inlineStr">
        <is>
          <t>Any departure, particularly one involving privileged system access.</t>
        </is>
      </c>
      <c r="T200" s="37" t="inlineStr">
        <is>
          <t>Owner / HR lead</t>
        </is>
      </c>
      <c r="U200" s="37" t="inlineStr">
        <is>
          <t>Pre-decision HR review, final-pay coordination and legal referral where the matter requires it.</t>
        </is>
      </c>
      <c r="V200" s="37" t="inlineStr">
        <is>
          <t>EXIT</t>
        </is>
      </c>
      <c r="W200" s="37" t="inlineStr">
        <is>
          <t>A_EXT03</t>
        </is>
      </c>
      <c r="X200" s="37" t="inlineStr">
        <is>
          <t>S14;S15;S08;DESIGN</t>
        </is>
      </c>
      <c r="Y200" s="37" t="inlineStr">
        <is>
          <t>https://www.fairwork.gov.au/tools-and-resources/fact-sheets/rights-and-obligations/record-keeping-pay-slips
https://www.oaic.gov.au/privacy/privacy-guidance-for-organisations-and-government-agencies/organisations/employee-records-exemption
https://www.fairwork.gov.au/pay-and-wages/deductions-and-related-issues/deducting-pay</t>
        </is>
      </c>
      <c r="Z200" s="37" t="inlineStr">
        <is>
          <t>Deleting accounts or records before checking preservation requirements and transfer of work.</t>
        </is>
      </c>
    </row>
    <row r="201" ht="106" customHeight="1">
      <c r="A201" s="38" t="inlineStr">
        <is>
          <t>PSY01_0</t>
        </is>
      </c>
      <c r="B201" s="38" t="inlineStr">
        <is>
          <t>PSY01</t>
        </is>
      </c>
      <c r="C201" s="49" t="n">
        <v>0</v>
      </c>
      <c r="D201" s="38" t="inlineStr">
        <is>
          <t>We have not considered work-related psychosocial hazards.</t>
        </is>
      </c>
      <c r="E201" s="38" t="inlineStr">
        <is>
          <t>Identify what in the work could cause harm</t>
        </is>
      </c>
      <c r="F201" s="38" t="inlineStr">
        <is>
          <t>The selected response reports a missing or unestablished element. Confirm the affected arrangements before drawing a conclusion about any actual breach or harm.</t>
        </is>
      </c>
      <c r="G201" s="38" t="inlineStr">
        <is>
          <t>Without worker input and a review of actual work, workload, isolation, poor support or other hazards may remain unrecognised.</t>
        </is>
      </c>
      <c r="H201" s="38" t="inlineStr">
        <is>
          <t>Work-related psychological harm</t>
        </is>
      </c>
      <c r="I201" s="49" t="n">
        <v>3</v>
      </c>
      <c r="J201" s="49" t="n">
        <v>3</v>
      </c>
      <c r="K201" s="49" t="n">
        <v>3</v>
      </c>
      <c r="L201" s="38" t="inlineStr">
        <is>
          <t>High provisional concern: an essential element remains unresolved. Without worker input and a review of actual work, workload, isolation, poor support or other hazards may remain unrecognised.</t>
        </is>
      </c>
      <c r="M201" s="38" t="inlineStr">
        <is>
          <t>Discuss the main work pressures and hazards with employees using a safe process. Record the work-related causes, who is exposed and what needs further assessment.</t>
        </is>
      </c>
      <c r="N201" s="38" t="inlineStr">
        <is>
          <t>Discuss relevant tasks and work conditions with workers and map the hazards, including how they can combine.</t>
        </is>
      </c>
      <c r="O201" s="38" t="inlineStr">
        <is>
          <t>Check whether identified hazards lead to practical control actions and revisit roles or settings omitted from the review.</t>
        </is>
      </c>
      <c r="P201" s="38" t="inlineStr">
        <is>
          <t>Review or verify within two business days and before the next affected event if earlier. Do not wait where a duty or current harm requires earlier action.</t>
        </is>
      </c>
      <c r="Q201" s="38" t="inlineStr">
        <is>
          <t>A proportionate psychosocial hazard assessment informed by workers and relevant evidence. Confirm that the change works in practice, not only that a document exists.</t>
        </is>
      </c>
      <c r="R201" s="38" t="inlineStr">
        <is>
          <t>A proportionate psychosocial hazard assessment informed by workers and relevant evidence.</t>
        </is>
      </c>
      <c r="S201" s="38" t="inlineStr">
        <is>
          <t>Changed work, worker concerns, incident patterns or control failure.</t>
        </is>
      </c>
      <c r="T201" s="38" t="inlineStr">
        <is>
          <t>Business leader / safety lead</t>
        </is>
      </c>
      <c r="U201" s="38" t="inlineStr">
        <is>
          <t>Psychosocial/positive-duty assessment and prevention planning, with specialist WHS/legal input where appropriate.</t>
        </is>
      </c>
      <c r="V201" s="38" t="inlineStr">
        <is>
          <t>PSYCHOSOCIAL</t>
        </is>
      </c>
      <c r="W201" s="38" t="inlineStr">
        <is>
          <t>A_PSY01</t>
        </is>
      </c>
      <c r="X201" s="38" t="inlineStr">
        <is>
          <t>S11;S12;DESIGN</t>
        </is>
      </c>
      <c r="Y201"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1" s="38" t="inlineStr">
        <is>
          <t>Waiting for a formal complaint or treating a wellbeing survey as the entire risk process.</t>
        </is>
      </c>
    </row>
    <row r="202" ht="106" customHeight="1">
      <c r="A202" s="37" t="inlineStr">
        <is>
          <t>PSY01_1</t>
        </is>
      </c>
      <c r="B202" s="37" t="inlineStr">
        <is>
          <t>PSY01</t>
        </is>
      </c>
      <c r="C202" s="48" t="n">
        <v>1</v>
      </c>
      <c r="D202" s="37" t="inlineStr">
        <is>
          <t>We focus on wellbeing activities or respond only after someone raises a concern.</t>
        </is>
      </c>
      <c r="E202" s="37" t="inlineStr">
        <is>
          <t>Identify what in the work could cause harm</t>
        </is>
      </c>
      <c r="F202" s="37" t="inlineStr">
        <is>
          <t>The selected response relies on assumptions, informal decisions or an inconsistent process. The action is to make the relevant check reliable in routine work.</t>
        </is>
      </c>
      <c r="G202" s="37" t="inlineStr">
        <is>
          <t>Without worker input and a review of actual work, workload, isolation, poor support or other hazards may remain unrecognised.</t>
        </is>
      </c>
      <c r="H202" s="37" t="inlineStr">
        <is>
          <t>Work-related psychological harm</t>
        </is>
      </c>
      <c r="I202" s="48" t="n">
        <v>3</v>
      </c>
      <c r="J202" s="48" t="n">
        <v>3</v>
      </c>
      <c r="K202" s="48" t="n">
        <v>3</v>
      </c>
      <c r="L202" s="37" t="inlineStr">
        <is>
          <t>High provisional concern: an essential element remains unresolved. Without worker input and a review of actual work, workload, isolation, poor support or other hazards may remain unrecognised.</t>
        </is>
      </c>
      <c r="M202" s="37" t="inlineStr">
        <is>
          <t>Replace the assumption with a current check. Discuss the main work pressures and hazards with employees using a safe process. Record the work-related causes, who is exposed and what needs further assessment.</t>
        </is>
      </c>
      <c r="N202" s="37" t="inlineStr">
        <is>
          <t>Discuss relevant tasks and work conditions with workers and map the hazards, including how they can combine.</t>
        </is>
      </c>
      <c r="O202" s="37" t="inlineStr">
        <is>
          <t>Check whether identified hazards lead to practical control actions and revisit roles or settings omitted from the review.</t>
        </is>
      </c>
      <c r="P202" s="37" t="inlineStr">
        <is>
          <t>Review or verify within two business days and before the next affected event if earlier. Do not wait where a duty or current harm requires earlier action.</t>
        </is>
      </c>
      <c r="Q202" s="37" t="inlineStr">
        <is>
          <t>A proportionate psychosocial hazard assessment informed by workers and relevant evidence. Confirm that the change works in practice, not only that a document exists.</t>
        </is>
      </c>
      <c r="R202" s="37" t="inlineStr">
        <is>
          <t>A proportionate psychosocial hazard assessment informed by workers and relevant evidence.</t>
        </is>
      </c>
      <c r="S202" s="37" t="inlineStr">
        <is>
          <t>Changed work, worker concerns, incident patterns or control failure.</t>
        </is>
      </c>
      <c r="T202" s="37" t="inlineStr">
        <is>
          <t>Business leader / safety lead</t>
        </is>
      </c>
      <c r="U202" s="37" t="inlineStr">
        <is>
          <t>Psychosocial/positive-duty assessment and prevention planning, with specialist WHS/legal input where appropriate.</t>
        </is>
      </c>
      <c r="V202" s="37" t="inlineStr">
        <is>
          <t>PSYCHOSOCIAL</t>
        </is>
      </c>
      <c r="W202" s="37" t="inlineStr">
        <is>
          <t>A_PSY01</t>
        </is>
      </c>
      <c r="X202" s="37" t="inlineStr">
        <is>
          <t>S11;S12;DESIGN</t>
        </is>
      </c>
      <c r="Y202"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2" s="37" t="inlineStr">
        <is>
          <t>Waiting for a formal complaint or treating a wellbeing survey as the entire risk process.</t>
        </is>
      </c>
    </row>
    <row r="203" ht="106" customHeight="1">
      <c r="A203" s="38" t="inlineStr">
        <is>
          <t>PSY01_2</t>
        </is>
      </c>
      <c r="B203" s="38" t="inlineStr">
        <is>
          <t>PSY01</t>
        </is>
      </c>
      <c r="C203" s="49" t="n">
        <v>2</v>
      </c>
      <c r="D203" s="38" t="inlineStr">
        <is>
          <t>We have identified some hazards, but worker input or coverage of different roles is incomplete.</t>
        </is>
      </c>
      <c r="E203" s="38" t="inlineStr">
        <is>
          <t>Complete the remaining check: identify what in the work could cause harm</t>
        </is>
      </c>
      <c r="F203" s="38" t="inlineStr">
        <is>
          <t>The selected response identifies an incomplete element within an existing practice. Keep what works and target the unresolved part; the stronger elements do not cancel the gap.</t>
        </is>
      </c>
      <c r="G203" s="38" t="inlineStr">
        <is>
          <t>Without worker input and a review of actual work, workload, isolation, poor support or other hazards may remain unrecognised.</t>
        </is>
      </c>
      <c r="H203" s="38" t="inlineStr">
        <is>
          <t>Work-related psychological harm</t>
        </is>
      </c>
      <c r="I203" s="49" t="n">
        <v>3</v>
      </c>
      <c r="J203" s="49" t="n">
        <v>3</v>
      </c>
      <c r="K203" s="49" t="n">
        <v>3</v>
      </c>
      <c r="L203" s="38" t="inlineStr">
        <is>
          <t>High provisional concern: an essential element remains unresolved. Without worker input and a review of actual work, workload, isolation, poor support or other hazards may remain unrecognised.</t>
        </is>
      </c>
      <c r="M203" s="38" t="inlineStr">
        <is>
          <t>Focus on the unresolved arrangements or exceptions. Discuss the main work pressures and hazards with employees using a safe process. Record the work-related causes, who is exposed and what needs further assessment.</t>
        </is>
      </c>
      <c r="N203" s="38" t="inlineStr">
        <is>
          <t>Discuss relevant tasks and work conditions with workers and map the hazards, including how they can combine.</t>
        </is>
      </c>
      <c r="O203" s="38" t="inlineStr">
        <is>
          <t>Check whether identified hazards lead to practical control actions and revisit roles or settings omitted from the review.</t>
        </is>
      </c>
      <c r="P203" s="38" t="inlineStr">
        <is>
          <t>Review or verify within two business days and before the next affected event if earlier. Do not wait where a duty or current harm requires earlier action.</t>
        </is>
      </c>
      <c r="Q203" s="38" t="inlineStr">
        <is>
          <t>A proportionate psychosocial hazard assessment informed by workers and relevant evidence. Confirm that the change works in practice, not only that a document exists.</t>
        </is>
      </c>
      <c r="R203" s="38" t="inlineStr">
        <is>
          <t>A proportionate psychosocial hazard assessment informed by workers and relevant evidence.</t>
        </is>
      </c>
      <c r="S203" s="38" t="inlineStr">
        <is>
          <t>Changed work, worker concerns, incident patterns or control failure.</t>
        </is>
      </c>
      <c r="T203" s="38" t="inlineStr">
        <is>
          <t>Business leader / safety lead</t>
        </is>
      </c>
      <c r="U203" s="38" t="inlineStr">
        <is>
          <t>Psychosocial/positive-duty assessment and prevention planning, with specialist WHS/legal input where appropriate.</t>
        </is>
      </c>
      <c r="V203" s="38" t="inlineStr">
        <is>
          <t>PSYCHOSOCIAL</t>
        </is>
      </c>
      <c r="W203" s="38" t="inlineStr">
        <is>
          <t>A_PSY01</t>
        </is>
      </c>
      <c r="X203" s="38" t="inlineStr">
        <is>
          <t>S11;S12;DESIGN</t>
        </is>
      </c>
      <c r="Y203"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3" s="38" t="inlineStr">
        <is>
          <t>Waiting for a formal complaint or treating a wellbeing survey as the entire risk process.</t>
        </is>
      </c>
    </row>
    <row r="204" ht="106" customHeight="1">
      <c r="A204" s="37" t="inlineStr">
        <is>
          <t>PSY01_3</t>
        </is>
      </c>
      <c r="B204" s="37" t="inlineStr">
        <is>
          <t>PSY01</t>
        </is>
      </c>
      <c r="C204" s="48" t="n">
        <v>3</v>
      </c>
      <c r="D204" s="37" t="inlineStr">
        <is>
          <t>We consult workers and identify relevant hazards across tasks, roles and work settings, including how hazards can combine.</t>
        </is>
      </c>
      <c r="E204" s="37" t="inlineStr">
        <is>
          <t>Maintain and test: identify what in the work could cause harm</t>
        </is>
      </c>
      <c r="F204" s="37" t="inlineStr">
        <is>
          <t>The selected response reports an established and checked practice. The tool has not inspected the evidence and cannot certify the absence of risk.</t>
        </is>
      </c>
      <c r="G204" s="37" t="inlineStr">
        <is>
          <t>Without worker input and a review of actual work, workload, isolation, poor support or other hazards may remain unrecognised.</t>
        </is>
      </c>
      <c r="H204" s="37" t="inlineStr">
        <is>
          <t>Work-related psychological harm</t>
        </is>
      </c>
      <c r="I204" s="48" t="n">
        <v>3</v>
      </c>
      <c r="J204" s="48" t="n">
        <v>1</v>
      </c>
      <c r="K204" s="48" t="n">
        <v>1</v>
      </c>
      <c r="L204" s="37" t="inlineStr">
        <is>
          <t>Lower reported concern, not a finding of no risk. The assumed controls are self-reported; a current incident, contrary evidence or failed control takes precedence.</t>
        </is>
      </c>
      <c r="M204" s="37" t="inlineStr">
        <is>
          <t>Maintain the practice described. At the next relevant review, check whether identified hazards lead to practical control actions and revisit roles or settings omitted from the review.</t>
        </is>
      </c>
      <c r="N204" s="37" t="inlineStr">
        <is>
          <t>Check whether changes in work, people or applicable requirements have made the original process less reliable.</t>
        </is>
      </c>
      <c r="O204" s="37" t="inlineStr">
        <is>
          <t>Retain the review outcome and act on any new exception. An unresolved live issue overrides this maintenance pathway.</t>
        </is>
      </c>
      <c r="P204" s="37" t="inlineStr">
        <is>
          <t>Maintain at the stated trigger; for a new low-priority improvement, plan within 90 days.</t>
        </is>
      </c>
      <c r="Q204" s="37" t="inlineStr">
        <is>
          <t>A current example of the practice and a proportionate recheck record. A proportionate psychosocial hazard assessment informed by workers and relevant evidence.</t>
        </is>
      </c>
      <c r="R204" s="37" t="inlineStr">
        <is>
          <t>A proportionate psychosocial hazard assessment informed by workers and relevant evidence.</t>
        </is>
      </c>
      <c r="S204" s="37" t="inlineStr">
        <is>
          <t>Changed work, worker concerns, incident patterns or control failure.</t>
        </is>
      </c>
      <c r="T204" s="37" t="inlineStr">
        <is>
          <t>Business leader / safety lead</t>
        </is>
      </c>
      <c r="U204" s="37" t="inlineStr">
        <is>
          <t>No further purchase is implied by this result. Seek support only for a material change, unresolved exception or chosen improvement.</t>
        </is>
      </c>
      <c r="V204" s="37" t="inlineStr">
        <is>
          <t>PSYCHOSOCIAL</t>
        </is>
      </c>
      <c r="W204" s="37" t="inlineStr">
        <is>
          <t>A_PSY01</t>
        </is>
      </c>
      <c r="X204" s="37" t="inlineStr">
        <is>
          <t>S11;S12;DESIGN</t>
        </is>
      </c>
      <c r="Y204"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4" s="37" t="inlineStr">
        <is>
          <t>Waiting for a formal complaint or treating a wellbeing survey as the entire risk process.</t>
        </is>
      </c>
    </row>
    <row r="205" ht="106" customHeight="1">
      <c r="A205" s="38" t="inlineStr">
        <is>
          <t>PSY01_DK</t>
        </is>
      </c>
      <c r="B205" s="38" t="inlineStr">
        <is>
          <t>PSY01</t>
        </is>
      </c>
      <c r="C205" s="38" t="inlineStr">
        <is>
          <t>DK</t>
        </is>
      </c>
      <c r="D205" s="38" t="inlineStr">
        <is>
          <t>I need to confirm this.</t>
        </is>
      </c>
      <c r="E205" s="38" t="inlineStr">
        <is>
          <t>Verify: identify what in the work could cause harm</t>
        </is>
      </c>
      <c r="F205" s="38" t="inlineStr">
        <is>
          <t>This answer identifies a knowledge gap. It does not establish that the practice is missing, that harm has occurred or that a legal duty has been breached.</t>
        </is>
      </c>
      <c r="G205" s="38" t="inlineStr">
        <is>
          <t>Without worker input and a review of actual work, workload, isolation, poor support or other hazards may remain unrecognised.</t>
        </is>
      </c>
      <c r="H205" s="38" t="inlineStr">
        <is>
          <t>Work-related psychological harm</t>
        </is>
      </c>
      <c r="I205" s="49" t="n">
        <v>3</v>
      </c>
      <c r="J205" s="49" t="n">
        <v>0</v>
      </c>
      <c r="K205" s="49" t="n">
        <v>3</v>
      </c>
      <c r="L205" s="38" t="inlineStr">
        <is>
          <t>The risk is not rated from an unknown answer. Verification is High priority because: Without worker input and a review of actual work, workload, isolation, poor support or other hazards may remain unrecognised.</t>
        </is>
      </c>
      <c r="M205" s="38" t="inlineStr">
        <is>
          <t>Ask the business leader / safety lead to show a current example of the process and the evidence listed below. Confirm the answer before deciding what must be repaired.</t>
        </is>
      </c>
      <c r="N205" s="38" t="inlineStr">
        <is>
          <t>Compare the example with the established-practice description: We consult workers and identify relevant hazards across tasks, roles and work settings, including how hazards can combine.</t>
        </is>
      </c>
      <c r="O205" s="38" t="inlineStr">
        <is>
          <t>Record what was checked, by whom and when. If it remains unclear, keep the verification task open and agree any proportionate interim safeguard.</t>
        </is>
      </c>
      <c r="P205" s="38" t="inlineStr">
        <is>
          <t>Review or verify within two business days and before the next affected event if earlier. Do not wait where a duty or current harm requires earlier action.</t>
        </is>
      </c>
      <c r="Q205" s="38" t="inlineStr">
        <is>
          <t>A dated verification record, the supporting example, an updated answer and any remaining action. No automatic compliance conclusion.</t>
        </is>
      </c>
      <c r="R205" s="38" t="inlineStr">
        <is>
          <t>A proportionate psychosocial hazard assessment informed by workers and relevant evidence.</t>
        </is>
      </c>
      <c r="S205" s="38" t="inlineStr">
        <is>
          <t>Changed work, worker concerns, incident patterns or control failure.</t>
        </is>
      </c>
      <c r="T205" s="38" t="inlineStr">
        <is>
          <t>Business leader / safety lead</t>
        </is>
      </c>
      <c r="U205" s="38" t="inlineStr">
        <is>
          <t>Psychosocial/positive-duty assessment and prevention planning, with specialist WHS/legal input where appropriate.</t>
        </is>
      </c>
      <c r="V205" s="38" t="inlineStr">
        <is>
          <t>PSYCHOSOCIAL</t>
        </is>
      </c>
      <c r="W205" s="38" t="inlineStr">
        <is>
          <t>A_PSY01</t>
        </is>
      </c>
      <c r="X205" s="38" t="inlineStr">
        <is>
          <t>S11;S12;DESIGN</t>
        </is>
      </c>
      <c r="Y205"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5" s="38" t="inlineStr">
        <is>
          <t>Waiting for a formal complaint or treating a wellbeing survey as the entire risk process.</t>
        </is>
      </c>
    </row>
    <row r="206" ht="106" customHeight="1">
      <c r="A206" s="37" t="inlineStr">
        <is>
          <t>PSY02_0</t>
        </is>
      </c>
      <c r="B206" s="37" t="inlineStr">
        <is>
          <t>PSY02</t>
        </is>
      </c>
      <c r="C206" s="48" t="n">
        <v>0</v>
      </c>
      <c r="D206" s="37" t="inlineStr">
        <is>
          <t>We have not identified or put in place relevant controls.</t>
        </is>
      </c>
      <c r="E206" s="37" t="inlineStr">
        <is>
          <t>Control the cause, not only the consequences</t>
        </is>
      </c>
      <c r="F206" s="37" t="inlineStr">
        <is>
          <t>The selected response reports a missing or unestablished element. Confirm the affected arrangements before drawing a conclusion about any actual breach or harm.</t>
        </is>
      </c>
      <c r="G206" s="37" t="inlineStr">
        <is>
          <t>Support after a problem does not replace controls addressing its work-related cause. Missing ownership can leave recognised risks unmanaged.</t>
        </is>
      </c>
      <c r="H206" s="37" t="inlineStr">
        <is>
          <t>Work-related psychological harm</t>
        </is>
      </c>
      <c r="I206" s="48" t="n">
        <v>3</v>
      </c>
      <c r="J206" s="48" t="n">
        <v>3</v>
      </c>
      <c r="K206" s="48" t="n">
        <v>3</v>
      </c>
      <c r="L206" s="37" t="inlineStr">
        <is>
          <t>High provisional concern: an essential element remains unresolved. Support after a problem does not replace controls addressing its work-related cause. Missing ownership can leave recognised risks unmanaged.</t>
        </is>
      </c>
      <c r="M206" s="37" t="inlineStr">
        <is>
          <t>Select the highest-priority work-related risk, agree a practical change to reduce exposure, assign an owner and set a review of effectiveness.</t>
        </is>
      </c>
      <c r="N206" s="37" t="inlineStr">
        <is>
          <t>Select proportionate changes to the work, staffing, supervision or other source of exposure and assign responsibility.</t>
        </is>
      </c>
      <c r="O206" s="37" t="inlineStr">
        <is>
          <t>Check with affected workers and operational evidence whether the control works; revise it where exposure remains.</t>
        </is>
      </c>
      <c r="P206" s="37" t="inlineStr">
        <is>
          <t>Review or verify within two business days and before the next affected event if earlier. Do not wait where a duty or current harm requires earlier action.</t>
        </is>
      </c>
      <c r="Q206" s="37" t="inlineStr">
        <is>
          <t>A control record showing the change made and evidence about whether it is working. Confirm that the change works in practice, not only that a document exists.</t>
        </is>
      </c>
      <c r="R206" s="37" t="inlineStr">
        <is>
          <t>A control record showing the change made and evidence about whether it is working.</t>
        </is>
      </c>
      <c r="S206" s="37" t="inlineStr">
        <is>
          <t>A changed hazard, ineffective control or recurrence of harm.</t>
        </is>
      </c>
      <c r="T206" s="37" t="inlineStr">
        <is>
          <t>Business leader / safety lead</t>
        </is>
      </c>
      <c r="U206" s="37" t="inlineStr">
        <is>
          <t>Psychosocial/positive-duty assessment and prevention planning, with specialist WHS/legal input where appropriate.</t>
        </is>
      </c>
      <c r="V206" s="37" t="inlineStr">
        <is>
          <t>PSYCHOSOCIAL</t>
        </is>
      </c>
      <c r="W206" s="37" t="inlineStr">
        <is>
          <t>A_PSY02</t>
        </is>
      </c>
      <c r="X206" s="37" t="inlineStr">
        <is>
          <t>S11;S12;DESIGN</t>
        </is>
      </c>
      <c r="Y206"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6" s="37" t="inlineStr">
        <is>
          <t>Using resilience training or an EAP as the main response to an excessive workload or unsafe work design.</t>
        </is>
      </c>
    </row>
    <row r="207" ht="106" customHeight="1">
      <c r="A207" s="38" t="inlineStr">
        <is>
          <t>PSY02_1</t>
        </is>
      </c>
      <c r="B207" s="38" t="inlineStr">
        <is>
          <t>PSY02</t>
        </is>
      </c>
      <c r="C207" s="49" t="n">
        <v>1</v>
      </c>
      <c r="D207" s="38" t="inlineStr">
        <is>
          <t>We mainly offer awareness activities, resilience advice or support after problems arise.</t>
        </is>
      </c>
      <c r="E207" s="38" t="inlineStr">
        <is>
          <t>Control the cause, not only the consequences</t>
        </is>
      </c>
      <c r="F207" s="38" t="inlineStr">
        <is>
          <t>The selected response relies on assumptions, informal decisions or an inconsistent process. The action is to make the relevant check reliable in routine work.</t>
        </is>
      </c>
      <c r="G207" s="38" t="inlineStr">
        <is>
          <t>Support after a problem does not replace controls addressing its work-related cause. Missing ownership can leave recognised risks unmanaged.</t>
        </is>
      </c>
      <c r="H207" s="38" t="inlineStr">
        <is>
          <t>Work-related psychological harm</t>
        </is>
      </c>
      <c r="I207" s="49" t="n">
        <v>3</v>
      </c>
      <c r="J207" s="49" t="n">
        <v>3</v>
      </c>
      <c r="K207" s="49" t="n">
        <v>3</v>
      </c>
      <c r="L207" s="38" t="inlineStr">
        <is>
          <t>High provisional concern: an essential element remains unresolved. Support after a problem does not replace controls addressing its work-related cause. Missing ownership can leave recognised risks unmanaged.</t>
        </is>
      </c>
      <c r="M207" s="38" t="inlineStr">
        <is>
          <t>Replace the assumption with a current check. Select the highest-priority work-related risk, agree a practical change to reduce exposure, assign an owner and set a review of effectiveness.</t>
        </is>
      </c>
      <c r="N207" s="38" t="inlineStr">
        <is>
          <t>Select proportionate changes to the work, staffing, supervision or other source of exposure and assign responsibility.</t>
        </is>
      </c>
      <c r="O207" s="38" t="inlineStr">
        <is>
          <t>Check with affected workers and operational evidence whether the control works; revise it where exposure remains.</t>
        </is>
      </c>
      <c r="P207" s="38" t="inlineStr">
        <is>
          <t>Review or verify within two business days and before the next affected event if earlier. Do not wait where a duty or current harm requires earlier action.</t>
        </is>
      </c>
      <c r="Q207" s="38" t="inlineStr">
        <is>
          <t>A control record showing the change made and evidence about whether it is working. Confirm that the change works in practice, not only that a document exists.</t>
        </is>
      </c>
      <c r="R207" s="38" t="inlineStr">
        <is>
          <t>A control record showing the change made and evidence about whether it is working.</t>
        </is>
      </c>
      <c r="S207" s="38" t="inlineStr">
        <is>
          <t>A changed hazard, ineffective control or recurrence of harm.</t>
        </is>
      </c>
      <c r="T207" s="38" t="inlineStr">
        <is>
          <t>Business leader / safety lead</t>
        </is>
      </c>
      <c r="U207" s="38" t="inlineStr">
        <is>
          <t>Psychosocial/positive-duty assessment and prevention planning, with specialist WHS/legal input where appropriate.</t>
        </is>
      </c>
      <c r="V207" s="38" t="inlineStr">
        <is>
          <t>PSYCHOSOCIAL</t>
        </is>
      </c>
      <c r="W207" s="38" t="inlineStr">
        <is>
          <t>A_PSY02</t>
        </is>
      </c>
      <c r="X207" s="38" t="inlineStr">
        <is>
          <t>S11;S12;DESIGN</t>
        </is>
      </c>
      <c r="Y207"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7" s="38" t="inlineStr">
        <is>
          <t>Using resilience training or an EAP as the main response to an excessive workload or unsafe work design.</t>
        </is>
      </c>
    </row>
    <row r="208" ht="106" customHeight="1">
      <c r="A208" s="37" t="inlineStr">
        <is>
          <t>PSY02_2</t>
        </is>
      </c>
      <c r="B208" s="37" t="inlineStr">
        <is>
          <t>PSY02</t>
        </is>
      </c>
      <c r="C208" s="48" t="n">
        <v>2</v>
      </c>
      <c r="D208" s="37" t="inlineStr">
        <is>
          <t>We have made some changes, but responsibility or effectiveness checks are incomplete.</t>
        </is>
      </c>
      <c r="E208" s="37" t="inlineStr">
        <is>
          <t>Complete the remaining check: control the cause, not only the consequences</t>
        </is>
      </c>
      <c r="F208" s="37" t="inlineStr">
        <is>
          <t>The selected response identifies an incomplete element within an existing practice. Keep what works and target the unresolved part; the stronger elements do not cancel the gap.</t>
        </is>
      </c>
      <c r="G208" s="37" t="inlineStr">
        <is>
          <t>Support after a problem does not replace controls addressing its work-related cause. Missing ownership can leave recognised risks unmanaged.</t>
        </is>
      </c>
      <c r="H208" s="37" t="inlineStr">
        <is>
          <t>Work-related psychological harm</t>
        </is>
      </c>
      <c r="I208" s="48" t="n">
        <v>3</v>
      </c>
      <c r="J208" s="48" t="n">
        <v>3</v>
      </c>
      <c r="K208" s="48" t="n">
        <v>3</v>
      </c>
      <c r="L208" s="37" t="inlineStr">
        <is>
          <t>High provisional concern: an essential element remains unresolved. Support after a problem does not replace controls addressing its work-related cause. Missing ownership can leave recognised risks unmanaged.</t>
        </is>
      </c>
      <c r="M208" s="37" t="inlineStr">
        <is>
          <t>Focus on the unresolved arrangements or exceptions. Select the highest-priority work-related risk, agree a practical change to reduce exposure, assign an owner and set a review of effectiveness.</t>
        </is>
      </c>
      <c r="N208" s="37" t="inlineStr">
        <is>
          <t>Select proportionate changes to the work, staffing, supervision or other source of exposure and assign responsibility.</t>
        </is>
      </c>
      <c r="O208" s="37" t="inlineStr">
        <is>
          <t>Check with affected workers and operational evidence whether the control works; revise it where exposure remains.</t>
        </is>
      </c>
      <c r="P208" s="37" t="inlineStr">
        <is>
          <t>Review or verify within two business days and before the next affected event if earlier. Do not wait where a duty or current harm requires earlier action.</t>
        </is>
      </c>
      <c r="Q208" s="37" t="inlineStr">
        <is>
          <t>A control record showing the change made and evidence about whether it is working. Confirm that the change works in practice, not only that a document exists.</t>
        </is>
      </c>
      <c r="R208" s="37" t="inlineStr">
        <is>
          <t>A control record showing the change made and evidence about whether it is working.</t>
        </is>
      </c>
      <c r="S208" s="37" t="inlineStr">
        <is>
          <t>A changed hazard, ineffective control or recurrence of harm.</t>
        </is>
      </c>
      <c r="T208" s="37" t="inlineStr">
        <is>
          <t>Business leader / safety lead</t>
        </is>
      </c>
      <c r="U208" s="37" t="inlineStr">
        <is>
          <t>Psychosocial/positive-duty assessment and prevention planning, with specialist WHS/legal input where appropriate.</t>
        </is>
      </c>
      <c r="V208" s="37" t="inlineStr">
        <is>
          <t>PSYCHOSOCIAL</t>
        </is>
      </c>
      <c r="W208" s="37" t="inlineStr">
        <is>
          <t>A_PSY02</t>
        </is>
      </c>
      <c r="X208" s="37" t="inlineStr">
        <is>
          <t>S11;S12;DESIGN</t>
        </is>
      </c>
      <c r="Y208"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8" s="37" t="inlineStr">
        <is>
          <t>Using resilience training or an EAP as the main response to an excessive workload or unsafe work design.</t>
        </is>
      </c>
    </row>
    <row r="209" ht="106" customHeight="1">
      <c r="A209" s="38" t="inlineStr">
        <is>
          <t>PSY02_3</t>
        </is>
      </c>
      <c r="B209" s="38" t="inlineStr">
        <is>
          <t>PSY02</t>
        </is>
      </c>
      <c r="C209" s="49" t="n">
        <v>3</v>
      </c>
      <c r="D209" s="38" t="inlineStr">
        <is>
          <t>We have proportionate controls in place, assigned owners and checked whether they reduce exposure to the relevant risks.</t>
        </is>
      </c>
      <c r="E209" s="38" t="inlineStr">
        <is>
          <t>Maintain and test: control the cause, not only the consequences</t>
        </is>
      </c>
      <c r="F209" s="38" t="inlineStr">
        <is>
          <t>The selected response reports an established and checked practice. The tool has not inspected the evidence and cannot certify the absence of risk.</t>
        </is>
      </c>
      <c r="G209" s="38" t="inlineStr">
        <is>
          <t>Support after a problem does not replace controls addressing its work-related cause. Missing ownership can leave recognised risks unmanaged.</t>
        </is>
      </c>
      <c r="H209" s="38" t="inlineStr">
        <is>
          <t>Work-related psychological harm</t>
        </is>
      </c>
      <c r="I209" s="49" t="n">
        <v>3</v>
      </c>
      <c r="J209" s="49" t="n">
        <v>1</v>
      </c>
      <c r="K209" s="49" t="n">
        <v>1</v>
      </c>
      <c r="L209" s="38" t="inlineStr">
        <is>
          <t>Lower reported concern, not a finding of no risk. The assumed controls are self-reported; a current incident, contrary evidence or failed control takes precedence.</t>
        </is>
      </c>
      <c r="M209" s="38" t="inlineStr">
        <is>
          <t>Maintain the practice described. At the next relevant review, check with affected workers and operational evidence whether the control works; revise it where exposure remains.</t>
        </is>
      </c>
      <c r="N209" s="38" t="inlineStr">
        <is>
          <t>Check whether changes in work, people or applicable requirements have made the original process less reliable.</t>
        </is>
      </c>
      <c r="O209" s="38" t="inlineStr">
        <is>
          <t>Retain the review outcome and act on any new exception. An unresolved live issue overrides this maintenance pathway.</t>
        </is>
      </c>
      <c r="P209" s="38" t="inlineStr">
        <is>
          <t>Maintain at the stated trigger; for a new low-priority improvement, plan within 90 days.</t>
        </is>
      </c>
      <c r="Q209" s="38" t="inlineStr">
        <is>
          <t>A current example of the practice and a proportionate recheck record. A control record showing the change made and evidence about whether it is working.</t>
        </is>
      </c>
      <c r="R209" s="38" t="inlineStr">
        <is>
          <t>A control record showing the change made and evidence about whether it is working.</t>
        </is>
      </c>
      <c r="S209" s="38" t="inlineStr">
        <is>
          <t>A changed hazard, ineffective control or recurrence of harm.</t>
        </is>
      </c>
      <c r="T209" s="38" t="inlineStr">
        <is>
          <t>Business leader / safety lead</t>
        </is>
      </c>
      <c r="U209" s="38" t="inlineStr">
        <is>
          <t>No further purchase is implied by this result. Seek support only for a material change, unresolved exception or chosen improvement.</t>
        </is>
      </c>
      <c r="V209" s="38" t="inlineStr">
        <is>
          <t>PSYCHOSOCIAL</t>
        </is>
      </c>
      <c r="W209" s="38" t="inlineStr">
        <is>
          <t>A_PSY02</t>
        </is>
      </c>
      <c r="X209" s="38" t="inlineStr">
        <is>
          <t>S11;S12;DESIGN</t>
        </is>
      </c>
      <c r="Y209" s="38"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09" s="38" t="inlineStr">
        <is>
          <t>Using resilience training or an EAP as the main response to an excessive workload or unsafe work design.</t>
        </is>
      </c>
    </row>
    <row r="210" ht="106" customHeight="1">
      <c r="A210" s="37" t="inlineStr">
        <is>
          <t>PSY02_DK</t>
        </is>
      </c>
      <c r="B210" s="37" t="inlineStr">
        <is>
          <t>PSY02</t>
        </is>
      </c>
      <c r="C210" s="37" t="inlineStr">
        <is>
          <t>DK</t>
        </is>
      </c>
      <c r="D210" s="37" t="inlineStr">
        <is>
          <t>I need to confirm this.</t>
        </is>
      </c>
      <c r="E210" s="37" t="inlineStr">
        <is>
          <t>Verify: control the cause, not only the consequences</t>
        </is>
      </c>
      <c r="F210" s="37" t="inlineStr">
        <is>
          <t>This answer identifies a knowledge gap. It does not establish that the practice is missing, that harm has occurred or that a legal duty has been breached.</t>
        </is>
      </c>
      <c r="G210" s="37" t="inlineStr">
        <is>
          <t>Support after a problem does not replace controls addressing its work-related cause. Missing ownership can leave recognised risks unmanaged.</t>
        </is>
      </c>
      <c r="H210" s="37" t="inlineStr">
        <is>
          <t>Work-related psychological harm</t>
        </is>
      </c>
      <c r="I210" s="48" t="n">
        <v>3</v>
      </c>
      <c r="J210" s="48" t="n">
        <v>0</v>
      </c>
      <c r="K210" s="48" t="n">
        <v>3</v>
      </c>
      <c r="L210" s="37" t="inlineStr">
        <is>
          <t>The risk is not rated from an unknown answer. Verification is High priority because: Support after a problem does not replace controls addressing its work-related cause. Missing ownership can leave recognised risks unmanaged.</t>
        </is>
      </c>
      <c r="M210" s="37" t="inlineStr">
        <is>
          <t>Ask the business leader / safety lead to show a current example of the process and the evidence listed below. Confirm the answer before deciding what must be repaired.</t>
        </is>
      </c>
      <c r="N210" s="37" t="inlineStr">
        <is>
          <t>Compare the example with the established-practice description: We have proportionate controls in place, assigned owners and checked whether they reduce exposure to the relevant risks.</t>
        </is>
      </c>
      <c r="O210" s="37" t="inlineStr">
        <is>
          <t>Record what was checked, by whom and when. If it remains unclear, keep the verification task open and agree any proportionate interim safeguard.</t>
        </is>
      </c>
      <c r="P210" s="37" t="inlineStr">
        <is>
          <t>Review or verify within two business days and before the next affected event if earlier. Do not wait where a duty or current harm requires earlier action.</t>
        </is>
      </c>
      <c r="Q210" s="37" t="inlineStr">
        <is>
          <t>A dated verification record, the supporting example, an updated answer and any remaining action. No automatic compliance conclusion.</t>
        </is>
      </c>
      <c r="R210" s="37" t="inlineStr">
        <is>
          <t>A control record showing the change made and evidence about whether it is working.</t>
        </is>
      </c>
      <c r="S210" s="37" t="inlineStr">
        <is>
          <t>A changed hazard, ineffective control or recurrence of harm.</t>
        </is>
      </c>
      <c r="T210" s="37" t="inlineStr">
        <is>
          <t>Business leader / safety lead</t>
        </is>
      </c>
      <c r="U210" s="37" t="inlineStr">
        <is>
          <t>Psychosocial/positive-duty assessment and prevention planning, with specialist WHS/legal input where appropriate.</t>
        </is>
      </c>
      <c r="V210" s="37" t="inlineStr">
        <is>
          <t>PSYCHOSOCIAL</t>
        </is>
      </c>
      <c r="W210" s="37" t="inlineStr">
        <is>
          <t>A_PSY02</t>
        </is>
      </c>
      <c r="X210" s="37" t="inlineStr">
        <is>
          <t>S11;S12;DESIGN</t>
        </is>
      </c>
      <c r="Y210" s="37" t="inlineStr">
        <is>
          <t>https://www.safeworkaustralia.gov.au/safety-topic/managing-health-and-safety/mental-health/managing-risks/identifying-assessing-controlling-and-reviewing
https://www.safeworkaustralia.gov.au/safety-topic/managing-health-and-safety/mental-health/managing-risks/differences-between-whs-and-wellbeing</t>
        </is>
      </c>
      <c r="Z210" s="37" t="inlineStr">
        <is>
          <t>Using resilience training or an EAP as the main response to an excessive workload or unsafe work design.</t>
        </is>
      </c>
    </row>
    <row r="211" ht="76" customHeight="1">
      <c r="A211" s="38" t="inlineStr">
        <is>
          <t>PSY03_0</t>
        </is>
      </c>
      <c r="B211" s="38" t="inlineStr">
        <is>
          <t>PSY03</t>
        </is>
      </c>
      <c r="C211" s="49" t="n">
        <v>0</v>
      </c>
      <c r="D211" s="38" t="inlineStr">
        <is>
          <t>We have not taken deliberate preventative steps.</t>
        </is>
      </c>
      <c r="E211" s="38" t="inlineStr">
        <is>
          <t>Make prevention visible in the way the business operates</t>
        </is>
      </c>
      <c r="F211" s="38" t="inlineStr">
        <is>
          <t>The selected response reports a missing or unestablished element. Confirm the affected arrangements before drawing a conclusion about any actual breach or harm.</t>
        </is>
      </c>
      <c r="G211" s="38" t="inlineStr">
        <is>
          <t>A policy or training session alone may not address where sex-related unlawful conduct could occur or how leaders prevent it.</t>
        </is>
      </c>
      <c r="H211" s="38" t="inlineStr">
        <is>
          <t>Prevention of unlawful workplace conduct</t>
        </is>
      </c>
      <c r="I211" s="49" t="n">
        <v>3</v>
      </c>
      <c r="J211" s="49" t="n">
        <v>3</v>
      </c>
      <c r="K211" s="49" t="n">
        <v>3</v>
      </c>
      <c r="L211" s="38" t="inlineStr">
        <is>
          <t>High provisional concern: an essential element remains unresolved. A policy or training session alone may not address where sex-related unlawful conduct could occur or how leaders prevent it.</t>
        </is>
      </c>
      <c r="M211" s="38" t="inlineStr">
        <is>
          <t>Review your approach against the AHRC standards, identify risks in your work settings and record proportionate preventative actions with leadership ownership.</t>
        </is>
      </c>
      <c r="N211" s="38" t="inlineStr">
        <is>
          <t>Review relevant work situations and power imbalances, assign leadership accountability and implement proportionate prevention and reporting measures.</t>
        </is>
      </c>
      <c r="O211" s="38" t="inlineStr">
        <is>
          <t>Review whether measures are used and effective, including risks involving customers, contractors or influential employees.</t>
        </is>
      </c>
      <c r="P211" s="38" t="inlineStr">
        <is>
          <t>Review or verify within two business days and before the next affected event if earlier. Do not wait where a duty or current harm requires earlier action.</t>
        </is>
      </c>
      <c r="Q211" s="38" t="inlineStr">
        <is>
          <t>A prevention plan and implementation evidence covering the relevant AHRC standards, scaled to the business. Confirm that the change works in practice, not only that a document exists.</t>
        </is>
      </c>
      <c r="R211" s="38" t="inlineStr">
        <is>
          <t>A prevention plan and implementation evidence covering the relevant AHRC standards, scaled to the business.</t>
        </is>
      </c>
      <c r="S211" s="38" t="inlineStr">
        <is>
          <t>Changed work, reported conduct, ineffective controls or a scheduled prevention review.</t>
        </is>
      </c>
      <c r="T211" s="38" t="inlineStr">
        <is>
          <t>Business leader / safety lead</t>
        </is>
      </c>
      <c r="U211" s="38" t="inlineStr">
        <is>
          <t>Psychosocial/positive-duty assessment and prevention planning, with specialist WHS/legal input where appropriate.</t>
        </is>
      </c>
      <c r="V211" s="38" t="inlineStr">
        <is>
          <t>RESPECT</t>
        </is>
      </c>
      <c r="W211" s="38" t="inlineStr">
        <is>
          <t>A_PSY03</t>
        </is>
      </c>
      <c r="X211" s="38" t="inlineStr">
        <is>
          <t>S10;DESIGN</t>
        </is>
      </c>
      <c r="Y211" s="38" t="inlineStr">
        <is>
          <t>https://humanrights.gov.au/resource-hub/resources-for-organisations-businesses/positive-duty-pdfs/guidelines-for-complying-with-the-positive-duty-under-the-sex-discrimination-act-1984-cth</t>
        </is>
      </c>
      <c r="Z211" s="38" t="inlineStr">
        <is>
          <t>Assuming no complaint means prevention is working, or treating positive duty as a generic bullying policy.</t>
        </is>
      </c>
    </row>
    <row r="212" ht="76" customHeight="1">
      <c r="A212" s="37" t="inlineStr">
        <is>
          <t>PSY03_1</t>
        </is>
      </c>
      <c r="B212" s="37" t="inlineStr">
        <is>
          <t>PSY03</t>
        </is>
      </c>
      <c r="C212" s="48" t="n">
        <v>1</v>
      </c>
      <c r="D212" s="37" t="inlineStr">
        <is>
          <t>We have a policy or training, but little assessment of where the risks arise.</t>
        </is>
      </c>
      <c r="E212" s="37" t="inlineStr">
        <is>
          <t>Make prevention visible in the way the business operates</t>
        </is>
      </c>
      <c r="F212" s="37" t="inlineStr">
        <is>
          <t>The selected response relies on assumptions, informal decisions or an inconsistent process. The action is to make the relevant check reliable in routine work.</t>
        </is>
      </c>
      <c r="G212" s="37" t="inlineStr">
        <is>
          <t>A policy or training session alone may not address where sex-related unlawful conduct could occur or how leaders prevent it.</t>
        </is>
      </c>
      <c r="H212" s="37" t="inlineStr">
        <is>
          <t>Prevention of unlawful workplace conduct</t>
        </is>
      </c>
      <c r="I212" s="48" t="n">
        <v>3</v>
      </c>
      <c r="J212" s="48" t="n">
        <v>3</v>
      </c>
      <c r="K212" s="48" t="n">
        <v>3</v>
      </c>
      <c r="L212" s="37" t="inlineStr">
        <is>
          <t>High provisional concern: an essential element remains unresolved. A policy or training session alone may not address where sex-related unlawful conduct could occur or how leaders prevent it.</t>
        </is>
      </c>
      <c r="M212" s="37" t="inlineStr">
        <is>
          <t>Replace the assumption with a current check. Review your approach against the AHRC standards, identify risks in your work settings and record proportionate preventative actions with leadership ownership.</t>
        </is>
      </c>
      <c r="N212" s="37" t="inlineStr">
        <is>
          <t>Review relevant work situations and power imbalances, assign leadership accountability and implement proportionate prevention and reporting measures.</t>
        </is>
      </c>
      <c r="O212" s="37" t="inlineStr">
        <is>
          <t>Review whether measures are used and effective, including risks involving customers, contractors or influential employees.</t>
        </is>
      </c>
      <c r="P212" s="37" t="inlineStr">
        <is>
          <t>Review or verify within two business days and before the next affected event if earlier. Do not wait where a duty or current harm requires earlier action.</t>
        </is>
      </c>
      <c r="Q212" s="37" t="inlineStr">
        <is>
          <t>A prevention plan and implementation evidence covering the relevant AHRC standards, scaled to the business. Confirm that the change works in practice, not only that a document exists.</t>
        </is>
      </c>
      <c r="R212" s="37" t="inlineStr">
        <is>
          <t>A prevention plan and implementation evidence covering the relevant AHRC standards, scaled to the business.</t>
        </is>
      </c>
      <c r="S212" s="37" t="inlineStr">
        <is>
          <t>Changed work, reported conduct, ineffective controls or a scheduled prevention review.</t>
        </is>
      </c>
      <c r="T212" s="37" t="inlineStr">
        <is>
          <t>Business leader / safety lead</t>
        </is>
      </c>
      <c r="U212" s="37" t="inlineStr">
        <is>
          <t>Psychosocial/positive-duty assessment and prevention planning, with specialist WHS/legal input where appropriate.</t>
        </is>
      </c>
      <c r="V212" s="37" t="inlineStr">
        <is>
          <t>RESPECT</t>
        </is>
      </c>
      <c r="W212" s="37" t="inlineStr">
        <is>
          <t>A_PSY03</t>
        </is>
      </c>
      <c r="X212" s="37" t="inlineStr">
        <is>
          <t>S10;DESIGN</t>
        </is>
      </c>
      <c r="Y212" s="37" t="inlineStr">
        <is>
          <t>https://humanrights.gov.au/resource-hub/resources-for-organisations-businesses/positive-duty-pdfs/guidelines-for-complying-with-the-positive-duty-under-the-sex-discrimination-act-1984-cth</t>
        </is>
      </c>
      <c r="Z212" s="37" t="inlineStr">
        <is>
          <t>Assuming no complaint means prevention is working, or treating positive duty as a generic bullying policy.</t>
        </is>
      </c>
    </row>
    <row r="213" ht="76" customHeight="1">
      <c r="A213" s="38" t="inlineStr">
        <is>
          <t>PSY03_2</t>
        </is>
      </c>
      <c r="B213" s="38" t="inlineStr">
        <is>
          <t>PSY03</t>
        </is>
      </c>
      <c r="C213" s="49" t="n">
        <v>2</v>
      </c>
      <c r="D213" s="38" t="inlineStr">
        <is>
          <t>We have prevention measures, but leadership accountability, risk review or follow-through is incomplete.</t>
        </is>
      </c>
      <c r="E213" s="38" t="inlineStr">
        <is>
          <t>Complete the remaining check: make prevention visible in the way the business operates</t>
        </is>
      </c>
      <c r="F213" s="38" t="inlineStr">
        <is>
          <t>The selected response identifies an incomplete element within an existing practice. Keep what works and target the unresolved part; the stronger elements do not cancel the gap.</t>
        </is>
      </c>
      <c r="G213" s="38" t="inlineStr">
        <is>
          <t>A policy or training session alone may not address where sex-related unlawful conduct could occur or how leaders prevent it.</t>
        </is>
      </c>
      <c r="H213" s="38" t="inlineStr">
        <is>
          <t>Prevention of unlawful workplace conduct</t>
        </is>
      </c>
      <c r="I213" s="49" t="n">
        <v>3</v>
      </c>
      <c r="J213" s="49" t="n">
        <v>3</v>
      </c>
      <c r="K213" s="49" t="n">
        <v>3</v>
      </c>
      <c r="L213" s="38" t="inlineStr">
        <is>
          <t>High provisional concern: an essential element remains unresolved. A policy or training session alone may not address where sex-related unlawful conduct could occur or how leaders prevent it.</t>
        </is>
      </c>
      <c r="M213" s="38" t="inlineStr">
        <is>
          <t>Focus on the unresolved arrangements or exceptions. Review your approach against the AHRC standards, identify risks in your work settings and record proportionate preventative actions with leadership ownership.</t>
        </is>
      </c>
      <c r="N213" s="38" t="inlineStr">
        <is>
          <t>Review relevant work situations and power imbalances, assign leadership accountability and implement proportionate prevention and reporting measures.</t>
        </is>
      </c>
      <c r="O213" s="38" t="inlineStr">
        <is>
          <t>Review whether measures are used and effective, including risks involving customers, contractors or influential employees.</t>
        </is>
      </c>
      <c r="P213" s="38" t="inlineStr">
        <is>
          <t>Review or verify within two business days and before the next affected event if earlier. Do not wait where a duty or current harm requires earlier action.</t>
        </is>
      </c>
      <c r="Q213" s="38" t="inlineStr">
        <is>
          <t>A prevention plan and implementation evidence covering the relevant AHRC standards, scaled to the business. Confirm that the change works in practice, not only that a document exists.</t>
        </is>
      </c>
      <c r="R213" s="38" t="inlineStr">
        <is>
          <t>A prevention plan and implementation evidence covering the relevant AHRC standards, scaled to the business.</t>
        </is>
      </c>
      <c r="S213" s="38" t="inlineStr">
        <is>
          <t>Changed work, reported conduct, ineffective controls or a scheduled prevention review.</t>
        </is>
      </c>
      <c r="T213" s="38" t="inlineStr">
        <is>
          <t>Business leader / safety lead</t>
        </is>
      </c>
      <c r="U213" s="38" t="inlineStr">
        <is>
          <t>Psychosocial/positive-duty assessment and prevention planning, with specialist WHS/legal input where appropriate.</t>
        </is>
      </c>
      <c r="V213" s="38" t="inlineStr">
        <is>
          <t>RESPECT</t>
        </is>
      </c>
      <c r="W213" s="38" t="inlineStr">
        <is>
          <t>A_PSY03</t>
        </is>
      </c>
      <c r="X213" s="38" t="inlineStr">
        <is>
          <t>S10;DESIGN</t>
        </is>
      </c>
      <c r="Y213" s="38" t="inlineStr">
        <is>
          <t>https://humanrights.gov.au/resource-hub/resources-for-organisations-businesses/positive-duty-pdfs/guidelines-for-complying-with-the-positive-duty-under-the-sex-discrimination-act-1984-cth</t>
        </is>
      </c>
      <c r="Z213" s="38" t="inlineStr">
        <is>
          <t>Assuming no complaint means prevention is working, or treating positive duty as a generic bullying policy.</t>
        </is>
      </c>
    </row>
    <row r="214" ht="76" customHeight="1">
      <c r="A214" s="37" t="inlineStr">
        <is>
          <t>PSY03_3</t>
        </is>
      </c>
      <c r="B214" s="37" t="inlineStr">
        <is>
          <t>PSY03</t>
        </is>
      </c>
      <c r="C214" s="48" t="n">
        <v>3</v>
      </c>
      <c r="D214" s="37" t="inlineStr">
        <is>
          <t>Leaders take responsibility for proportionate prevention, risk controls, clear expectations, support, reporting and review.</t>
        </is>
      </c>
      <c r="E214" s="37" t="inlineStr">
        <is>
          <t>Maintain and test: make prevention visible in the way the business operates</t>
        </is>
      </c>
      <c r="F214" s="37" t="inlineStr">
        <is>
          <t>The selected response reports an established and checked practice. The tool has not inspected the evidence and cannot certify the absence of risk.</t>
        </is>
      </c>
      <c r="G214" s="37" t="inlineStr">
        <is>
          <t>A policy or training session alone may not address where sex-related unlawful conduct could occur or how leaders prevent it.</t>
        </is>
      </c>
      <c r="H214" s="37" t="inlineStr">
        <is>
          <t>Prevention of unlawful workplace conduct</t>
        </is>
      </c>
      <c r="I214" s="48" t="n">
        <v>3</v>
      </c>
      <c r="J214" s="48" t="n">
        <v>1</v>
      </c>
      <c r="K214" s="48" t="n">
        <v>1</v>
      </c>
      <c r="L214" s="37" t="inlineStr">
        <is>
          <t>Lower reported concern, not a finding of no risk. The assumed controls are self-reported; a current incident, contrary evidence or failed control takes precedence.</t>
        </is>
      </c>
      <c r="M214" s="37" t="inlineStr">
        <is>
          <t>Maintain the practice described. At the next relevant review, review whether measures are used and effective, including risks involving customers, contractors or influential employees.</t>
        </is>
      </c>
      <c r="N214" s="37" t="inlineStr">
        <is>
          <t>Check whether changes in work, people or applicable requirements have made the original process less reliable.</t>
        </is>
      </c>
      <c r="O214" s="37" t="inlineStr">
        <is>
          <t>Retain the review outcome and act on any new exception. An unresolved live issue overrides this maintenance pathway.</t>
        </is>
      </c>
      <c r="P214" s="37" t="inlineStr">
        <is>
          <t>Maintain at the stated trigger; for a new low-priority improvement, plan within 90 days.</t>
        </is>
      </c>
      <c r="Q214" s="37" t="inlineStr">
        <is>
          <t>A current example of the practice and a proportionate recheck record. A prevention plan and implementation evidence covering the relevant AHRC standards, scaled to the business.</t>
        </is>
      </c>
      <c r="R214" s="37" t="inlineStr">
        <is>
          <t>A prevention plan and implementation evidence covering the relevant AHRC standards, scaled to the business.</t>
        </is>
      </c>
      <c r="S214" s="37" t="inlineStr">
        <is>
          <t>Changed work, reported conduct, ineffective controls or a scheduled prevention review.</t>
        </is>
      </c>
      <c r="T214" s="37" t="inlineStr">
        <is>
          <t>Business leader / safety lead</t>
        </is>
      </c>
      <c r="U214" s="37" t="inlineStr">
        <is>
          <t>No further purchase is implied by this result. Seek support only for a material change, unresolved exception or chosen improvement.</t>
        </is>
      </c>
      <c r="V214" s="37" t="inlineStr">
        <is>
          <t>RESPECT</t>
        </is>
      </c>
      <c r="W214" s="37" t="inlineStr">
        <is>
          <t>A_PSY03</t>
        </is>
      </c>
      <c r="X214" s="37" t="inlineStr">
        <is>
          <t>S10;DESIGN</t>
        </is>
      </c>
      <c r="Y214" s="37" t="inlineStr">
        <is>
          <t>https://humanrights.gov.au/resource-hub/resources-for-organisations-businesses/positive-duty-pdfs/guidelines-for-complying-with-the-positive-duty-under-the-sex-discrimination-act-1984-cth</t>
        </is>
      </c>
      <c r="Z214" s="37" t="inlineStr">
        <is>
          <t>Assuming no complaint means prevention is working, or treating positive duty as a generic bullying policy.</t>
        </is>
      </c>
    </row>
    <row r="215" ht="76" customHeight="1">
      <c r="A215" s="38" t="inlineStr">
        <is>
          <t>PSY03_DK</t>
        </is>
      </c>
      <c r="B215" s="38" t="inlineStr">
        <is>
          <t>PSY03</t>
        </is>
      </c>
      <c r="C215" s="38" t="inlineStr">
        <is>
          <t>DK</t>
        </is>
      </c>
      <c r="D215" s="38" t="inlineStr">
        <is>
          <t>I need to confirm this.</t>
        </is>
      </c>
      <c r="E215" s="38" t="inlineStr">
        <is>
          <t>Verify: make prevention visible in the way the business operates</t>
        </is>
      </c>
      <c r="F215" s="38" t="inlineStr">
        <is>
          <t>This answer identifies a knowledge gap. It does not establish that the practice is missing, that harm has occurred or that a legal duty has been breached.</t>
        </is>
      </c>
      <c r="G215" s="38" t="inlineStr">
        <is>
          <t>A policy or training session alone may not address where sex-related unlawful conduct could occur or how leaders prevent it.</t>
        </is>
      </c>
      <c r="H215" s="38" t="inlineStr">
        <is>
          <t>Prevention of unlawful workplace conduct</t>
        </is>
      </c>
      <c r="I215" s="49" t="n">
        <v>3</v>
      </c>
      <c r="J215" s="49" t="n">
        <v>0</v>
      </c>
      <c r="K215" s="49" t="n">
        <v>3</v>
      </c>
      <c r="L215" s="38" t="inlineStr">
        <is>
          <t>The risk is not rated from an unknown answer. Verification is High priority because: A policy or training session alone may not address where sex-related unlawful conduct could occur or how leaders prevent it.</t>
        </is>
      </c>
      <c r="M215" s="38" t="inlineStr">
        <is>
          <t>Ask the business leader / safety lead to show a current example of the process and the evidence listed below. Confirm the answer before deciding what must be repaired.</t>
        </is>
      </c>
      <c r="N215" s="38" t="inlineStr">
        <is>
          <t>Compare the example with the established-practice description: Leaders take responsibility for proportionate prevention, risk controls, clear expectations, support, reporting and review.</t>
        </is>
      </c>
      <c r="O215" s="38" t="inlineStr">
        <is>
          <t>Record what was checked, by whom and when. If it remains unclear, keep the verification task open and agree any proportionate interim safeguard.</t>
        </is>
      </c>
      <c r="P215" s="38" t="inlineStr">
        <is>
          <t>Review or verify within two business days and before the next affected event if earlier. Do not wait where a duty or current harm requires earlier action.</t>
        </is>
      </c>
      <c r="Q215" s="38" t="inlineStr">
        <is>
          <t>A dated verification record, the supporting example, an updated answer and any remaining action. No automatic compliance conclusion.</t>
        </is>
      </c>
      <c r="R215" s="38" t="inlineStr">
        <is>
          <t>A prevention plan and implementation evidence covering the relevant AHRC standards, scaled to the business.</t>
        </is>
      </c>
      <c r="S215" s="38" t="inlineStr">
        <is>
          <t>Changed work, reported conduct, ineffective controls or a scheduled prevention review.</t>
        </is>
      </c>
      <c r="T215" s="38" t="inlineStr">
        <is>
          <t>Business leader / safety lead</t>
        </is>
      </c>
      <c r="U215" s="38" t="inlineStr">
        <is>
          <t>Psychosocial/positive-duty assessment and prevention planning, with specialist WHS/legal input where appropriate.</t>
        </is>
      </c>
      <c r="V215" s="38" t="inlineStr">
        <is>
          <t>RESPECT</t>
        </is>
      </c>
      <c r="W215" s="38" t="inlineStr">
        <is>
          <t>A_PSY03</t>
        </is>
      </c>
      <c r="X215" s="38" t="inlineStr">
        <is>
          <t>S10;DESIGN</t>
        </is>
      </c>
      <c r="Y215" s="38" t="inlineStr">
        <is>
          <t>https://humanrights.gov.au/resource-hub/resources-for-organisations-businesses/positive-duty-pdfs/guidelines-for-complying-with-the-positive-duty-under-the-sex-discrimination-act-1984-cth</t>
        </is>
      </c>
      <c r="Z215" s="38" t="inlineStr">
        <is>
          <t>Assuming no complaint means prevention is working, or treating positive duty as a generic bullying policy.</t>
        </is>
      </c>
    </row>
    <row r="216" ht="121" customHeight="1">
      <c r="A216" s="37" t="inlineStr">
        <is>
          <t>PSY04_0</t>
        </is>
      </c>
      <c r="B216" s="37" t="inlineStr">
        <is>
          <t>PSY04</t>
        </is>
      </c>
      <c r="C216" s="48" t="n">
        <v>0</v>
      </c>
      <c r="D216" s="37" t="inlineStr">
        <is>
          <t>There is no credible route for that situation.</t>
        </is>
      </c>
      <c r="E216" s="37" t="inlineStr">
        <is>
          <t>Make the reporting route work when power is involved</t>
        </is>
      </c>
      <c r="F216" s="37" t="inlineStr">
        <is>
          <t>The selected response reports a missing or unestablished element. Confirm the affected arrangements before drawing a conclusion about any actual breach or harm.</t>
        </is>
      </c>
      <c r="G216" s="37" t="inlineStr">
        <is>
          <t>A reporting route can fail precisely when the concern involves the person controlling it, leaving the business without a credible way to hear and address the issue.</t>
        </is>
      </c>
      <c r="H216" s="37" t="inlineStr">
        <is>
          <t>Safe reporting and protection from retaliation</t>
        </is>
      </c>
      <c r="I216" s="48" t="n">
        <v>3</v>
      </c>
      <c r="J216" s="48" t="n">
        <v>3</v>
      </c>
      <c r="K216" s="48" t="n">
        <v>3</v>
      </c>
      <c r="L216" s="37" t="inlineStr">
        <is>
          <t>High provisional concern: an essential element remains unresolved. A reporting route can fail precisely when the concern involves the person controlling it, leaving the business without a credible way to hear and address the issue.</t>
        </is>
      </c>
      <c r="M216" s="37" t="inlineStr">
        <is>
          <t>Identify who could receive a concern when the owner, manager or usual contact is involved, and whether that person has the authority and independence needed to arrange an appropriate response.</t>
        </is>
      </c>
      <c r="N216" s="37" t="inlineStr">
        <is>
          <t>Name an alternative recipient without a relevant conflict and document escalation, confidentiality boundaries and protection from retaliation.</t>
        </is>
      </c>
      <c r="O216" s="37" t="inlineStr">
        <is>
          <t>Explain the route to staff, test a fictional owner-related concern and check that the recipient can arrange an appropriate response.</t>
        </is>
      </c>
      <c r="P216" s="37" t="inlineStr">
        <is>
          <t>Review or verify within two business days and before the next affected event if earlier. Do not wait where a duty or current harm requires earlier action.</t>
        </is>
      </c>
      <c r="Q216" s="37" t="inlineStr">
        <is>
          <t>Staff can identify and use a credible alternative route when the normal contact is involved, the recipient can arrange an appropriate response, and confidentiality and protection-from-retaliation safeguards have been tested. Confirm that the change works in practice, not only that a document exists.</t>
        </is>
      </c>
      <c r="R216" s="37" t="inlineStr">
        <is>
          <t>Staff can identify and use a credible alternative route when the normal contact is involved, the recipient can arrange an appropriate response, and confidentiality and protection-from-retaliation safeguards have been tested.</t>
        </is>
      </c>
      <c r="S216" s="37" t="inlineStr">
        <is>
          <t>Changed ownership or reporting contacts, a conflict or concern about retaliation.</t>
        </is>
      </c>
      <c r="T216" s="37" t="inlineStr">
        <is>
          <t>Business leader / safety lead</t>
        </is>
      </c>
      <c r="U216" s="37" t="inlineStr">
        <is>
          <t>Psychosocial/positive-duty assessment and prevention planning, with specialist WHS/legal input where appropriate.</t>
        </is>
      </c>
      <c r="V216" s="37" t="inlineStr">
        <is>
          <t>RESPECT</t>
        </is>
      </c>
      <c r="W216" s="37" t="inlineStr">
        <is>
          <t>A_PSY04</t>
        </is>
      </c>
      <c r="X216" s="37" t="inlineStr">
        <is>
          <t>S10;S11;DESIGN</t>
        </is>
      </c>
      <c r="Y216"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216" s="37" t="inlineStr">
        <is>
          <t>Naming another manager who still has to send every concern directly to the person complained about.</t>
        </is>
      </c>
    </row>
    <row r="217" ht="121" customHeight="1">
      <c r="A217" s="38" t="inlineStr">
        <is>
          <t>PSY04_1</t>
        </is>
      </c>
      <c r="B217" s="38" t="inlineStr">
        <is>
          <t>PSY04</t>
        </is>
      </c>
      <c r="C217" s="49" t="n">
        <v>1</v>
      </c>
      <c r="D217" s="38" t="inlineStr">
        <is>
          <t>People are expected to raise all concerns through their direct manager or the owner.</t>
        </is>
      </c>
      <c r="E217" s="38" t="inlineStr">
        <is>
          <t>Make the reporting route work when power is involved</t>
        </is>
      </c>
      <c r="F217" s="38" t="inlineStr">
        <is>
          <t>The selected response relies on assumptions, informal decisions or an inconsistent process. The action is to make the relevant check reliable in routine work.</t>
        </is>
      </c>
      <c r="G217" s="38" t="inlineStr">
        <is>
          <t>A reporting route can fail precisely when the concern involves the person controlling it, leaving the business without a credible way to hear and address the issue.</t>
        </is>
      </c>
      <c r="H217" s="38" t="inlineStr">
        <is>
          <t>Safe reporting and protection from retaliation</t>
        </is>
      </c>
      <c r="I217" s="49" t="n">
        <v>3</v>
      </c>
      <c r="J217" s="49" t="n">
        <v>3</v>
      </c>
      <c r="K217" s="49" t="n">
        <v>3</v>
      </c>
      <c r="L217" s="38" t="inlineStr">
        <is>
          <t>High provisional concern: an essential element remains unresolved. A reporting route can fail precisely when the concern involves the person controlling it, leaving the business without a credible way to hear and address the issue.</t>
        </is>
      </c>
      <c r="M217" s="38" t="inlineStr">
        <is>
          <t>Replace the assumption with a current check. Identify who could receive a concern when the owner, manager or usual contact is involved, and whether that person has the authority and independence needed to arrange an appropriate response.</t>
        </is>
      </c>
      <c r="N217" s="38" t="inlineStr">
        <is>
          <t>Name an alternative recipient without a relevant conflict and document escalation, confidentiality boundaries and protection from retaliation.</t>
        </is>
      </c>
      <c r="O217" s="38" t="inlineStr">
        <is>
          <t>Explain the route to staff, test a fictional owner-related concern and check that the recipient can arrange an appropriate response.</t>
        </is>
      </c>
      <c r="P217" s="38" t="inlineStr">
        <is>
          <t>Review or verify within two business days and before the next affected event if earlier. Do not wait where a duty or current harm requires earlier action.</t>
        </is>
      </c>
      <c r="Q217" s="38" t="inlineStr">
        <is>
          <t>Staff can identify and use a credible alternative route when the normal contact is involved, the recipient can arrange an appropriate response, and confidentiality and protection-from-retaliation safeguards have been tested. Confirm that the change works in practice, not only that a document exists.</t>
        </is>
      </c>
      <c r="R217" s="38" t="inlineStr">
        <is>
          <t>Staff can identify and use a credible alternative route when the normal contact is involved, the recipient can arrange an appropriate response, and confidentiality and protection-from-retaliation safeguards have been tested.</t>
        </is>
      </c>
      <c r="S217" s="38" t="inlineStr">
        <is>
          <t>Changed ownership or reporting contacts, a conflict or concern about retaliation.</t>
        </is>
      </c>
      <c r="T217" s="38" t="inlineStr">
        <is>
          <t>Business leader / safety lead</t>
        </is>
      </c>
      <c r="U217" s="38" t="inlineStr">
        <is>
          <t>Psychosocial/positive-duty assessment and prevention planning, with specialist WHS/legal input where appropriate.</t>
        </is>
      </c>
      <c r="V217" s="38" t="inlineStr">
        <is>
          <t>RESPECT</t>
        </is>
      </c>
      <c r="W217" s="38" t="inlineStr">
        <is>
          <t>A_PSY04</t>
        </is>
      </c>
      <c r="X217" s="38" t="inlineStr">
        <is>
          <t>S10;S11;DESIGN</t>
        </is>
      </c>
      <c r="Y217"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217" s="38" t="inlineStr">
        <is>
          <t>Naming another manager who still has to send every concern directly to the person complained about.</t>
        </is>
      </c>
    </row>
    <row r="218" ht="121" customHeight="1">
      <c r="A218" s="37" t="inlineStr">
        <is>
          <t>PSY04_2</t>
        </is>
      </c>
      <c r="B218" s="37" t="inlineStr">
        <is>
          <t>PSY04</t>
        </is>
      </c>
      <c r="C218" s="48" t="n">
        <v>2</v>
      </c>
      <c r="D218" s="37" t="inlineStr">
        <is>
          <t>An alternative exists, but staff awareness, impartiality or protection from retaliation needs checking.</t>
        </is>
      </c>
      <c r="E218" s="37" t="inlineStr">
        <is>
          <t>Complete the remaining check: make the reporting route work when power is involved</t>
        </is>
      </c>
      <c r="F218" s="37" t="inlineStr">
        <is>
          <t>The selected response identifies an incomplete element within an existing practice. Keep what works and target the unresolved part; the stronger elements do not cancel the gap.</t>
        </is>
      </c>
      <c r="G218" s="37" t="inlineStr">
        <is>
          <t>A reporting route can fail precisely when the concern involves the person controlling it, leaving the business without a credible way to hear and address the issue.</t>
        </is>
      </c>
      <c r="H218" s="37" t="inlineStr">
        <is>
          <t>Safe reporting and protection from retaliation</t>
        </is>
      </c>
      <c r="I218" s="48" t="n">
        <v>3</v>
      </c>
      <c r="J218" s="48" t="n">
        <v>3</v>
      </c>
      <c r="K218" s="48" t="n">
        <v>3</v>
      </c>
      <c r="L218" s="37" t="inlineStr">
        <is>
          <t>High provisional concern: an essential element remains unresolved. A reporting route can fail precisely when the concern involves the person controlling it, leaving the business without a credible way to hear and address the issue.</t>
        </is>
      </c>
      <c r="M218" s="37" t="inlineStr">
        <is>
          <t>Focus on the unresolved arrangements or exceptions. Identify who could receive a concern when the owner, manager or usual contact is involved, and whether that person has the authority and independence needed to arrange an appropriate response.</t>
        </is>
      </c>
      <c r="N218" s="37" t="inlineStr">
        <is>
          <t>Name an alternative recipient without a relevant conflict and document escalation, confidentiality boundaries and protection from retaliation.</t>
        </is>
      </c>
      <c r="O218" s="37" t="inlineStr">
        <is>
          <t>Explain the route to staff, test a fictional owner-related concern and check that the recipient can arrange an appropriate response.</t>
        </is>
      </c>
      <c r="P218" s="37" t="inlineStr">
        <is>
          <t>Review or verify within two business days and before the next affected event if earlier. Do not wait where a duty or current harm requires earlier action.</t>
        </is>
      </c>
      <c r="Q218" s="37" t="inlineStr">
        <is>
          <t>Staff can identify and use a credible alternative route when the normal contact is involved, the recipient can arrange an appropriate response, and confidentiality and protection-from-retaliation safeguards have been tested. Confirm that the change works in practice, not only that a document exists.</t>
        </is>
      </c>
      <c r="R218" s="37" t="inlineStr">
        <is>
          <t>Staff can identify and use a credible alternative route when the normal contact is involved, the recipient can arrange an appropriate response, and confidentiality and protection-from-retaliation safeguards have been tested.</t>
        </is>
      </c>
      <c r="S218" s="37" t="inlineStr">
        <is>
          <t>Changed ownership or reporting contacts, a conflict or concern about retaliation.</t>
        </is>
      </c>
      <c r="T218" s="37" t="inlineStr">
        <is>
          <t>Business leader / safety lead</t>
        </is>
      </c>
      <c r="U218" s="37" t="inlineStr">
        <is>
          <t>Psychosocial/positive-duty assessment and prevention planning, with specialist WHS/legal input where appropriate.</t>
        </is>
      </c>
      <c r="V218" s="37" t="inlineStr">
        <is>
          <t>RESPECT</t>
        </is>
      </c>
      <c r="W218" s="37" t="inlineStr">
        <is>
          <t>A_PSY04</t>
        </is>
      </c>
      <c r="X218" s="37" t="inlineStr">
        <is>
          <t>S10;S11;DESIGN</t>
        </is>
      </c>
      <c r="Y218"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218" s="37" t="inlineStr">
        <is>
          <t>Naming another manager who still has to send every concern directly to the person complained about.</t>
        </is>
      </c>
    </row>
    <row r="219" ht="121" customHeight="1">
      <c r="A219" s="38" t="inlineStr">
        <is>
          <t>PSY04_3</t>
        </is>
      </c>
      <c r="B219" s="38" t="inlineStr">
        <is>
          <t>PSY04</t>
        </is>
      </c>
      <c r="C219" s="49" t="n">
        <v>3</v>
      </c>
      <c r="D219" s="38" t="inlineStr">
        <is>
          <t>People know a credible alternative route, concerns are handled appropriately and the business acts to prevent retaliation.</t>
        </is>
      </c>
      <c r="E219" s="38" t="inlineStr">
        <is>
          <t>Maintain and test: make the reporting route work when power is involved</t>
        </is>
      </c>
      <c r="F219" s="38" t="inlineStr">
        <is>
          <t>The selected response reports an established and checked practice. The tool has not inspected the evidence and cannot certify the absence of risk.</t>
        </is>
      </c>
      <c r="G219" s="38" t="inlineStr">
        <is>
          <t>A reporting route can fail precisely when the concern involves the person controlling it, leaving the business without a credible way to hear and address the issue.</t>
        </is>
      </c>
      <c r="H219" s="38" t="inlineStr">
        <is>
          <t>Safe reporting and protection from retaliation</t>
        </is>
      </c>
      <c r="I219" s="49" t="n">
        <v>3</v>
      </c>
      <c r="J219" s="49" t="n">
        <v>1</v>
      </c>
      <c r="K219" s="49" t="n">
        <v>1</v>
      </c>
      <c r="L219" s="38" t="inlineStr">
        <is>
          <t>Lower reported concern, not a finding of no risk. The assumed controls are self-reported; a current incident, contrary evidence or failed control takes precedence.</t>
        </is>
      </c>
      <c r="M219" s="38" t="inlineStr">
        <is>
          <t>Maintain the practice described. At the next relevant review, explain the route to staff, test a fictional owner-related concern and check that the recipient can arrange an appropriate response.</t>
        </is>
      </c>
      <c r="N219" s="38" t="inlineStr">
        <is>
          <t>Check whether changes in work, people or applicable requirements have made the original process less reliable.</t>
        </is>
      </c>
      <c r="O219" s="38" t="inlineStr">
        <is>
          <t>Retain the review outcome and act on any new exception. An unresolved live issue overrides this maintenance pathway.</t>
        </is>
      </c>
      <c r="P219" s="38" t="inlineStr">
        <is>
          <t>Maintain at the stated trigger; for a new low-priority improvement, plan within 90 days.</t>
        </is>
      </c>
      <c r="Q219" s="38" t="inlineStr">
        <is>
          <t>A current example of the practice and a proportionate recheck record. Staff can identify and use a credible alternative route when the normal contact is involved, the recipient can arrange an appropriate response, and confidentiality and protection-from-retaliation safeguards have been tested.</t>
        </is>
      </c>
      <c r="R219" s="38" t="inlineStr">
        <is>
          <t>Staff can identify and use a credible alternative route when the normal contact is involved, the recipient can arrange an appropriate response, and confidentiality and protection-from-retaliation safeguards have been tested.</t>
        </is>
      </c>
      <c r="S219" s="38" t="inlineStr">
        <is>
          <t>Changed ownership or reporting contacts, a conflict or concern about retaliation.</t>
        </is>
      </c>
      <c r="T219" s="38" t="inlineStr">
        <is>
          <t>Business leader / safety lead</t>
        </is>
      </c>
      <c r="U219" s="38" t="inlineStr">
        <is>
          <t>No further purchase is implied by this result. Seek support only for a material change, unresolved exception or chosen improvement.</t>
        </is>
      </c>
      <c r="V219" s="38" t="inlineStr">
        <is>
          <t>RESPECT</t>
        </is>
      </c>
      <c r="W219" s="38" t="inlineStr">
        <is>
          <t>A_PSY04</t>
        </is>
      </c>
      <c r="X219" s="38" t="inlineStr">
        <is>
          <t>S10;S11;DESIGN</t>
        </is>
      </c>
      <c r="Y219"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219" s="38" t="inlineStr">
        <is>
          <t>Naming another manager who still has to send every concern directly to the person complained about.</t>
        </is>
      </c>
    </row>
    <row r="220" ht="121" customHeight="1">
      <c r="A220" s="37" t="inlineStr">
        <is>
          <t>PSY04_DK</t>
        </is>
      </c>
      <c r="B220" s="37" t="inlineStr">
        <is>
          <t>PSY04</t>
        </is>
      </c>
      <c r="C220" s="37" t="inlineStr">
        <is>
          <t>DK</t>
        </is>
      </c>
      <c r="D220" s="37" t="inlineStr">
        <is>
          <t>I need to confirm this.</t>
        </is>
      </c>
      <c r="E220" s="37" t="inlineStr">
        <is>
          <t>Verify: make the reporting route work when power is involved</t>
        </is>
      </c>
      <c r="F220" s="37" t="inlineStr">
        <is>
          <t>This answer identifies a knowledge gap. It does not establish that the practice is missing, that harm has occurred or that a legal duty has been breached.</t>
        </is>
      </c>
      <c r="G220" s="37" t="inlineStr">
        <is>
          <t>A reporting route can fail precisely when the concern involves the person controlling it, leaving the business without a credible way to hear and address the issue.</t>
        </is>
      </c>
      <c r="H220" s="37" t="inlineStr">
        <is>
          <t>Safe reporting and protection from retaliation</t>
        </is>
      </c>
      <c r="I220" s="48" t="n">
        <v>3</v>
      </c>
      <c r="J220" s="48" t="n">
        <v>0</v>
      </c>
      <c r="K220" s="48" t="n">
        <v>3</v>
      </c>
      <c r="L220" s="37" t="inlineStr">
        <is>
          <t>The risk is not rated from an unknown answer. Verification is High priority because: A reporting route can fail precisely when the concern involves the person controlling it, leaving the business without a credible way to hear and address the issue.</t>
        </is>
      </c>
      <c r="M220" s="37" t="inlineStr">
        <is>
          <t>Ask the business leader / safety lead to show a current example of the process and the evidence listed below. Confirm the answer before deciding what must be repaired.</t>
        </is>
      </c>
      <c r="N220" s="37" t="inlineStr">
        <is>
          <t>Compare the example with the established-practice description: People know a credible alternative route, concerns are handled appropriately and the business acts to prevent retaliation.</t>
        </is>
      </c>
      <c r="O220" s="37" t="inlineStr">
        <is>
          <t>Record what was checked, by whom and when. If it remains unclear, keep the verification task open and agree any proportionate interim safeguard.</t>
        </is>
      </c>
      <c r="P220" s="37" t="inlineStr">
        <is>
          <t>Review or verify within two business days and before the next affected event if earlier. Do not wait where a duty or current harm requires earlier action.</t>
        </is>
      </c>
      <c r="Q220" s="37" t="inlineStr">
        <is>
          <t>A dated verification record, the supporting example, an updated answer and any remaining action. No automatic compliance conclusion.</t>
        </is>
      </c>
      <c r="R220" s="37" t="inlineStr">
        <is>
          <t>Staff can identify and use a credible alternative route when the normal contact is involved, the recipient can arrange an appropriate response, and confidentiality and protection-from-retaliation safeguards have been tested.</t>
        </is>
      </c>
      <c r="S220" s="37" t="inlineStr">
        <is>
          <t>Changed ownership or reporting contacts, a conflict or concern about retaliation.</t>
        </is>
      </c>
      <c r="T220" s="37" t="inlineStr">
        <is>
          <t>Business leader / safety lead</t>
        </is>
      </c>
      <c r="U220" s="37" t="inlineStr">
        <is>
          <t>Psychosocial/positive-duty assessment and prevention planning, with specialist WHS/legal input where appropriate.</t>
        </is>
      </c>
      <c r="V220" s="37" t="inlineStr">
        <is>
          <t>RESPECT</t>
        </is>
      </c>
      <c r="W220" s="37" t="inlineStr">
        <is>
          <t>A_PSY04</t>
        </is>
      </c>
      <c r="X220" s="37" t="inlineStr">
        <is>
          <t>S10;S11;DESIGN</t>
        </is>
      </c>
      <c r="Y220"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c r="Z220" s="37" t="inlineStr">
        <is>
          <t>Naming another manager who still has to send every concern directly to the person complained about.</t>
        </is>
      </c>
    </row>
    <row r="221" ht="166" customHeight="1">
      <c r="A221" s="38" t="inlineStr">
        <is>
          <t>PSY05_0</t>
        </is>
      </c>
      <c r="B221" s="38" t="inlineStr">
        <is>
          <t>PSY05</t>
        </is>
      </c>
      <c r="C221" s="49" t="n">
        <v>0</v>
      </c>
      <c r="D221" s="38" t="inlineStr">
        <is>
          <t>There is no clear response or support process.</t>
        </is>
      </c>
      <c r="E221" s="38" t="inlineStr">
        <is>
          <t>Connect support with a responsible workplace response</t>
        </is>
      </c>
      <c r="F221" s="38" t="inlineStr">
        <is>
          <t>The selected response reports a missing or unestablished element. Confirm the affected arrangements before drawing a conclusion about any actual breach or harm.</t>
        </is>
      </c>
      <c r="G221" s="38" t="inlineStr">
        <is>
          <t>An unclear response can leave wellbeing, safety, confidentiality and fact-finding responsibilities disconnected.</t>
        </is>
      </c>
      <c r="H221" s="38" t="inlineStr">
        <is>
          <t>Support and fair response</t>
        </is>
      </c>
      <c r="I221" s="49" t="n">
        <v>3</v>
      </c>
      <c r="J221" s="49" t="n">
        <v>3</v>
      </c>
      <c r="K221" s="49" t="n">
        <v>3</v>
      </c>
      <c r="L221" s="38" t="inlineStr">
        <is>
          <t>High provisional concern: an essential element remains unresolved. An unclear response can leave wellbeing, safety, confidentiality and fact-finding responsibilities disconnected.</t>
        </is>
      </c>
      <c r="M221" s="38" t="inlineStr">
        <is>
          <t>Test who handles the initial concern, what support is available, how information is protected and who reviews the workplace follow-up.</t>
        </is>
      </c>
      <c r="N221" s="38" t="inlineStr">
        <is>
          <t>Agree who assesses immediate safety, offers appropriate support, manages information and arranges fair review of the concern.</t>
        </is>
      </c>
      <c r="O221" s="38" t="inlineStr">
        <is>
          <t>Set follow-up dates with relevant people and check that agreed protective or corrective steps occurred.</t>
        </is>
      </c>
      <c r="P221" s="38" t="inlineStr">
        <is>
          <t>Review or verify within two business days and before the next affected event if earlier. Do not wait where a duty or current harm requires earlier action.</t>
        </is>
      </c>
      <c r="Q221" s="38" t="inlineStr">
        <is>
          <t>A tested response and support pathway with clear roles, escalation and follow-up. Confirm that the change works in practice, not only that a document exists.</t>
        </is>
      </c>
      <c r="R221" s="38" t="inlineStr">
        <is>
          <t>A tested response and support pathway with clear roles, escalation and follow-up.</t>
        </is>
      </c>
      <c r="S221" s="38" t="inlineStr">
        <is>
          <t>A concern, incident, changed support contact or incomplete follow-through.</t>
        </is>
      </c>
      <c r="T221" s="38" t="inlineStr">
        <is>
          <t>Business leader / safety lead</t>
        </is>
      </c>
      <c r="U221" s="38" t="inlineStr">
        <is>
          <t>Psychosocial/positive-duty assessment and prevention planning, with specialist WHS/legal input where appropriate.</t>
        </is>
      </c>
      <c r="V221" s="38" t="inlineStr">
        <is>
          <t>RESPECT</t>
        </is>
      </c>
      <c r="W221" s="38" t="inlineStr">
        <is>
          <t>A_PSY05</t>
        </is>
      </c>
      <c r="X221" s="38" t="inlineStr">
        <is>
          <t>S10;S11;S12;DESIGN</t>
        </is>
      </c>
      <c r="Y221"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Z221" s="38" t="inlineStr">
        <is>
          <t>Treating referral to an external support service as the end of the employer's responsibilities.</t>
        </is>
      </c>
    </row>
    <row r="222" ht="166" customHeight="1">
      <c r="A222" s="37" t="inlineStr">
        <is>
          <t>PSY05_1</t>
        </is>
      </c>
      <c r="B222" s="37" t="inlineStr">
        <is>
          <t>PSY05</t>
        </is>
      </c>
      <c r="C222" s="48" t="n">
        <v>1</v>
      </c>
      <c r="D222" s="37" t="inlineStr">
        <is>
          <t>We would refer the person elsewhere, but our own responsibilities are unclear.</t>
        </is>
      </c>
      <c r="E222" s="37" t="inlineStr">
        <is>
          <t>Connect support with a responsible workplace response</t>
        </is>
      </c>
      <c r="F222" s="37" t="inlineStr">
        <is>
          <t>The selected response relies on assumptions, informal decisions or an inconsistent process. The action is to make the relevant check reliable in routine work.</t>
        </is>
      </c>
      <c r="G222" s="37" t="inlineStr">
        <is>
          <t>An unclear response can leave wellbeing, safety, confidentiality and fact-finding responsibilities disconnected.</t>
        </is>
      </c>
      <c r="H222" s="37" t="inlineStr">
        <is>
          <t>Support and fair response</t>
        </is>
      </c>
      <c r="I222" s="48" t="n">
        <v>3</v>
      </c>
      <c r="J222" s="48" t="n">
        <v>3</v>
      </c>
      <c r="K222" s="48" t="n">
        <v>3</v>
      </c>
      <c r="L222" s="37" t="inlineStr">
        <is>
          <t>High provisional concern: an essential element remains unresolved. An unclear response can leave wellbeing, safety, confidentiality and fact-finding responsibilities disconnected.</t>
        </is>
      </c>
      <c r="M222" s="37" t="inlineStr">
        <is>
          <t>Replace the assumption with a current check. Test who handles the initial concern, what support is available, how information is protected and who reviews the workplace follow-up.</t>
        </is>
      </c>
      <c r="N222" s="37" t="inlineStr">
        <is>
          <t>Agree who assesses immediate safety, offers appropriate support, manages information and arranges fair review of the concern.</t>
        </is>
      </c>
      <c r="O222" s="37" t="inlineStr">
        <is>
          <t>Set follow-up dates with relevant people and check that agreed protective or corrective steps occurred.</t>
        </is>
      </c>
      <c r="P222" s="37" t="inlineStr">
        <is>
          <t>Review or verify within two business days and before the next affected event if earlier. Do not wait where a duty or current harm requires earlier action.</t>
        </is>
      </c>
      <c r="Q222" s="37" t="inlineStr">
        <is>
          <t>A tested response and support pathway with clear roles, escalation and follow-up. Confirm that the change works in practice, not only that a document exists.</t>
        </is>
      </c>
      <c r="R222" s="37" t="inlineStr">
        <is>
          <t>A tested response and support pathway with clear roles, escalation and follow-up.</t>
        </is>
      </c>
      <c r="S222" s="37" t="inlineStr">
        <is>
          <t>A concern, incident, changed support contact or incomplete follow-through.</t>
        </is>
      </c>
      <c r="T222" s="37" t="inlineStr">
        <is>
          <t>Business leader / safety lead</t>
        </is>
      </c>
      <c r="U222" s="37" t="inlineStr">
        <is>
          <t>Psychosocial/positive-duty assessment and prevention planning, with specialist WHS/legal input where appropriate.</t>
        </is>
      </c>
      <c r="V222" s="37" t="inlineStr">
        <is>
          <t>RESPECT</t>
        </is>
      </c>
      <c r="W222" s="37" t="inlineStr">
        <is>
          <t>A_PSY05</t>
        </is>
      </c>
      <c r="X222" s="37" t="inlineStr">
        <is>
          <t>S10;S11;S12;DESIGN</t>
        </is>
      </c>
      <c r="Y222"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Z222" s="37" t="inlineStr">
        <is>
          <t>Treating referral to an external support service as the end of the employer's responsibilities.</t>
        </is>
      </c>
    </row>
    <row r="223" ht="166" customHeight="1">
      <c r="A223" s="38" t="inlineStr">
        <is>
          <t>PSY05_2</t>
        </is>
      </c>
      <c r="B223" s="38" t="inlineStr">
        <is>
          <t>PSY05</t>
        </is>
      </c>
      <c r="C223" s="49" t="n">
        <v>2</v>
      </c>
      <c r="D223" s="38" t="inlineStr">
        <is>
          <t>We have some support and response arrangements, but boundaries or follow-up need checking.</t>
        </is>
      </c>
      <c r="E223" s="38" t="inlineStr">
        <is>
          <t>Complete the remaining check: connect support with a responsible workplace response</t>
        </is>
      </c>
      <c r="F223" s="38" t="inlineStr">
        <is>
          <t>The selected response identifies an incomplete element within an existing practice. Keep what works and target the unresolved part; the stronger elements do not cancel the gap.</t>
        </is>
      </c>
      <c r="G223" s="38" t="inlineStr">
        <is>
          <t>An unclear response can leave wellbeing, safety, confidentiality and fact-finding responsibilities disconnected.</t>
        </is>
      </c>
      <c r="H223" s="38" t="inlineStr">
        <is>
          <t>Support and fair response</t>
        </is>
      </c>
      <c r="I223" s="49" t="n">
        <v>3</v>
      </c>
      <c r="J223" s="49" t="n">
        <v>2</v>
      </c>
      <c r="K223" s="49" t="n">
        <v>2</v>
      </c>
      <c r="L223" s="38" t="inlineStr">
        <is>
          <t>Medium provisional concern: a material practice needs improvement. An unclear response can leave wellbeing, safety, confidentiality and fact-finding responsibilities disconnected.</t>
        </is>
      </c>
      <c r="M223" s="38" t="inlineStr">
        <is>
          <t>Focus on the unresolved arrangements or exceptions. Test who handles the initial concern, what support is available, how information is protected and who reviews the workplace follow-up.</t>
        </is>
      </c>
      <c r="N223" s="38" t="inlineStr">
        <is>
          <t>Agree who assesses immediate safety, offers appropriate support, manages information and arranges fair review of the concern.</t>
        </is>
      </c>
      <c r="O223" s="38" t="inlineStr">
        <is>
          <t>Set follow-up dates with relevant people and check that agreed protective or corrective steps occurred.</t>
        </is>
      </c>
      <c r="P223" s="38" t="inlineStr">
        <is>
          <t>Agree an owner and plan within 30 days, or before the next affected event if earlier.</t>
        </is>
      </c>
      <c r="Q223" s="38" t="inlineStr">
        <is>
          <t>A tested response and support pathway with clear roles, escalation and follow-up. Confirm that the change works in practice, not only that a document exists.</t>
        </is>
      </c>
      <c r="R223" s="38" t="inlineStr">
        <is>
          <t>A tested response and support pathway with clear roles, escalation and follow-up.</t>
        </is>
      </c>
      <c r="S223" s="38" t="inlineStr">
        <is>
          <t>A concern, incident, changed support contact or incomplete follow-through.</t>
        </is>
      </c>
      <c r="T223" s="38" t="inlineStr">
        <is>
          <t>Business leader / safety lead</t>
        </is>
      </c>
      <c r="U223" s="38" t="inlineStr">
        <is>
          <t>Psychosocial/positive-duty assessment and prevention planning, with specialist WHS/legal input where appropriate.</t>
        </is>
      </c>
      <c r="V223" s="38" t="inlineStr">
        <is>
          <t>RESPECT</t>
        </is>
      </c>
      <c r="W223" s="38" t="inlineStr">
        <is>
          <t>A_PSY05</t>
        </is>
      </c>
      <c r="X223" s="38" t="inlineStr">
        <is>
          <t>S10;S11;S12;DESIGN</t>
        </is>
      </c>
      <c r="Y223"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Z223" s="38" t="inlineStr">
        <is>
          <t>Treating referral to an external support service as the end of the employer's responsibilities.</t>
        </is>
      </c>
    </row>
    <row r="224" ht="166" customHeight="1">
      <c r="A224" s="37" t="inlineStr">
        <is>
          <t>PSY05_3</t>
        </is>
      </c>
      <c r="B224" s="37" t="inlineStr">
        <is>
          <t>PSY05</t>
        </is>
      </c>
      <c r="C224" s="48" t="n">
        <v>3</v>
      </c>
      <c r="D224" s="37" t="inlineStr">
        <is>
          <t>We can arrange appropriate support, manage safety and confidentiality, assess the concern fairly and check that follow-up occurs.</t>
        </is>
      </c>
      <c r="E224" s="37" t="inlineStr">
        <is>
          <t>Maintain and test: connect support with a responsible workplace response</t>
        </is>
      </c>
      <c r="F224" s="37" t="inlineStr">
        <is>
          <t>The selected response reports an established and checked practice. The tool has not inspected the evidence and cannot certify the absence of risk.</t>
        </is>
      </c>
      <c r="G224" s="37" t="inlineStr">
        <is>
          <t>An unclear response can leave wellbeing, safety, confidentiality and fact-finding responsibilities disconnected.</t>
        </is>
      </c>
      <c r="H224" s="37" t="inlineStr">
        <is>
          <t>Support and fair response</t>
        </is>
      </c>
      <c r="I224" s="48" t="n">
        <v>3</v>
      </c>
      <c r="J224" s="48" t="n">
        <v>1</v>
      </c>
      <c r="K224" s="48" t="n">
        <v>1</v>
      </c>
      <c r="L224" s="37" t="inlineStr">
        <is>
          <t>Lower reported concern, not a finding of no risk. The assumed controls are self-reported; a current incident, contrary evidence or failed control takes precedence.</t>
        </is>
      </c>
      <c r="M224" s="37" t="inlineStr">
        <is>
          <t>Maintain the practice described. At the next relevant review, set follow-up dates with relevant people and check that agreed protective or corrective steps occurred.</t>
        </is>
      </c>
      <c r="N224" s="37" t="inlineStr">
        <is>
          <t>Check whether changes in work, people or applicable requirements have made the original process less reliable.</t>
        </is>
      </c>
      <c r="O224" s="37" t="inlineStr">
        <is>
          <t>Retain the review outcome and act on any new exception. An unresolved live issue overrides this maintenance pathway.</t>
        </is>
      </c>
      <c r="P224" s="37" t="inlineStr">
        <is>
          <t>Maintain at the stated trigger; for a new low-priority improvement, plan within 90 days.</t>
        </is>
      </c>
      <c r="Q224" s="37" t="inlineStr">
        <is>
          <t>A current example of the practice and a proportionate recheck record. A tested response and support pathway with clear roles, escalation and follow-up.</t>
        </is>
      </c>
      <c r="R224" s="37" t="inlineStr">
        <is>
          <t>A tested response and support pathway with clear roles, escalation and follow-up.</t>
        </is>
      </c>
      <c r="S224" s="37" t="inlineStr">
        <is>
          <t>A concern, incident, changed support contact or incomplete follow-through.</t>
        </is>
      </c>
      <c r="T224" s="37" t="inlineStr">
        <is>
          <t>Business leader / safety lead</t>
        </is>
      </c>
      <c r="U224" s="37" t="inlineStr">
        <is>
          <t>No further purchase is implied by this result. Seek support only for a material change, unresolved exception or chosen improvement.</t>
        </is>
      </c>
      <c r="V224" s="37" t="inlineStr">
        <is>
          <t>RESPECT</t>
        </is>
      </c>
      <c r="W224" s="37" t="inlineStr">
        <is>
          <t>A_PSY05</t>
        </is>
      </c>
      <c r="X224" s="37" t="inlineStr">
        <is>
          <t>S10;S11;S12;DESIGN</t>
        </is>
      </c>
      <c r="Y224" s="37"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Z224" s="37" t="inlineStr">
        <is>
          <t>Treating referral to an external support service as the end of the employer's responsibilities.</t>
        </is>
      </c>
    </row>
    <row r="225" ht="166" customHeight="1">
      <c r="A225" s="38" t="inlineStr">
        <is>
          <t>PSY05_DK</t>
        </is>
      </c>
      <c r="B225" s="38" t="inlineStr">
        <is>
          <t>PSY05</t>
        </is>
      </c>
      <c r="C225" s="38" t="inlineStr">
        <is>
          <t>DK</t>
        </is>
      </c>
      <c r="D225" s="38" t="inlineStr">
        <is>
          <t>I need to confirm this.</t>
        </is>
      </c>
      <c r="E225" s="38" t="inlineStr">
        <is>
          <t>Verify: connect support with a responsible workplace response</t>
        </is>
      </c>
      <c r="F225" s="38" t="inlineStr">
        <is>
          <t>This answer identifies a knowledge gap. It does not establish that the practice is missing, that harm has occurred or that a legal duty has been breached.</t>
        </is>
      </c>
      <c r="G225" s="38" t="inlineStr">
        <is>
          <t>An unclear response can leave wellbeing, safety, confidentiality and fact-finding responsibilities disconnected.</t>
        </is>
      </c>
      <c r="H225" s="38" t="inlineStr">
        <is>
          <t>Support and fair response</t>
        </is>
      </c>
      <c r="I225" s="49" t="n">
        <v>3</v>
      </c>
      <c r="J225" s="49" t="n">
        <v>0</v>
      </c>
      <c r="K225" s="49" t="n">
        <v>3</v>
      </c>
      <c r="L225" s="38" t="inlineStr">
        <is>
          <t>The risk is not rated from an unknown answer. Verification is High priority because: An unclear response can leave wellbeing, safety, confidentiality and fact-finding responsibilities disconnected.</t>
        </is>
      </c>
      <c r="M225" s="38" t="inlineStr">
        <is>
          <t>Ask the business leader / safety lead to show a current example of the process and the evidence listed below. Confirm the answer before deciding what must be repaired.</t>
        </is>
      </c>
      <c r="N225" s="38" t="inlineStr">
        <is>
          <t>Compare the example with the established-practice description: We can arrange appropriate support, manage safety and confidentiality, assess the concern fairly and check that follow-up occurs.</t>
        </is>
      </c>
      <c r="O225" s="38" t="inlineStr">
        <is>
          <t>Record what was checked, by whom and when. If it remains unclear, keep the verification task open and agree any proportionate interim safeguard.</t>
        </is>
      </c>
      <c r="P225" s="38" t="inlineStr">
        <is>
          <t>Review or verify within two business days and before the next affected event if earlier. Do not wait where a duty or current harm requires earlier action.</t>
        </is>
      </c>
      <c r="Q225" s="38" t="inlineStr">
        <is>
          <t>A dated verification record, the supporting example, an updated answer and any remaining action. No automatic compliance conclusion.</t>
        </is>
      </c>
      <c r="R225" s="38" t="inlineStr">
        <is>
          <t>A tested response and support pathway with clear roles, escalation and follow-up.</t>
        </is>
      </c>
      <c r="S225" s="38" t="inlineStr">
        <is>
          <t>A concern, incident, changed support contact or incomplete follow-through.</t>
        </is>
      </c>
      <c r="T225" s="38" t="inlineStr">
        <is>
          <t>Business leader / safety lead</t>
        </is>
      </c>
      <c r="U225" s="38" t="inlineStr">
        <is>
          <t>Psychosocial/positive-duty assessment and prevention planning, with specialist WHS/legal input where appropriate.</t>
        </is>
      </c>
      <c r="V225" s="38" t="inlineStr">
        <is>
          <t>RESPECT</t>
        </is>
      </c>
      <c r="W225" s="38" t="inlineStr">
        <is>
          <t>A_PSY05</t>
        </is>
      </c>
      <c r="X225" s="38" t="inlineStr">
        <is>
          <t>S10;S11;S12;DESIGN</t>
        </is>
      </c>
      <c r="Y225" s="38"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c r="Z225" s="38" t="inlineStr">
        <is>
          <t>Treating referral to an external support service as the end of the employer's responsibilities.</t>
        </is>
      </c>
    </row>
    <row r="226" ht="76" customHeight="1">
      <c r="A226" s="37" t="inlineStr">
        <is>
          <t>B01_0</t>
        </is>
      </c>
      <c r="B226" s="37" t="inlineStr">
        <is>
          <t>B01</t>
        </is>
      </c>
      <c r="C226" s="48" t="n">
        <v>0</v>
      </c>
      <c r="D226" s="37" t="inlineStr">
        <is>
          <t>We assume paying above the base rate is sufficient.</t>
        </is>
      </c>
      <c r="E226" s="37" t="inlineStr">
        <is>
          <t>Check the basis of the salary arrangement</t>
        </is>
      </c>
      <c r="F226" s="37" t="inlineStr">
        <is>
          <t>The selected response reports a missing or unestablished element. Confirm the affected arrangements before drawing a conclusion about any actual breach or harm.</t>
        </is>
      </c>
      <c r="G226" s="37" t="inlineStr">
        <is>
          <t>An annual salary comparison may not establish the legal basis or the checks required for the particular arrangement.</t>
        </is>
      </c>
      <c r="H226" s="37" t="inlineStr">
        <is>
          <t>Salary arrangements and pay exposure</t>
        </is>
      </c>
      <c r="I226" s="48" t="n">
        <v>3</v>
      </c>
      <c r="J226" s="48" t="n">
        <v>3</v>
      </c>
      <c r="K226" s="48" t="n">
        <v>3</v>
      </c>
      <c r="L226" s="37" t="inlineStr">
        <is>
          <t>High provisional concern: an essential element remains unresolved. An annual salary comparison may not establish the legal basis or the checks required for the particular arrangement.</t>
        </is>
      </c>
      <c r="M226" s="37" t="inlineStr">
        <is>
          <t>Identify the type of arrangement and what it can lawfully cover. Test representative actual pay periods and complete any required reconciliations with appropriate specialist advice.</t>
        </is>
      </c>
      <c r="N226" s="37" t="inlineStr">
        <is>
          <t>Identify the arrangement, covered entitlements and applicable record or payment checks. Test actual work rather than assumed hours.</t>
        </is>
      </c>
      <c r="O226" s="37" t="inlineStr">
        <is>
          <t>Resolve differences and complete any required reconciliations or other checks; retest after the next relevant work-pattern change.</t>
        </is>
      </c>
      <c r="P226" s="37" t="inlineStr">
        <is>
          <t>Review or verify within two business days and before the next affected event if earlier. Do not wait where a duty or current harm requires earlier action.</t>
        </is>
      </c>
      <c r="Q226" s="37" t="inlineStr">
        <is>
          <t>The arrangement has been assessed against its applicable legal basis and actual work, required records and payment checks are complete, and discrepancies and related obligations are addressed. Keep unresolved legal-basis or calculation questions open. Confirm that the change works in practice, not only that a document exists.</t>
        </is>
      </c>
      <c r="R226" s="37" t="inlineStr">
        <is>
          <t>The arrangement has been assessed against its applicable legal basis and actual work, required records and payment checks are complete, and discrepancies and related obligations are addressed. Keep unresolved legal-basis or calculation questions open.</t>
        </is>
      </c>
      <c r="S226" s="37" t="inlineStr">
        <is>
          <t>Changed salary, hours, covered entitlements or applicable instrument.</t>
        </is>
      </c>
      <c r="T226" s="37" t="inlineStr">
        <is>
          <t>Payroll lead / owner</t>
        </is>
      </c>
      <c r="U226" s="37" t="inlineStr">
        <is>
          <t>Targeted payroll, award/classification or salary-arrangement review, scoped to the flagged population.</t>
        </is>
      </c>
      <c r="V226" s="37" t="inlineStr">
        <is>
          <t>PAY_ASSURANCE</t>
        </is>
      </c>
      <c r="W226" s="37" t="inlineStr">
        <is>
          <t>A_B01</t>
        </is>
      </c>
      <c r="X226" s="37" t="inlineStr">
        <is>
          <t>S06;S07;DESIGN</t>
        </is>
      </c>
      <c r="Y226" s="37" t="inlineStr">
        <is>
          <t>https://www.fairwork.gov.au/pay-and-wages/minimum-wages/annualised-salaries
https://www.fairwork.gov.au/newsroom/news/offsetting-and-record-keeping-salaried-employees</t>
        </is>
      </c>
      <c r="Z226" s="37" t="inlineStr">
        <is>
          <t>Assuming a contract clause permits every entitlement to be averaged across a year.</t>
        </is>
      </c>
    </row>
    <row r="227" ht="76" customHeight="1">
      <c r="A227" s="38" t="inlineStr">
        <is>
          <t>B01_1</t>
        </is>
      </c>
      <c r="B227" s="38" t="inlineStr">
        <is>
          <t>B01</t>
        </is>
      </c>
      <c r="C227" s="49" t="n">
        <v>1</v>
      </c>
      <c r="D227" s="38" t="inlineStr">
        <is>
          <t>We have an annual comparison, but have not checked the legal basis or actual work.</t>
        </is>
      </c>
      <c r="E227" s="38" t="inlineStr">
        <is>
          <t>Check the basis of the salary arrangement</t>
        </is>
      </c>
      <c r="F227" s="38" t="inlineStr">
        <is>
          <t>The selected response relies on assumptions, informal decisions or an inconsistent process. The action is to make the relevant check reliable in routine work.</t>
        </is>
      </c>
      <c r="G227" s="38" t="inlineStr">
        <is>
          <t>An annual salary comparison may not establish the legal basis or the checks required for the particular arrangement.</t>
        </is>
      </c>
      <c r="H227" s="38" t="inlineStr">
        <is>
          <t>Salary arrangements and pay exposure</t>
        </is>
      </c>
      <c r="I227" s="49" t="n">
        <v>3</v>
      </c>
      <c r="J227" s="49" t="n">
        <v>3</v>
      </c>
      <c r="K227" s="49" t="n">
        <v>3</v>
      </c>
      <c r="L227" s="38" t="inlineStr">
        <is>
          <t>High provisional concern: an essential element remains unresolved. An annual salary comparison may not establish the legal basis or the checks required for the particular arrangement.</t>
        </is>
      </c>
      <c r="M227" s="38" t="inlineStr">
        <is>
          <t>Replace the assumption with a current check. Identify the type of arrangement and what it can lawfully cover. Test representative actual pay periods and complete any required reconciliations with appropriate specialist advice.</t>
        </is>
      </c>
      <c r="N227" s="38" t="inlineStr">
        <is>
          <t>Identify the arrangement, covered entitlements and applicable record or payment checks. Test actual work rather than assumed hours.</t>
        </is>
      </c>
      <c r="O227" s="38" t="inlineStr">
        <is>
          <t>Resolve differences and complete any required reconciliations or other checks; retest after the next relevant work-pattern change.</t>
        </is>
      </c>
      <c r="P227" s="38" t="inlineStr">
        <is>
          <t>Review or verify within two business days and before the next affected event if earlier. Do not wait where a duty or current harm requires earlier action.</t>
        </is>
      </c>
      <c r="Q227" s="38" t="inlineStr">
        <is>
          <t>The arrangement has been assessed against its applicable legal basis and actual work, required records and payment checks are complete, and discrepancies and related obligations are addressed. Keep unresolved legal-basis or calculation questions open. Confirm that the change works in practice, not only that a document exists.</t>
        </is>
      </c>
      <c r="R227" s="38" t="inlineStr">
        <is>
          <t>The arrangement has been assessed against its applicable legal basis and actual work, required records and payment checks are complete, and discrepancies and related obligations are addressed. Keep unresolved legal-basis or calculation questions open.</t>
        </is>
      </c>
      <c r="S227" s="38" t="inlineStr">
        <is>
          <t>Changed salary, hours, covered entitlements or applicable instrument.</t>
        </is>
      </c>
      <c r="T227" s="38" t="inlineStr">
        <is>
          <t>Payroll lead / owner</t>
        </is>
      </c>
      <c r="U227" s="38" t="inlineStr">
        <is>
          <t>Targeted payroll, award/classification or salary-arrangement review, scoped to the flagged population.</t>
        </is>
      </c>
      <c r="V227" s="38" t="inlineStr">
        <is>
          <t>PAY_ASSURANCE</t>
        </is>
      </c>
      <c r="W227" s="38" t="inlineStr">
        <is>
          <t>A_B01</t>
        </is>
      </c>
      <c r="X227" s="38" t="inlineStr">
        <is>
          <t>S06;S07;DESIGN</t>
        </is>
      </c>
      <c r="Y227" s="38" t="inlineStr">
        <is>
          <t>https://www.fairwork.gov.au/pay-and-wages/minimum-wages/annualised-salaries
https://www.fairwork.gov.au/newsroom/news/offsetting-and-record-keeping-salaried-employees</t>
        </is>
      </c>
      <c r="Z227" s="38" t="inlineStr">
        <is>
          <t>Assuming a contract clause permits every entitlement to be averaged across a year.</t>
        </is>
      </c>
    </row>
    <row r="228" ht="76" customHeight="1">
      <c r="A228" s="37" t="inlineStr">
        <is>
          <t>B01_2</t>
        </is>
      </c>
      <c r="B228" s="37" t="inlineStr">
        <is>
          <t>B01</t>
        </is>
      </c>
      <c r="C228" s="48" t="n">
        <v>2</v>
      </c>
      <c r="D228" s="37" t="inlineStr">
        <is>
          <t>We have documented the arrangement, but some records, pay-period checks or required reconciliations are incomplete.</t>
        </is>
      </c>
      <c r="E228" s="37" t="inlineStr">
        <is>
          <t>Complete the remaining check: check the basis of the salary arrangement</t>
        </is>
      </c>
      <c r="F228" s="37" t="inlineStr">
        <is>
          <t>The selected response identifies an incomplete element within an existing practice. Keep what works and target the unresolved part; the stronger elements do not cancel the gap.</t>
        </is>
      </c>
      <c r="G228" s="37" t="inlineStr">
        <is>
          <t>An annual salary comparison may not establish the legal basis or the checks required for the particular arrangement.</t>
        </is>
      </c>
      <c r="H228" s="37" t="inlineStr">
        <is>
          <t>Salary arrangements and pay exposure</t>
        </is>
      </c>
      <c r="I228" s="48" t="n">
        <v>3</v>
      </c>
      <c r="J228" s="48" t="n">
        <v>3</v>
      </c>
      <c r="K228" s="48" t="n">
        <v>3</v>
      </c>
      <c r="L228" s="37" t="inlineStr">
        <is>
          <t>High provisional concern: an essential element remains unresolved. An annual salary comparison may not establish the legal basis or the checks required for the particular arrangement.</t>
        </is>
      </c>
      <c r="M228" s="37" t="inlineStr">
        <is>
          <t>Focus on the unresolved arrangements or exceptions. Identify the type of arrangement and what it can lawfully cover. Test representative actual pay periods and complete any required reconciliations with appropriate specialist advice.</t>
        </is>
      </c>
      <c r="N228" s="37" t="inlineStr">
        <is>
          <t>Identify the arrangement, covered entitlements and applicable record or payment checks. Test actual work rather than assumed hours.</t>
        </is>
      </c>
      <c r="O228" s="37" t="inlineStr">
        <is>
          <t>Resolve differences and complete any required reconciliations or other checks; retest after the next relevant work-pattern change.</t>
        </is>
      </c>
      <c r="P228" s="37" t="inlineStr">
        <is>
          <t>Review or verify within two business days and before the next affected event if earlier. Do not wait where a duty or current harm requires earlier action.</t>
        </is>
      </c>
      <c r="Q228" s="37" t="inlineStr">
        <is>
          <t>The arrangement has been assessed against its applicable legal basis and actual work, required records and payment checks are complete, and discrepancies and related obligations are addressed. Keep unresolved legal-basis or calculation questions open. Confirm that the change works in practice, not only that a document exists.</t>
        </is>
      </c>
      <c r="R228" s="37" t="inlineStr">
        <is>
          <t>The arrangement has been assessed against its applicable legal basis and actual work, required records and payment checks are complete, and discrepancies and related obligations are addressed. Keep unresolved legal-basis or calculation questions open.</t>
        </is>
      </c>
      <c r="S228" s="37" t="inlineStr">
        <is>
          <t>Changed salary, hours, covered entitlements or applicable instrument.</t>
        </is>
      </c>
      <c r="T228" s="37" t="inlineStr">
        <is>
          <t>Payroll lead / owner</t>
        </is>
      </c>
      <c r="U228" s="37" t="inlineStr">
        <is>
          <t>Targeted payroll, award/classification or salary-arrangement review, scoped to the flagged population.</t>
        </is>
      </c>
      <c r="V228" s="37" t="inlineStr">
        <is>
          <t>PAY_ASSURANCE</t>
        </is>
      </c>
      <c r="W228" s="37" t="inlineStr">
        <is>
          <t>A_B01</t>
        </is>
      </c>
      <c r="X228" s="37" t="inlineStr">
        <is>
          <t>S06;S07;DESIGN</t>
        </is>
      </c>
      <c r="Y228" s="37" t="inlineStr">
        <is>
          <t>https://www.fairwork.gov.au/pay-and-wages/minimum-wages/annualised-salaries
https://www.fairwork.gov.au/newsroom/news/offsetting-and-record-keeping-salaried-employees</t>
        </is>
      </c>
      <c r="Z228" s="37" t="inlineStr">
        <is>
          <t>Assuming a contract clause permits every entitlement to be averaged across a year.</t>
        </is>
      </c>
    </row>
    <row r="229" ht="76" customHeight="1">
      <c r="A229" s="38" t="inlineStr">
        <is>
          <t>B01_3</t>
        </is>
      </c>
      <c r="B229" s="38" t="inlineStr">
        <is>
          <t>B01</t>
        </is>
      </c>
      <c r="C229" s="49" t="n">
        <v>3</v>
      </c>
      <c r="D229" s="38" t="inlineStr">
        <is>
          <t>We have checked the legal basis and perform the records, payment checks and reconciliations required for the particular arrangement.</t>
        </is>
      </c>
      <c r="E229" s="38" t="inlineStr">
        <is>
          <t>Maintain and test: check the basis of the salary arrangement</t>
        </is>
      </c>
      <c r="F229" s="38" t="inlineStr">
        <is>
          <t>The selected response reports an established and checked practice. The tool has not inspected the evidence and cannot certify the absence of risk.</t>
        </is>
      </c>
      <c r="G229" s="38" t="inlineStr">
        <is>
          <t>An annual salary comparison may not establish the legal basis or the checks required for the particular arrangement.</t>
        </is>
      </c>
      <c r="H229" s="38" t="inlineStr">
        <is>
          <t>Salary arrangements and pay exposure</t>
        </is>
      </c>
      <c r="I229" s="49" t="n">
        <v>3</v>
      </c>
      <c r="J229" s="49" t="n">
        <v>1</v>
      </c>
      <c r="K229" s="49" t="n">
        <v>1</v>
      </c>
      <c r="L229" s="38" t="inlineStr">
        <is>
          <t>Lower reported concern, not a finding of no risk. The assumed controls are self-reported; a current incident, contrary evidence or failed control takes precedence.</t>
        </is>
      </c>
      <c r="M229" s="38" t="inlineStr">
        <is>
          <t>Maintain the practice described. At the next relevant review, resolve differences and complete any required reconciliations or other checks; retest after the next relevant work-pattern change.</t>
        </is>
      </c>
      <c r="N229" s="38" t="inlineStr">
        <is>
          <t>Check whether changes in work, people or applicable requirements have made the original process less reliable.</t>
        </is>
      </c>
      <c r="O229" s="38" t="inlineStr">
        <is>
          <t>Retain the review outcome and act on any new exception. An unresolved live issue overrides this maintenance pathway.</t>
        </is>
      </c>
      <c r="P229" s="38" t="inlineStr">
        <is>
          <t>Maintain at the stated trigger; for a new low-priority improvement, plan within 90 days.</t>
        </is>
      </c>
      <c r="Q229" s="38" t="inlineStr">
        <is>
          <t>A current example of the practice and a proportionate recheck record. The arrangement has been assessed against its applicable legal basis and actual work, required records and payment checks are complete, and discrepancies and related obligations are addressed. Keep unresolved legal-basis or calculation questions open.</t>
        </is>
      </c>
      <c r="R229" s="38" t="inlineStr">
        <is>
          <t>The arrangement has been assessed against its applicable legal basis and actual work, required records and payment checks are complete, and discrepancies and related obligations are addressed. Keep unresolved legal-basis or calculation questions open.</t>
        </is>
      </c>
      <c r="S229" s="38" t="inlineStr">
        <is>
          <t>Changed salary, hours, covered entitlements or applicable instrument.</t>
        </is>
      </c>
      <c r="T229" s="38" t="inlineStr">
        <is>
          <t>Payroll lead / owner</t>
        </is>
      </c>
      <c r="U229" s="38" t="inlineStr">
        <is>
          <t>No further purchase is implied by this result. Seek support only for a material change, unresolved exception or chosen improvement.</t>
        </is>
      </c>
      <c r="V229" s="38" t="inlineStr">
        <is>
          <t>PAY_ASSURANCE</t>
        </is>
      </c>
      <c r="W229" s="38" t="inlineStr">
        <is>
          <t>A_B01</t>
        </is>
      </c>
      <c r="X229" s="38" t="inlineStr">
        <is>
          <t>S06;S07;DESIGN</t>
        </is>
      </c>
      <c r="Y229" s="38" t="inlineStr">
        <is>
          <t>https://www.fairwork.gov.au/pay-and-wages/minimum-wages/annualised-salaries
https://www.fairwork.gov.au/newsroom/news/offsetting-and-record-keeping-salaried-employees</t>
        </is>
      </c>
      <c r="Z229" s="38" t="inlineStr">
        <is>
          <t>Assuming a contract clause permits every entitlement to be averaged across a year.</t>
        </is>
      </c>
    </row>
    <row r="230" ht="76" customHeight="1">
      <c r="A230" s="37" t="inlineStr">
        <is>
          <t>B01_DK</t>
        </is>
      </c>
      <c r="B230" s="37" t="inlineStr">
        <is>
          <t>B01</t>
        </is>
      </c>
      <c r="C230" s="37" t="inlineStr">
        <is>
          <t>DK</t>
        </is>
      </c>
      <c r="D230" s="37" t="inlineStr">
        <is>
          <t>I need to confirm this.</t>
        </is>
      </c>
      <c r="E230" s="37" t="inlineStr">
        <is>
          <t>Verify: check the basis of the salary arrangement</t>
        </is>
      </c>
      <c r="F230" s="37" t="inlineStr">
        <is>
          <t>This answer identifies a knowledge gap. It does not establish that the practice is missing, that harm has occurred or that a legal duty has been breached.</t>
        </is>
      </c>
      <c r="G230" s="37" t="inlineStr">
        <is>
          <t>An annual salary comparison may not establish the legal basis or the checks required for the particular arrangement.</t>
        </is>
      </c>
      <c r="H230" s="37" t="inlineStr">
        <is>
          <t>Salary arrangements and pay exposure</t>
        </is>
      </c>
      <c r="I230" s="48" t="n">
        <v>3</v>
      </c>
      <c r="J230" s="48" t="n">
        <v>0</v>
      </c>
      <c r="K230" s="48" t="n">
        <v>3</v>
      </c>
      <c r="L230" s="37" t="inlineStr">
        <is>
          <t>The risk is not rated from an unknown answer. Verification is High priority because: An annual salary comparison may not establish the legal basis or the checks required for the particular arrangement.</t>
        </is>
      </c>
      <c r="M230" s="37" t="inlineStr">
        <is>
          <t>Ask the payroll lead / owner to show a current example of the process and the evidence listed below. Confirm the answer before deciding what must be repaired.</t>
        </is>
      </c>
      <c r="N230" s="37" t="inlineStr">
        <is>
          <t>Compare the example with the established-practice description: We have checked the legal basis and perform the records, payment checks and reconciliations required for the particular arrangement.</t>
        </is>
      </c>
      <c r="O230" s="37" t="inlineStr">
        <is>
          <t>Record what was checked, by whom and when. If it remains unclear, keep the verification task open and agree any proportionate interim safeguard.</t>
        </is>
      </c>
      <c r="P230" s="37" t="inlineStr">
        <is>
          <t>Review or verify within two business days and before the next affected event if earlier. Do not wait where a duty or current harm requires earlier action.</t>
        </is>
      </c>
      <c r="Q230" s="37" t="inlineStr">
        <is>
          <t>A dated verification record, the supporting example, an updated answer and any remaining action. No automatic compliance conclusion.</t>
        </is>
      </c>
      <c r="R230" s="37" t="inlineStr">
        <is>
          <t>The arrangement has been assessed against its applicable legal basis and actual work, required records and payment checks are complete, and discrepancies and related obligations are addressed. Keep unresolved legal-basis or calculation questions open.</t>
        </is>
      </c>
      <c r="S230" s="37" t="inlineStr">
        <is>
          <t>Changed salary, hours, covered entitlements or applicable instrument.</t>
        </is>
      </c>
      <c r="T230" s="37" t="inlineStr">
        <is>
          <t>Payroll lead / owner</t>
        </is>
      </c>
      <c r="U230" s="37" t="inlineStr">
        <is>
          <t>Targeted payroll, award/classification or salary-arrangement review, scoped to the flagged population.</t>
        </is>
      </c>
      <c r="V230" s="37" t="inlineStr">
        <is>
          <t>PAY_ASSURANCE</t>
        </is>
      </c>
      <c r="W230" s="37" t="inlineStr">
        <is>
          <t>A_B01</t>
        </is>
      </c>
      <c r="X230" s="37" t="inlineStr">
        <is>
          <t>S06;S07;DESIGN</t>
        </is>
      </c>
      <c r="Y230" s="37" t="inlineStr">
        <is>
          <t>https://www.fairwork.gov.au/pay-and-wages/minimum-wages/annualised-salaries
https://www.fairwork.gov.au/newsroom/news/offsetting-and-record-keeping-salaried-employees</t>
        </is>
      </c>
      <c r="Z230" s="37" t="inlineStr">
        <is>
          <t>Assuming a contract clause permits every entitlement to be averaged across a year.</t>
        </is>
      </c>
    </row>
    <row r="231" ht="61" customHeight="1">
      <c r="A231" s="38" t="inlineStr">
        <is>
          <t>B02_0</t>
        </is>
      </c>
      <c r="B231" s="38" t="inlineStr">
        <is>
          <t>B02</t>
        </is>
      </c>
      <c r="C231" s="49" t="n">
        <v>0</v>
      </c>
      <c r="D231" s="38" t="inlineStr">
        <is>
          <t>We assume casual employees cannot seek permanent employment or that a small business is exempt.</t>
        </is>
      </c>
      <c r="E231" s="38" t="inlineStr">
        <is>
          <t>Update the casual-to-permanent process</t>
        </is>
      </c>
      <c r="F231" s="38" t="inlineStr">
        <is>
          <t>The selected response reports a missing or unestablished element. Confirm the affected arrangements before drawing a conclusion about any actual breach or harm.</t>
        </is>
      </c>
      <c r="G231" s="38" t="inlineStr">
        <is>
          <t>An eligible notice may be mishandled if the business relies on obsolete conversion assumptions or an incorrect small-business exemption.</t>
        </is>
      </c>
      <c r="H231" s="38" t="inlineStr">
        <is>
          <t>Casual employment rights</t>
        </is>
      </c>
      <c r="I231" s="49" t="n">
        <v>3</v>
      </c>
      <c r="J231" s="49" t="n">
        <v>3</v>
      </c>
      <c r="K231" s="49" t="n">
        <v>3</v>
      </c>
      <c r="L231" s="38" t="inlineStr">
        <is>
          <t>High provisional concern: an essential element remains unresolved. An eligible notice may be mishandled if the business relies on obsolete conversion assumptions or an incorrect small-business exemption.</t>
        </is>
      </c>
      <c r="M231" s="38" t="inlineStr">
        <is>
          <t>Review casual employment patterns and prepare a notice-response checklist using the current employee choice rules. Confirm the relevant small-business status rather than relying on the local team size.</t>
        </is>
      </c>
      <c r="N231" s="38" t="inlineStr">
        <is>
          <t>Check eligibility under the applicable pathway, discuss the notice and prepare the required reasoned response.</t>
        </is>
      </c>
      <c r="O231" s="38" t="inlineStr">
        <is>
          <t>Record the response date and any agreed change in status, then confirm payroll and terms match it.</t>
        </is>
      </c>
      <c r="P231" s="38" t="inlineStr">
        <is>
          <t>Review or verify within two business days and before the next affected event if earlier. Do not wait where a duty or current harm requires earlier action.</t>
        </is>
      </c>
      <c r="Q231" s="38" t="inlineStr">
        <is>
          <t>A current employee-choice process has been checked against the applicable eligibility, consultation and response requirements; any live request has been decided and communicated as required, with implementation recorded. Confirm that the change works in practice, not only that a document exists.</t>
        </is>
      </c>
      <c r="R231" s="38" t="inlineStr">
        <is>
          <t>A current employee-choice process has been checked against the applicable eligibility, consultation and response requirements; any live request has been decided and communicated as required, with implementation recorded.</t>
        </is>
      </c>
      <c r="S231" s="38" t="inlineStr">
        <is>
          <t>An eligible employee notice or changed pathway requirements.</t>
        </is>
      </c>
      <c r="T231" s="38" t="inlineStr">
        <is>
          <t>Owner / HR lead</t>
        </is>
      </c>
      <c r="U231" s="38" t="inlineStr">
        <is>
          <t>Employment terms and engagement review, with legal referral for issues outside the agreed HR advisory scope.</t>
        </is>
      </c>
      <c r="V231" s="38" t="inlineStr">
        <is>
          <t>TERMS</t>
        </is>
      </c>
      <c r="W231" s="38" t="inlineStr">
        <is>
          <t>A_B02</t>
        </is>
      </c>
      <c r="X231" s="38" t="inlineStr">
        <is>
          <t>S02;S03;DESIGN</t>
        </is>
      </c>
      <c r="Y231" s="38" t="inlineStr">
        <is>
          <t>https://www.fairwork.gov.au/taxonomy/term/527
https://www.fairwork.gov.au/starting-employment/types-of-employees/casual-employees/becoming-a-permanent-employee</t>
        </is>
      </c>
      <c r="Z231" s="38" t="inlineStr">
        <is>
          <t>Assuming that being a small business removes the pathway entirely.</t>
        </is>
      </c>
    </row>
    <row r="232" ht="61" customHeight="1">
      <c r="A232" s="37" t="inlineStr">
        <is>
          <t>B02_1</t>
        </is>
      </c>
      <c r="B232" s="37" t="inlineStr">
        <is>
          <t>B02</t>
        </is>
      </c>
      <c r="C232" s="48" t="n">
        <v>1</v>
      </c>
      <c r="D232" s="37" t="inlineStr">
        <is>
          <t>We would respond informally without checking eligibility or the required process.</t>
        </is>
      </c>
      <c r="E232" s="37" t="inlineStr">
        <is>
          <t>Update the casual-to-permanent process</t>
        </is>
      </c>
      <c r="F232" s="37" t="inlineStr">
        <is>
          <t>The selected response relies on assumptions, informal decisions or an inconsistent process. The action is to make the relevant check reliable in routine work.</t>
        </is>
      </c>
      <c r="G232" s="37" t="inlineStr">
        <is>
          <t>An eligible notice may be mishandled if the business relies on obsolete conversion assumptions or an incorrect small-business exemption.</t>
        </is>
      </c>
      <c r="H232" s="37" t="inlineStr">
        <is>
          <t>Casual employment rights</t>
        </is>
      </c>
      <c r="I232" s="48" t="n">
        <v>3</v>
      </c>
      <c r="J232" s="48" t="n">
        <v>3</v>
      </c>
      <c r="K232" s="48" t="n">
        <v>3</v>
      </c>
      <c r="L232" s="37" t="inlineStr">
        <is>
          <t>High provisional concern: an essential element remains unresolved. An eligible notice may be mishandled if the business relies on obsolete conversion assumptions or an incorrect small-business exemption.</t>
        </is>
      </c>
      <c r="M232" s="37" t="inlineStr">
        <is>
          <t>Replace the assumption with a current check. Review casual employment patterns and prepare a notice-response checklist using the current employee choice rules. Confirm the relevant small-business status rather than relying on the local team size.</t>
        </is>
      </c>
      <c r="N232" s="37" t="inlineStr">
        <is>
          <t>Check eligibility under the applicable pathway, discuss the notice and prepare the required reasoned response.</t>
        </is>
      </c>
      <c r="O232" s="37" t="inlineStr">
        <is>
          <t>Record the response date and any agreed change in status, then confirm payroll and terms match it.</t>
        </is>
      </c>
      <c r="P232" s="37" t="inlineStr">
        <is>
          <t>Review or verify within two business days and before the next affected event if earlier. Do not wait where a duty or current harm requires earlier action.</t>
        </is>
      </c>
      <c r="Q232" s="37" t="inlineStr">
        <is>
          <t>A current employee-choice process has been checked against the applicable eligibility, consultation and response requirements; any live request has been decided and communicated as required, with implementation recorded. Confirm that the change works in practice, not only that a document exists.</t>
        </is>
      </c>
      <c r="R232" s="37" t="inlineStr">
        <is>
          <t>A current employee-choice process has been checked against the applicable eligibility, consultation and response requirements; any live request has been decided and communicated as required, with implementation recorded.</t>
        </is>
      </c>
      <c r="S232" s="37" t="inlineStr">
        <is>
          <t>An eligible employee notice or changed pathway requirements.</t>
        </is>
      </c>
      <c r="T232" s="37" t="inlineStr">
        <is>
          <t>Owner / HR lead</t>
        </is>
      </c>
      <c r="U232" s="37" t="inlineStr">
        <is>
          <t>Employment terms and engagement review, with legal referral for issues outside the agreed HR advisory scope.</t>
        </is>
      </c>
      <c r="V232" s="37" t="inlineStr">
        <is>
          <t>TERMS</t>
        </is>
      </c>
      <c r="W232" s="37" t="inlineStr">
        <is>
          <t>A_B02</t>
        </is>
      </c>
      <c r="X232" s="37" t="inlineStr">
        <is>
          <t>S02;S03;DESIGN</t>
        </is>
      </c>
      <c r="Y232" s="37" t="inlineStr">
        <is>
          <t>https://www.fairwork.gov.au/taxonomy/term/527
https://www.fairwork.gov.au/starting-employment/types-of-employees/casual-employees/becoming-a-permanent-employee</t>
        </is>
      </c>
      <c r="Z232" s="37" t="inlineStr">
        <is>
          <t>Assuming that being a small business removes the pathway entirely.</t>
        </is>
      </c>
    </row>
    <row r="233" ht="61" customHeight="1">
      <c r="A233" s="38" t="inlineStr">
        <is>
          <t>B02_2</t>
        </is>
      </c>
      <c r="B233" s="38" t="inlineStr">
        <is>
          <t>B02</t>
        </is>
      </c>
      <c r="C233" s="49" t="n">
        <v>2</v>
      </c>
      <c r="D233" s="38" t="inlineStr">
        <is>
          <t>We know the pathway, but consultation, written responses or deadlines need review.</t>
        </is>
      </c>
      <c r="E233" s="38" t="inlineStr">
        <is>
          <t>Complete the remaining check: update the casual-to-permanent process</t>
        </is>
      </c>
      <c r="F233" s="38" t="inlineStr">
        <is>
          <t>The selected response identifies an incomplete element within an existing practice. Keep what works and target the unresolved part; the stronger elements do not cancel the gap.</t>
        </is>
      </c>
      <c r="G233" s="38" t="inlineStr">
        <is>
          <t>An eligible notice may be mishandled if the business relies on obsolete conversion assumptions or an incorrect small-business exemption.</t>
        </is>
      </c>
      <c r="H233" s="38" t="inlineStr">
        <is>
          <t>Casual employment rights</t>
        </is>
      </c>
      <c r="I233" s="49" t="n">
        <v>3</v>
      </c>
      <c r="J233" s="49" t="n">
        <v>2</v>
      </c>
      <c r="K233" s="49" t="n">
        <v>2</v>
      </c>
      <c r="L233" s="38" t="inlineStr">
        <is>
          <t>Medium provisional concern: a material practice needs improvement. An eligible notice may be mishandled if the business relies on obsolete conversion assumptions or an incorrect small-business exemption.</t>
        </is>
      </c>
      <c r="M233" s="38" t="inlineStr">
        <is>
          <t>Focus on the unresolved arrangements or exceptions. Review casual employment patterns and prepare a notice-response checklist using the current employee choice rules. Confirm the relevant small-business status rather than relying on the local team size.</t>
        </is>
      </c>
      <c r="N233" s="38" t="inlineStr">
        <is>
          <t>Check eligibility under the applicable pathway, discuss the notice and prepare the required reasoned response.</t>
        </is>
      </c>
      <c r="O233" s="38" t="inlineStr">
        <is>
          <t>Record the response date and any agreed change in status, then confirm payroll and terms match it.</t>
        </is>
      </c>
      <c r="P233" s="38" t="inlineStr">
        <is>
          <t>Agree an owner and plan within 30 days, or before the next affected event if earlier.</t>
        </is>
      </c>
      <c r="Q233" s="38" t="inlineStr">
        <is>
          <t>A current employee-choice process has been checked against the applicable eligibility, consultation and response requirements; any live request has been decided and communicated as required, with implementation recorded. Confirm that the change works in practice, not only that a document exists.</t>
        </is>
      </c>
      <c r="R233" s="38" t="inlineStr">
        <is>
          <t>A current employee-choice process has been checked against the applicable eligibility, consultation and response requirements; any live request has been decided and communicated as required, with implementation recorded.</t>
        </is>
      </c>
      <c r="S233" s="38" t="inlineStr">
        <is>
          <t>An eligible employee notice or changed pathway requirements.</t>
        </is>
      </c>
      <c r="T233" s="38" t="inlineStr">
        <is>
          <t>Owner / HR lead</t>
        </is>
      </c>
      <c r="U233" s="38" t="inlineStr">
        <is>
          <t>Employment terms and engagement review, with legal referral for issues outside the agreed HR advisory scope.</t>
        </is>
      </c>
      <c r="V233" s="38" t="inlineStr">
        <is>
          <t>TERMS</t>
        </is>
      </c>
      <c r="W233" s="38" t="inlineStr">
        <is>
          <t>A_B02</t>
        </is>
      </c>
      <c r="X233" s="38" t="inlineStr">
        <is>
          <t>S02;S03;DESIGN</t>
        </is>
      </c>
      <c r="Y233" s="38" t="inlineStr">
        <is>
          <t>https://www.fairwork.gov.au/taxonomy/term/527
https://www.fairwork.gov.au/starting-employment/types-of-employees/casual-employees/becoming-a-permanent-employee</t>
        </is>
      </c>
      <c r="Z233" s="38" t="inlineStr">
        <is>
          <t>Assuming that being a small business removes the pathway entirely.</t>
        </is>
      </c>
    </row>
    <row r="234" ht="61" customHeight="1">
      <c r="A234" s="37" t="inlineStr">
        <is>
          <t>B02_3</t>
        </is>
      </c>
      <c r="B234" s="37" t="inlineStr">
        <is>
          <t>B02</t>
        </is>
      </c>
      <c r="C234" s="48" t="n">
        <v>3</v>
      </c>
      <c r="D234" s="37" t="inlineStr">
        <is>
          <t>We check eligibility, consult and provide a written response within the required period, keeping an appropriate record.</t>
        </is>
      </c>
      <c r="E234" s="37" t="inlineStr">
        <is>
          <t>Maintain and test: update the casual-to-permanent process</t>
        </is>
      </c>
      <c r="F234" s="37" t="inlineStr">
        <is>
          <t>The selected response reports an established and checked practice. The tool has not inspected the evidence and cannot certify the absence of risk.</t>
        </is>
      </c>
      <c r="G234" s="37" t="inlineStr">
        <is>
          <t>An eligible notice may be mishandled if the business relies on obsolete conversion assumptions or an incorrect small-business exemption.</t>
        </is>
      </c>
      <c r="H234" s="37" t="inlineStr">
        <is>
          <t>Casual employment rights</t>
        </is>
      </c>
      <c r="I234" s="48" t="n">
        <v>3</v>
      </c>
      <c r="J234" s="48" t="n">
        <v>1</v>
      </c>
      <c r="K234" s="48" t="n">
        <v>1</v>
      </c>
      <c r="L234" s="37" t="inlineStr">
        <is>
          <t>Lower reported concern, not a finding of no risk. The assumed controls are self-reported; a current incident, contrary evidence or failed control takes precedence.</t>
        </is>
      </c>
      <c r="M234" s="37" t="inlineStr">
        <is>
          <t>Maintain the practice described. At the next relevant review, record the response date and any agreed change in status, then confirm payroll and terms match it.</t>
        </is>
      </c>
      <c r="N234" s="37" t="inlineStr">
        <is>
          <t>Check whether changes in work, people or applicable requirements have made the original process less reliable.</t>
        </is>
      </c>
      <c r="O234" s="37" t="inlineStr">
        <is>
          <t>Retain the review outcome and act on any new exception. An unresolved live issue overrides this maintenance pathway.</t>
        </is>
      </c>
      <c r="P234" s="37" t="inlineStr">
        <is>
          <t>Maintain at the stated trigger; for a new low-priority improvement, plan within 90 days.</t>
        </is>
      </c>
      <c r="Q234" s="37" t="inlineStr">
        <is>
          <t>A current example of the practice and a proportionate recheck record. A current employee-choice process has been checked against the applicable eligibility, consultation and response requirements; any live request has been decided and communicated as required, with implementation recorded.</t>
        </is>
      </c>
      <c r="R234" s="37" t="inlineStr">
        <is>
          <t>A current employee-choice process has been checked against the applicable eligibility, consultation and response requirements; any live request has been decided and communicated as required, with implementation recorded.</t>
        </is>
      </c>
      <c r="S234" s="37" t="inlineStr">
        <is>
          <t>An eligible employee notice or changed pathway requirements.</t>
        </is>
      </c>
      <c r="T234" s="37" t="inlineStr">
        <is>
          <t>Owner / HR lead</t>
        </is>
      </c>
      <c r="U234" s="37" t="inlineStr">
        <is>
          <t>No further purchase is implied by this result. Seek support only for a material change, unresolved exception or chosen improvement.</t>
        </is>
      </c>
      <c r="V234" s="37" t="inlineStr">
        <is>
          <t>TERMS</t>
        </is>
      </c>
      <c r="W234" s="37" t="inlineStr">
        <is>
          <t>A_B02</t>
        </is>
      </c>
      <c r="X234" s="37" t="inlineStr">
        <is>
          <t>S02;S03;DESIGN</t>
        </is>
      </c>
      <c r="Y234" s="37" t="inlineStr">
        <is>
          <t>https://www.fairwork.gov.au/taxonomy/term/527
https://www.fairwork.gov.au/starting-employment/types-of-employees/casual-employees/becoming-a-permanent-employee</t>
        </is>
      </c>
      <c r="Z234" s="37" t="inlineStr">
        <is>
          <t>Assuming that being a small business removes the pathway entirely.</t>
        </is>
      </c>
    </row>
    <row r="235" ht="61" customHeight="1">
      <c r="A235" s="38" t="inlineStr">
        <is>
          <t>B02_DK</t>
        </is>
      </c>
      <c r="B235" s="38" t="inlineStr">
        <is>
          <t>B02</t>
        </is>
      </c>
      <c r="C235" s="38" t="inlineStr">
        <is>
          <t>DK</t>
        </is>
      </c>
      <c r="D235" s="38" t="inlineStr">
        <is>
          <t>I need to confirm this.</t>
        </is>
      </c>
      <c r="E235" s="38" t="inlineStr">
        <is>
          <t>Verify: update the casual-to-permanent process</t>
        </is>
      </c>
      <c r="F235" s="38" t="inlineStr">
        <is>
          <t>This answer identifies a knowledge gap. It does not establish that the practice is missing, that harm has occurred or that a legal duty has been breached.</t>
        </is>
      </c>
      <c r="G235" s="38" t="inlineStr">
        <is>
          <t>An eligible notice may be mishandled if the business relies on obsolete conversion assumptions or an incorrect small-business exemption.</t>
        </is>
      </c>
      <c r="H235" s="38" t="inlineStr">
        <is>
          <t>Casual employment rights</t>
        </is>
      </c>
      <c r="I235" s="49" t="n">
        <v>3</v>
      </c>
      <c r="J235" s="49" t="n">
        <v>0</v>
      </c>
      <c r="K235" s="49" t="n">
        <v>3</v>
      </c>
      <c r="L235" s="38" t="inlineStr">
        <is>
          <t>The risk is not rated from an unknown answer. Verification is High priority because: An eligible notice may be mishandled if the business relies on obsolete conversion assumptions or an incorrect small-business exemption.</t>
        </is>
      </c>
      <c r="M235" s="38" t="inlineStr">
        <is>
          <t>Ask the owner / hr lead to show a current example of the process and the evidence listed below. Confirm the answer before deciding what must be repaired.</t>
        </is>
      </c>
      <c r="N235" s="38" t="inlineStr">
        <is>
          <t>Compare the example with the established-practice description: We check eligibility, consult and provide a written response within the required period, keeping an appropriate record.</t>
        </is>
      </c>
      <c r="O235" s="38" t="inlineStr">
        <is>
          <t>Record what was checked, by whom and when. If it remains unclear, keep the verification task open and agree any proportionate interim safeguard.</t>
        </is>
      </c>
      <c r="P235" s="38" t="inlineStr">
        <is>
          <t>Review or verify within two business days and before the next affected event if earlier. Do not wait where a duty or current harm requires earlier action.</t>
        </is>
      </c>
      <c r="Q235" s="38" t="inlineStr">
        <is>
          <t>A dated verification record, the supporting example, an updated answer and any remaining action. No automatic compliance conclusion.</t>
        </is>
      </c>
      <c r="R235" s="38" t="inlineStr">
        <is>
          <t>A current employee-choice process has been checked against the applicable eligibility, consultation and response requirements; any live request has been decided and communicated as required, with implementation recorded.</t>
        </is>
      </c>
      <c r="S235" s="38" t="inlineStr">
        <is>
          <t>An eligible employee notice or changed pathway requirements.</t>
        </is>
      </c>
      <c r="T235" s="38" t="inlineStr">
        <is>
          <t>Owner / HR lead</t>
        </is>
      </c>
      <c r="U235" s="38" t="inlineStr">
        <is>
          <t>Employment terms and engagement review, with legal referral for issues outside the agreed HR advisory scope.</t>
        </is>
      </c>
      <c r="V235" s="38" t="inlineStr">
        <is>
          <t>TERMS</t>
        </is>
      </c>
      <c r="W235" s="38" t="inlineStr">
        <is>
          <t>A_B02</t>
        </is>
      </c>
      <c r="X235" s="38" t="inlineStr">
        <is>
          <t>S02;S03;DESIGN</t>
        </is>
      </c>
      <c r="Y235" s="38" t="inlineStr">
        <is>
          <t>https://www.fairwork.gov.au/taxonomy/term/527
https://www.fairwork.gov.au/starting-employment/types-of-employees/casual-employees/becoming-a-permanent-employee</t>
        </is>
      </c>
      <c r="Z235" s="38" t="inlineStr">
        <is>
          <t>Assuming that being a small business removes the pathway entirely.</t>
        </is>
      </c>
    </row>
    <row r="236" ht="46" customHeight="1">
      <c r="A236" s="37" t="inlineStr">
        <is>
          <t>B03_0</t>
        </is>
      </c>
      <c r="B236" s="37" t="inlineStr">
        <is>
          <t>B03</t>
        </is>
      </c>
      <c r="C236" s="48" t="n">
        <v>0</v>
      </c>
      <c r="D236" s="37" t="inlineStr">
        <is>
          <t>We do not provide the CEIS.</t>
        </is>
      </c>
      <c r="E236" s="37" t="inlineStr">
        <is>
          <t>Add the CEIS dates after commencement</t>
        </is>
      </c>
      <c r="F236" s="37" t="inlineStr">
        <is>
          <t>The selected response reports a missing or unestablished element. Confirm the affected arrangements before drawing a conclusion about any actual breach or harm.</t>
        </is>
      </c>
      <c r="G236" s="37" t="inlineStr">
        <is>
          <t>A commencement-only process can miss later statement delivery requirements.</t>
        </is>
      </c>
      <c r="H236" s="37" t="inlineStr">
        <is>
          <t>Casual information obligations</t>
        </is>
      </c>
      <c r="I236" s="48" t="n">
        <v>2</v>
      </c>
      <c r="J236" s="48" t="n">
        <v>2</v>
      </c>
      <c r="K236" s="48" t="n">
        <v>2</v>
      </c>
      <c r="L236" s="37" t="inlineStr">
        <is>
          <t>Medium provisional concern: a material practice needs improvement. A commencement-only process can miss later statement delivery requirements.</t>
        </is>
      </c>
      <c r="M236" s="37" t="inlineStr">
        <is>
          <t>Add the applicable issue dates to the casual employee register and check delivery for anyone whose date has already passed.</t>
        </is>
      </c>
      <c r="N236" s="37" t="inlineStr">
        <is>
          <t>Set the applicable issue milestones for the employer type and identify the current statement version.</t>
        </is>
      </c>
      <c r="O236" s="37" t="inlineStr">
        <is>
          <t>Check the delivery record for a casual who has reached a relevant milestone and address missed delivery.</t>
        </is>
      </c>
      <c r="P236" s="37" t="inlineStr">
        <is>
          <t>Agree an owner and plan within 30 days, or before the next affected event if earlier.</t>
        </is>
      </c>
      <c r="Q236" s="37" t="inlineStr">
        <is>
          <t>A current casual register with statement due dates and delivery records. Confirm that the change works in practice, not only that a document exists.</t>
        </is>
      </c>
      <c r="R236" s="37" t="inlineStr">
        <is>
          <t>A current casual register with statement due dates and delivery records.</t>
        </is>
      </c>
      <c r="S236" s="37" t="inlineStr">
        <is>
          <t>Service milestones or revised CEIS versions.</t>
        </is>
      </c>
      <c r="T236" s="37" t="inlineStr">
        <is>
          <t>Hiring manager / coordinator</t>
        </is>
      </c>
      <c r="U236" s="37" t="inlineStr">
        <is>
          <t>Practical onboarding workflow and required-information controls.</t>
        </is>
      </c>
      <c r="V236" s="37" t="inlineStr">
        <is>
          <t>START_SAFE</t>
        </is>
      </c>
      <c r="W236" s="37" t="inlineStr">
        <is>
          <t>A_B03</t>
        </is>
      </c>
      <c r="X236" s="37" t="inlineStr">
        <is>
          <t>S04;DESIGN</t>
        </is>
      </c>
      <c r="Y236" s="37" t="inlineStr">
        <is>
          <t>https://www.fairwork.gov.au/employment-conditions/information-statements/casual-employment-information-statement</t>
        </is>
      </c>
      <c r="Z236" s="37" t="inlineStr">
        <is>
          <t>Using one generic annual reminder for every casual without checking the required milestones.</t>
        </is>
      </c>
    </row>
    <row r="237" ht="46" customHeight="1">
      <c r="A237" s="38" t="inlineStr">
        <is>
          <t>B03_1</t>
        </is>
      </c>
      <c r="B237" s="38" t="inlineStr">
        <is>
          <t>B03</t>
        </is>
      </c>
      <c r="C237" s="49" t="n">
        <v>1</v>
      </c>
      <c r="D237" s="38" t="inlineStr">
        <is>
          <t>We provide it only when the person starts.</t>
        </is>
      </c>
      <c r="E237" s="38" t="inlineStr">
        <is>
          <t>Add the CEIS dates after commencement</t>
        </is>
      </c>
      <c r="F237" s="38" t="inlineStr">
        <is>
          <t>The selected response relies on assumptions, informal decisions or an inconsistent process. The action is to make the relevant check reliable in routine work.</t>
        </is>
      </c>
      <c r="G237" s="38" t="inlineStr">
        <is>
          <t>A commencement-only process can miss later statement delivery requirements.</t>
        </is>
      </c>
      <c r="H237" s="38" t="inlineStr">
        <is>
          <t>Casual information obligations</t>
        </is>
      </c>
      <c r="I237" s="49" t="n">
        <v>2</v>
      </c>
      <c r="J237" s="49" t="n">
        <v>2</v>
      </c>
      <c r="K237" s="49" t="n">
        <v>2</v>
      </c>
      <c r="L237" s="38" t="inlineStr">
        <is>
          <t>Medium provisional concern: a material practice needs improvement. A commencement-only process can miss later statement delivery requirements.</t>
        </is>
      </c>
      <c r="M237" s="38" t="inlineStr">
        <is>
          <t>Replace the assumption with a current check. Add the applicable issue dates to the casual employee register and check delivery for anyone whose date has already passed.</t>
        </is>
      </c>
      <c r="N237" s="38" t="inlineStr">
        <is>
          <t>Set the applicable issue milestones for the employer type and identify the current statement version.</t>
        </is>
      </c>
      <c r="O237" s="38" t="inlineStr">
        <is>
          <t>Check the delivery record for a casual who has reached a relevant milestone and address missed delivery.</t>
        </is>
      </c>
      <c r="P237" s="38" t="inlineStr">
        <is>
          <t>Agree an owner and plan within 30 days, or before the next affected event if earlier.</t>
        </is>
      </c>
      <c r="Q237" s="38" t="inlineStr">
        <is>
          <t>A current casual register with statement due dates and delivery records. Confirm that the change works in practice, not only that a document exists.</t>
        </is>
      </c>
      <c r="R237" s="38" t="inlineStr">
        <is>
          <t>A current casual register with statement due dates and delivery records.</t>
        </is>
      </c>
      <c r="S237" s="38" t="inlineStr">
        <is>
          <t>Service milestones or revised CEIS versions.</t>
        </is>
      </c>
      <c r="T237" s="38" t="inlineStr">
        <is>
          <t>Hiring manager / coordinator</t>
        </is>
      </c>
      <c r="U237" s="38" t="inlineStr">
        <is>
          <t>Practical onboarding workflow and required-information controls.</t>
        </is>
      </c>
      <c r="V237" s="38" t="inlineStr">
        <is>
          <t>START_SAFE</t>
        </is>
      </c>
      <c r="W237" s="38" t="inlineStr">
        <is>
          <t>A_B03</t>
        </is>
      </c>
      <c r="X237" s="38" t="inlineStr">
        <is>
          <t>S04;DESIGN</t>
        </is>
      </c>
      <c r="Y237" s="38" t="inlineStr">
        <is>
          <t>https://www.fairwork.gov.au/employment-conditions/information-statements/casual-employment-information-statement</t>
        </is>
      </c>
      <c r="Z237" s="38" t="inlineStr">
        <is>
          <t>Using one generic annual reminder for every casual without checking the required milestones.</t>
        </is>
      </c>
    </row>
    <row r="238" ht="46" customHeight="1">
      <c r="A238" s="37" t="inlineStr">
        <is>
          <t>B03_2</t>
        </is>
      </c>
      <c r="B238" s="37" t="inlineStr">
        <is>
          <t>B03</t>
        </is>
      </c>
      <c r="C238" s="48" t="n">
        <v>2</v>
      </c>
      <c r="D238" s="37" t="inlineStr">
        <is>
          <t>We issue it again, but reminders or records may not match the required timing.</t>
        </is>
      </c>
      <c r="E238" s="37" t="inlineStr">
        <is>
          <t>Complete the remaining check: add the CEIS dates after commencement</t>
        </is>
      </c>
      <c r="F238" s="37" t="inlineStr">
        <is>
          <t>The selected response identifies an incomplete element within an existing practice. Keep what works and target the unresolved part; the stronger elements do not cancel the gap.</t>
        </is>
      </c>
      <c r="G238" s="37" t="inlineStr">
        <is>
          <t>A commencement-only process can miss later statement delivery requirements.</t>
        </is>
      </c>
      <c r="H238" s="37" t="inlineStr">
        <is>
          <t>Casual information obligations</t>
        </is>
      </c>
      <c r="I238" s="48" t="n">
        <v>2</v>
      </c>
      <c r="J238" s="48" t="n">
        <v>2</v>
      </c>
      <c r="K238" s="48" t="n">
        <v>2</v>
      </c>
      <c r="L238" s="37" t="inlineStr">
        <is>
          <t>Medium provisional concern: a material practice needs improvement. A commencement-only process can miss later statement delivery requirements.</t>
        </is>
      </c>
      <c r="M238" s="37" t="inlineStr">
        <is>
          <t>Focus on the unresolved arrangements or exceptions. Add the applicable issue dates to the casual employee register and check delivery for anyone whose date has already passed.</t>
        </is>
      </c>
      <c r="N238" s="37" t="inlineStr">
        <is>
          <t>Set the applicable issue milestones for the employer type and identify the current statement version.</t>
        </is>
      </c>
      <c r="O238" s="37" t="inlineStr">
        <is>
          <t>Check the delivery record for a casual who has reached a relevant milestone and address missed delivery.</t>
        </is>
      </c>
      <c r="P238" s="37" t="inlineStr">
        <is>
          <t>Agree an owner and plan within 30 days, or before the next affected event if earlier.</t>
        </is>
      </c>
      <c r="Q238" s="37" t="inlineStr">
        <is>
          <t>A current casual register with statement due dates and delivery records. Confirm that the change works in practice, not only that a document exists.</t>
        </is>
      </c>
      <c r="R238" s="37" t="inlineStr">
        <is>
          <t>A current casual register with statement due dates and delivery records.</t>
        </is>
      </c>
      <c r="S238" s="37" t="inlineStr">
        <is>
          <t>Service milestones or revised CEIS versions.</t>
        </is>
      </c>
      <c r="T238" s="37" t="inlineStr">
        <is>
          <t>Hiring manager / coordinator</t>
        </is>
      </c>
      <c r="U238" s="37" t="inlineStr">
        <is>
          <t>Practical onboarding workflow and required-information controls.</t>
        </is>
      </c>
      <c r="V238" s="37" t="inlineStr">
        <is>
          <t>START_SAFE</t>
        </is>
      </c>
      <c r="W238" s="37" t="inlineStr">
        <is>
          <t>A_B03</t>
        </is>
      </c>
      <c r="X238" s="37" t="inlineStr">
        <is>
          <t>S04;DESIGN</t>
        </is>
      </c>
      <c r="Y238" s="37" t="inlineStr">
        <is>
          <t>https://www.fairwork.gov.au/employment-conditions/information-statements/casual-employment-information-statement</t>
        </is>
      </c>
      <c r="Z238" s="37" t="inlineStr">
        <is>
          <t>Using one generic annual reminder for every casual without checking the required milestones.</t>
        </is>
      </c>
    </row>
    <row r="239" ht="46" customHeight="1">
      <c r="A239" s="38" t="inlineStr">
        <is>
          <t>B03_3</t>
        </is>
      </c>
      <c r="B239" s="38" t="inlineStr">
        <is>
          <t>B03</t>
        </is>
      </c>
      <c r="C239" s="49" t="n">
        <v>3</v>
      </c>
      <c r="D239" s="38" t="inlineStr">
        <is>
          <t>We track the required issue dates for our business type, provide the current version and record delivery.</t>
        </is>
      </c>
      <c r="E239" s="38" t="inlineStr">
        <is>
          <t>Maintain and test: add the CEIS dates after commencement</t>
        </is>
      </c>
      <c r="F239" s="38" t="inlineStr">
        <is>
          <t>The selected response reports an established and checked practice. The tool has not inspected the evidence and cannot certify the absence of risk.</t>
        </is>
      </c>
      <c r="G239" s="38" t="inlineStr">
        <is>
          <t>A commencement-only process can miss later statement delivery requirements.</t>
        </is>
      </c>
      <c r="H239" s="38" t="inlineStr">
        <is>
          <t>Casual information obligations</t>
        </is>
      </c>
      <c r="I239" s="49" t="n">
        <v>2</v>
      </c>
      <c r="J239" s="49" t="n">
        <v>1</v>
      </c>
      <c r="K239" s="49" t="n">
        <v>1</v>
      </c>
      <c r="L239" s="38" t="inlineStr">
        <is>
          <t>Lower reported concern, not a finding of no risk. The assumed controls are self-reported; a current incident, contrary evidence or failed control takes precedence.</t>
        </is>
      </c>
      <c r="M239" s="38" t="inlineStr">
        <is>
          <t>Maintain the practice described. At the next relevant review, check the delivery record for a casual who has reached a relevant milestone and address missed delivery.</t>
        </is>
      </c>
      <c r="N239" s="38" t="inlineStr">
        <is>
          <t>Check whether changes in work, people or applicable requirements have made the original process less reliable.</t>
        </is>
      </c>
      <c r="O239" s="38" t="inlineStr">
        <is>
          <t>Retain the review outcome and act on any new exception. An unresolved live issue overrides this maintenance pathway.</t>
        </is>
      </c>
      <c r="P239" s="38" t="inlineStr">
        <is>
          <t>Maintain at the stated trigger; for a new low-priority improvement, plan within 90 days.</t>
        </is>
      </c>
      <c r="Q239" s="38" t="inlineStr">
        <is>
          <t>A current example of the practice and a proportionate recheck record. A current casual register with statement due dates and delivery records.</t>
        </is>
      </c>
      <c r="R239" s="38" t="inlineStr">
        <is>
          <t>A current casual register with statement due dates and delivery records.</t>
        </is>
      </c>
      <c r="S239" s="38" t="inlineStr">
        <is>
          <t>Service milestones or revised CEIS versions.</t>
        </is>
      </c>
      <c r="T239" s="38" t="inlineStr">
        <is>
          <t>Hiring manager / coordinator</t>
        </is>
      </c>
      <c r="U239" s="38" t="inlineStr">
        <is>
          <t>No further purchase is implied by this result. Seek support only for a material change, unresolved exception or chosen improvement.</t>
        </is>
      </c>
      <c r="V239" s="38" t="inlineStr">
        <is>
          <t>START_SAFE</t>
        </is>
      </c>
      <c r="W239" s="38" t="inlineStr">
        <is>
          <t>A_B03</t>
        </is>
      </c>
      <c r="X239" s="38" t="inlineStr">
        <is>
          <t>S04;DESIGN</t>
        </is>
      </c>
      <c r="Y239" s="38" t="inlineStr">
        <is>
          <t>https://www.fairwork.gov.au/employment-conditions/information-statements/casual-employment-information-statement</t>
        </is>
      </c>
      <c r="Z239" s="38" t="inlineStr">
        <is>
          <t>Using one generic annual reminder for every casual without checking the required milestones.</t>
        </is>
      </c>
    </row>
    <row r="240" ht="46" customHeight="1">
      <c r="A240" s="37" t="inlineStr">
        <is>
          <t>B03_DK</t>
        </is>
      </c>
      <c r="B240" s="37" t="inlineStr">
        <is>
          <t>B03</t>
        </is>
      </c>
      <c r="C240" s="37" t="inlineStr">
        <is>
          <t>DK</t>
        </is>
      </c>
      <c r="D240" s="37" t="inlineStr">
        <is>
          <t>I need to confirm this.</t>
        </is>
      </c>
      <c r="E240" s="37" t="inlineStr">
        <is>
          <t>Verify: add the CEIS dates after commencement</t>
        </is>
      </c>
      <c r="F240" s="37" t="inlineStr">
        <is>
          <t>This answer identifies a knowledge gap. It does not establish that the practice is missing, that harm has occurred or that a legal duty has been breached.</t>
        </is>
      </c>
      <c r="G240" s="37" t="inlineStr">
        <is>
          <t>A commencement-only process can miss later statement delivery requirements.</t>
        </is>
      </c>
      <c r="H240" s="37" t="inlineStr">
        <is>
          <t>Casual information obligations</t>
        </is>
      </c>
      <c r="I240" s="48" t="n">
        <v>2</v>
      </c>
      <c r="J240" s="48" t="n">
        <v>0</v>
      </c>
      <c r="K240" s="48" t="n">
        <v>2</v>
      </c>
      <c r="L240" s="37" t="inlineStr">
        <is>
          <t>The risk is not rated from an unknown answer. Verification is Medium priority because: A commencement-only process can miss later statement delivery requirements.</t>
        </is>
      </c>
      <c r="M240" s="37" t="inlineStr">
        <is>
          <t>Ask the hiring manager / coordinator to show a current example of the process and the evidence listed below. Confirm the answer before deciding what must be repaired.</t>
        </is>
      </c>
      <c r="N240" s="37" t="inlineStr">
        <is>
          <t>Compare the example with the established-practice description: We track the required issue dates for our business type, provide the current version and record delivery.</t>
        </is>
      </c>
      <c r="O240" s="37" t="inlineStr">
        <is>
          <t>Record what was checked, by whom and when. If it remains unclear, keep the verification task open and agree any proportionate interim safeguard.</t>
        </is>
      </c>
      <c r="P240" s="37" t="inlineStr">
        <is>
          <t>Agree an owner and plan within 30 days, or before the next affected event if earlier.</t>
        </is>
      </c>
      <c r="Q240" s="37" t="inlineStr">
        <is>
          <t>A dated verification record, the supporting example, an updated answer and any remaining action. No automatic compliance conclusion.</t>
        </is>
      </c>
      <c r="R240" s="37" t="inlineStr">
        <is>
          <t>A current casual register with statement due dates and delivery records.</t>
        </is>
      </c>
      <c r="S240" s="37" t="inlineStr">
        <is>
          <t>Service milestones or revised CEIS versions.</t>
        </is>
      </c>
      <c r="T240" s="37" t="inlineStr">
        <is>
          <t>Hiring manager / coordinator</t>
        </is>
      </c>
      <c r="U240" s="37" t="inlineStr">
        <is>
          <t>Practical onboarding workflow and required-information controls.</t>
        </is>
      </c>
      <c r="V240" s="37" t="inlineStr">
        <is>
          <t>START_SAFE</t>
        </is>
      </c>
      <c r="W240" s="37" t="inlineStr">
        <is>
          <t>A_B03</t>
        </is>
      </c>
      <c r="X240" s="37" t="inlineStr">
        <is>
          <t>S04;DESIGN</t>
        </is>
      </c>
      <c r="Y240" s="37" t="inlineStr">
        <is>
          <t>https://www.fairwork.gov.au/employment-conditions/information-statements/casual-employment-information-statement</t>
        </is>
      </c>
      <c r="Z240" s="37" t="inlineStr">
        <is>
          <t>Using one generic annual reminder for every casual without checking the required milestones.</t>
        </is>
      </c>
    </row>
    <row r="241" ht="46" customHeight="1">
      <c r="A241" s="38" t="inlineStr">
        <is>
          <t>B04_0</t>
        </is>
      </c>
      <c r="B241" s="38" t="inlineStr">
        <is>
          <t>B04</t>
        </is>
      </c>
      <c r="C241" s="49" t="n">
        <v>0</v>
      </c>
      <c r="D241" s="38" t="inlineStr">
        <is>
          <t>We have not checked the fixed-term contract rules.</t>
        </is>
      </c>
      <c r="E241" s="38" t="inlineStr">
        <is>
          <t>Check fixed-term contracts before renewal</t>
        </is>
      </c>
      <c r="F241" s="38" t="inlineStr">
        <is>
          <t>The selected response reports a missing or unestablished element. Confirm the affected arrangements before drawing a conclusion about any actual breach or harm.</t>
        </is>
      </c>
      <c r="G241" s="38" t="inlineStr">
        <is>
          <t>A stated end date or funding source does not itself establish that a fixed-term arrangement is permitted.</t>
        </is>
      </c>
      <c r="H241" s="38" t="inlineStr">
        <is>
          <t>Fixed-term contract restrictions</t>
        </is>
      </c>
      <c r="I241" s="49" t="n">
        <v>3</v>
      </c>
      <c r="J241" s="49" t="n">
        <v>3</v>
      </c>
      <c r="K241" s="49" t="n">
        <v>3</v>
      </c>
      <c r="L241" s="38" t="inlineStr">
        <is>
          <t>High provisional concern: an essential element remains unresolved. A stated end date or funding source does not itself establish that a fixed-term arrangement is permitted.</t>
        </is>
      </c>
      <c r="M241" s="38" t="inlineStr">
        <is>
          <t>Create a register of fixed-term contracts, prior contracts and renewal options. Check the legal basis and current exceptions before each new commitment.</t>
        </is>
      </c>
      <c r="N241" s="38" t="inlineStr">
        <is>
          <t>Review length, consecutive contracts, renewal options and evidence for any exception against the current rules.</t>
        </is>
      </c>
      <c r="O241" s="38" t="inlineStr">
        <is>
          <t>Keep the supported decision and required information-statement record before entry or renewal.</t>
        </is>
      </c>
      <c r="P241" s="38" t="inlineStr">
        <is>
          <t>Review or verify within two business days and before the next affected event if earlier. Do not wait where a duty or current harm requires earlier action.</t>
        </is>
      </c>
      <c r="Q241" s="38" t="inlineStr">
        <is>
          <t>A documented pre-entry/renewal review and information-statement delivery record. Confirm that the change works in practice, not only that a document exists.</t>
        </is>
      </c>
      <c r="R241" s="38" t="inlineStr">
        <is>
          <t>A documented pre-entry/renewal review and information-statement delivery record.</t>
        </is>
      </c>
      <c r="S241" s="38" t="inlineStr">
        <is>
          <t>Before every entry, renewal or material change to a fixed-term arrangement.</t>
        </is>
      </c>
      <c r="T241" s="38" t="inlineStr">
        <is>
          <t>Owner / HR lead</t>
        </is>
      </c>
      <c r="U241" s="38" t="inlineStr">
        <is>
          <t>Employment terms and engagement review, with legal referral for issues outside the agreed HR advisory scope.</t>
        </is>
      </c>
      <c r="V241" s="38" t="inlineStr">
        <is>
          <t>TERMS</t>
        </is>
      </c>
      <c r="W241" s="38" t="inlineStr">
        <is>
          <t>A_B04</t>
        </is>
      </c>
      <c r="X241" s="38" t="inlineStr">
        <is>
          <t>S09;DESIGN</t>
        </is>
      </c>
      <c r="Y241" s="38" t="inlineStr">
        <is>
          <t>https://www.fairwork.gov.au/starting-employment/types-of-employees/fixed-term-contract-employees</t>
        </is>
      </c>
      <c r="Z241" s="38" t="inlineStr">
        <is>
          <t>Assuming an exception continues indefinitely after a rule or transitional period changes.</t>
        </is>
      </c>
    </row>
    <row r="242" ht="46" customHeight="1">
      <c r="A242" s="37" t="inlineStr">
        <is>
          <t>B04_1</t>
        </is>
      </c>
      <c r="B242" s="37" t="inlineStr">
        <is>
          <t>B04</t>
        </is>
      </c>
      <c r="C242" s="48" t="n">
        <v>1</v>
      </c>
      <c r="D242" s="37" t="inlineStr">
        <is>
          <t>We assume a stated end date or funding arrangement makes the contract permissible.</t>
        </is>
      </c>
      <c r="E242" s="37" t="inlineStr">
        <is>
          <t>Check fixed-term contracts before renewal</t>
        </is>
      </c>
      <c r="F242" s="37" t="inlineStr">
        <is>
          <t>The selected response relies on assumptions, informal decisions or an inconsistent process. The action is to make the relevant check reliable in routine work.</t>
        </is>
      </c>
      <c r="G242" s="37" t="inlineStr">
        <is>
          <t>A stated end date or funding source does not itself establish that a fixed-term arrangement is permitted.</t>
        </is>
      </c>
      <c r="H242" s="37" t="inlineStr">
        <is>
          <t>Fixed-term contract restrictions</t>
        </is>
      </c>
      <c r="I242" s="48" t="n">
        <v>3</v>
      </c>
      <c r="J242" s="48" t="n">
        <v>3</v>
      </c>
      <c r="K242" s="48" t="n">
        <v>3</v>
      </c>
      <c r="L242" s="37" t="inlineStr">
        <is>
          <t>High provisional concern: an essential element remains unresolved. A stated end date or funding source does not itself establish that a fixed-term arrangement is permitted.</t>
        </is>
      </c>
      <c r="M242" s="37" t="inlineStr">
        <is>
          <t>Replace the assumption with a current check. Create a register of fixed-term contracts, prior contracts and renewal options. Check the legal basis and current exceptions before each new commitment.</t>
        </is>
      </c>
      <c r="N242" s="37" t="inlineStr">
        <is>
          <t>Review length, consecutive contracts, renewal options and evidence for any exception against the current rules.</t>
        </is>
      </c>
      <c r="O242" s="37" t="inlineStr">
        <is>
          <t>Keep the supported decision and required information-statement record before entry or renewal.</t>
        </is>
      </c>
      <c r="P242" s="37" t="inlineStr">
        <is>
          <t>Review or verify within two business days and before the next affected event if earlier. Do not wait where a duty or current harm requires earlier action.</t>
        </is>
      </c>
      <c r="Q242" s="37" t="inlineStr">
        <is>
          <t>A documented pre-entry/renewal review and information-statement delivery record. Confirm that the change works in practice, not only that a document exists.</t>
        </is>
      </c>
      <c r="R242" s="37" t="inlineStr">
        <is>
          <t>A documented pre-entry/renewal review and information-statement delivery record.</t>
        </is>
      </c>
      <c r="S242" s="37" t="inlineStr">
        <is>
          <t>Before every entry, renewal or material change to a fixed-term arrangement.</t>
        </is>
      </c>
      <c r="T242" s="37" t="inlineStr">
        <is>
          <t>Owner / HR lead</t>
        </is>
      </c>
      <c r="U242" s="37" t="inlineStr">
        <is>
          <t>Employment terms and engagement review, with legal referral for issues outside the agreed HR advisory scope.</t>
        </is>
      </c>
      <c r="V242" s="37" t="inlineStr">
        <is>
          <t>TERMS</t>
        </is>
      </c>
      <c r="W242" s="37" t="inlineStr">
        <is>
          <t>A_B04</t>
        </is>
      </c>
      <c r="X242" s="37" t="inlineStr">
        <is>
          <t>S09;DESIGN</t>
        </is>
      </c>
      <c r="Y242" s="37" t="inlineStr">
        <is>
          <t>https://www.fairwork.gov.au/starting-employment/types-of-employees/fixed-term-contract-employees</t>
        </is>
      </c>
      <c r="Z242" s="37" t="inlineStr">
        <is>
          <t>Assuming an exception continues indefinitely after a rule or transitional period changes.</t>
        </is>
      </c>
    </row>
    <row r="243" ht="46" customHeight="1">
      <c r="A243" s="38" t="inlineStr">
        <is>
          <t>B04_2</t>
        </is>
      </c>
      <c r="B243" s="38" t="inlineStr">
        <is>
          <t>B04</t>
        </is>
      </c>
      <c r="C243" s="49" t="n">
        <v>2</v>
      </c>
      <c r="D243" s="38" t="inlineStr">
        <is>
          <t>We check some requirements, but consecutive contracts, exceptions or statement delivery need review.</t>
        </is>
      </c>
      <c r="E243" s="38" t="inlineStr">
        <is>
          <t>Complete the remaining check: check fixed-term contracts before renewal</t>
        </is>
      </c>
      <c r="F243" s="38" t="inlineStr">
        <is>
          <t>The selected response identifies an incomplete element within an existing practice. Keep what works and target the unresolved part; the stronger elements do not cancel the gap.</t>
        </is>
      </c>
      <c r="G243" s="38" t="inlineStr">
        <is>
          <t>A stated end date or funding source does not itself establish that a fixed-term arrangement is permitted.</t>
        </is>
      </c>
      <c r="H243" s="38" t="inlineStr">
        <is>
          <t>Fixed-term contract restrictions</t>
        </is>
      </c>
      <c r="I243" s="49" t="n">
        <v>3</v>
      </c>
      <c r="J243" s="49" t="n">
        <v>3</v>
      </c>
      <c r="K243" s="49" t="n">
        <v>3</v>
      </c>
      <c r="L243" s="38" t="inlineStr">
        <is>
          <t>High provisional concern: an essential element remains unresolved. A stated end date or funding source does not itself establish that a fixed-term arrangement is permitted.</t>
        </is>
      </c>
      <c r="M243" s="38" t="inlineStr">
        <is>
          <t>Focus on the unresolved arrangements or exceptions. Create a register of fixed-term contracts, prior contracts and renewal options. Check the legal basis and current exceptions before each new commitment.</t>
        </is>
      </c>
      <c r="N243" s="38" t="inlineStr">
        <is>
          <t>Review length, consecutive contracts, renewal options and evidence for any exception against the current rules.</t>
        </is>
      </c>
      <c r="O243" s="38" t="inlineStr">
        <is>
          <t>Keep the supported decision and required information-statement record before entry or renewal.</t>
        </is>
      </c>
      <c r="P243" s="38" t="inlineStr">
        <is>
          <t>Review or verify within two business days and before the next affected event if earlier. Do not wait where a duty or current harm requires earlier action.</t>
        </is>
      </c>
      <c r="Q243" s="38" t="inlineStr">
        <is>
          <t>A documented pre-entry/renewal review and information-statement delivery record. Confirm that the change works in practice, not only that a document exists.</t>
        </is>
      </c>
      <c r="R243" s="38" t="inlineStr">
        <is>
          <t>A documented pre-entry/renewal review and information-statement delivery record.</t>
        </is>
      </c>
      <c r="S243" s="38" t="inlineStr">
        <is>
          <t>Before every entry, renewal or material change to a fixed-term arrangement.</t>
        </is>
      </c>
      <c r="T243" s="38" t="inlineStr">
        <is>
          <t>Owner / HR lead</t>
        </is>
      </c>
      <c r="U243" s="38" t="inlineStr">
        <is>
          <t>Employment terms and engagement review, with legal referral for issues outside the agreed HR advisory scope.</t>
        </is>
      </c>
      <c r="V243" s="38" t="inlineStr">
        <is>
          <t>TERMS</t>
        </is>
      </c>
      <c r="W243" s="38" t="inlineStr">
        <is>
          <t>A_B04</t>
        </is>
      </c>
      <c r="X243" s="38" t="inlineStr">
        <is>
          <t>S09;DESIGN</t>
        </is>
      </c>
      <c r="Y243" s="38" t="inlineStr">
        <is>
          <t>https://www.fairwork.gov.au/starting-employment/types-of-employees/fixed-term-contract-employees</t>
        </is>
      </c>
      <c r="Z243" s="38" t="inlineStr">
        <is>
          <t>Assuming an exception continues indefinitely after a rule or transitional period changes.</t>
        </is>
      </c>
    </row>
    <row r="244" ht="46" customHeight="1">
      <c r="A244" s="37" t="inlineStr">
        <is>
          <t>B04_3</t>
        </is>
      </c>
      <c r="B244" s="37" t="inlineStr">
        <is>
          <t>B04</t>
        </is>
      </c>
      <c r="C244" s="48" t="n">
        <v>3</v>
      </c>
      <c r="D244" s="37" t="inlineStr">
        <is>
          <t>We check the current rules and evidence for any exception before entry or renewal, and provide the required statement.</t>
        </is>
      </c>
      <c r="E244" s="37" t="inlineStr">
        <is>
          <t>Maintain and test: check fixed-term contracts before renewal</t>
        </is>
      </c>
      <c r="F244" s="37" t="inlineStr">
        <is>
          <t>The selected response reports an established and checked practice. The tool has not inspected the evidence and cannot certify the absence of risk.</t>
        </is>
      </c>
      <c r="G244" s="37" t="inlineStr">
        <is>
          <t>A stated end date or funding source does not itself establish that a fixed-term arrangement is permitted.</t>
        </is>
      </c>
      <c r="H244" s="37" t="inlineStr">
        <is>
          <t>Fixed-term contract restrictions</t>
        </is>
      </c>
      <c r="I244" s="48" t="n">
        <v>3</v>
      </c>
      <c r="J244" s="48" t="n">
        <v>1</v>
      </c>
      <c r="K244" s="48" t="n">
        <v>1</v>
      </c>
      <c r="L244" s="37" t="inlineStr">
        <is>
          <t>Lower reported concern, not a finding of no risk. The assumed controls are self-reported; a current incident, contrary evidence or failed control takes precedence.</t>
        </is>
      </c>
      <c r="M244" s="37" t="inlineStr">
        <is>
          <t>Maintain the practice described. At the next relevant review, keep the supported decision and required information-statement record before entry or renewal.</t>
        </is>
      </c>
      <c r="N244" s="37" t="inlineStr">
        <is>
          <t>Check whether changes in work, people or applicable requirements have made the original process less reliable.</t>
        </is>
      </c>
      <c r="O244" s="37" t="inlineStr">
        <is>
          <t>Retain the review outcome and act on any new exception. An unresolved live issue overrides this maintenance pathway.</t>
        </is>
      </c>
      <c r="P244" s="37" t="inlineStr">
        <is>
          <t>Maintain at the stated trigger; for a new low-priority improvement, plan within 90 days.</t>
        </is>
      </c>
      <c r="Q244" s="37" t="inlineStr">
        <is>
          <t>A current example of the practice and a proportionate recheck record. A documented pre-entry/renewal review and information-statement delivery record.</t>
        </is>
      </c>
      <c r="R244" s="37" t="inlineStr">
        <is>
          <t>A documented pre-entry/renewal review and information-statement delivery record.</t>
        </is>
      </c>
      <c r="S244" s="37" t="inlineStr">
        <is>
          <t>Before every entry, renewal or material change to a fixed-term arrangement.</t>
        </is>
      </c>
      <c r="T244" s="37" t="inlineStr">
        <is>
          <t>Owner / HR lead</t>
        </is>
      </c>
      <c r="U244" s="37" t="inlineStr">
        <is>
          <t>No further purchase is implied by this result. Seek support only for a material change, unresolved exception or chosen improvement.</t>
        </is>
      </c>
      <c r="V244" s="37" t="inlineStr">
        <is>
          <t>TERMS</t>
        </is>
      </c>
      <c r="W244" s="37" t="inlineStr">
        <is>
          <t>A_B04</t>
        </is>
      </c>
      <c r="X244" s="37" t="inlineStr">
        <is>
          <t>S09;DESIGN</t>
        </is>
      </c>
      <c r="Y244" s="37" t="inlineStr">
        <is>
          <t>https://www.fairwork.gov.au/starting-employment/types-of-employees/fixed-term-contract-employees</t>
        </is>
      </c>
      <c r="Z244" s="37" t="inlineStr">
        <is>
          <t>Assuming an exception continues indefinitely after a rule or transitional period changes.</t>
        </is>
      </c>
    </row>
    <row r="245" ht="61" customHeight="1">
      <c r="A245" s="38" t="inlineStr">
        <is>
          <t>B04_DK</t>
        </is>
      </c>
      <c r="B245" s="38" t="inlineStr">
        <is>
          <t>B04</t>
        </is>
      </c>
      <c r="C245" s="38" t="inlineStr">
        <is>
          <t>DK</t>
        </is>
      </c>
      <c r="D245" s="38" t="inlineStr">
        <is>
          <t>I need to confirm this.</t>
        </is>
      </c>
      <c r="E245" s="38" t="inlineStr">
        <is>
          <t>Verify: check fixed-term contracts before renewal</t>
        </is>
      </c>
      <c r="F245" s="38" t="inlineStr">
        <is>
          <t>This answer identifies a knowledge gap. It does not establish that the practice is missing, that harm has occurred or that a legal duty has been breached.</t>
        </is>
      </c>
      <c r="G245" s="38" t="inlineStr">
        <is>
          <t>A stated end date or funding source does not itself establish that a fixed-term arrangement is permitted.</t>
        </is>
      </c>
      <c r="H245" s="38" t="inlineStr">
        <is>
          <t>Fixed-term contract restrictions</t>
        </is>
      </c>
      <c r="I245" s="49" t="n">
        <v>3</v>
      </c>
      <c r="J245" s="49" t="n">
        <v>0</v>
      </c>
      <c r="K245" s="49" t="n">
        <v>3</v>
      </c>
      <c r="L245" s="38" t="inlineStr">
        <is>
          <t>The risk is not rated from an unknown answer. Verification is High priority because: A stated end date or funding source does not itself establish that a fixed-term arrangement is permitted.</t>
        </is>
      </c>
      <c r="M245" s="38" t="inlineStr">
        <is>
          <t>Ask the owner / hr lead to show a current example of the process and the evidence listed below. Confirm the answer before deciding what must be repaired.</t>
        </is>
      </c>
      <c r="N245" s="38" t="inlineStr">
        <is>
          <t>Compare the example with the established-practice description: We check the current rules and evidence for any exception before entry or renewal, and provide the required statement.</t>
        </is>
      </c>
      <c r="O245" s="38" t="inlineStr">
        <is>
          <t>Record what was checked, by whom and when. If it remains unclear, keep the verification task open and agree any proportionate interim safeguard.</t>
        </is>
      </c>
      <c r="P245" s="38" t="inlineStr">
        <is>
          <t>Review or verify within two business days and before the next affected event if earlier. Do not wait where a duty or current harm requires earlier action.</t>
        </is>
      </c>
      <c r="Q245" s="38" t="inlineStr">
        <is>
          <t>A dated verification record, the supporting example, an updated answer and any remaining action. No automatic compliance conclusion.</t>
        </is>
      </c>
      <c r="R245" s="38" t="inlineStr">
        <is>
          <t>A documented pre-entry/renewal review and information-statement delivery record.</t>
        </is>
      </c>
      <c r="S245" s="38" t="inlineStr">
        <is>
          <t>Before every entry, renewal or material change to a fixed-term arrangement.</t>
        </is>
      </c>
      <c r="T245" s="38" t="inlineStr">
        <is>
          <t>Owner / HR lead</t>
        </is>
      </c>
      <c r="U245" s="38" t="inlineStr">
        <is>
          <t>Employment terms and engagement review, with legal referral for issues outside the agreed HR advisory scope.</t>
        </is>
      </c>
      <c r="V245" s="38" t="inlineStr">
        <is>
          <t>TERMS</t>
        </is>
      </c>
      <c r="W245" s="38" t="inlineStr">
        <is>
          <t>A_B04</t>
        </is>
      </c>
      <c r="X245" s="38" t="inlineStr">
        <is>
          <t>S09;DESIGN</t>
        </is>
      </c>
      <c r="Y245" s="38" t="inlineStr">
        <is>
          <t>https://www.fairwork.gov.au/starting-employment/types-of-employees/fixed-term-contract-employees</t>
        </is>
      </c>
      <c r="Z245" s="38" t="inlineStr">
        <is>
          <t>Assuming an exception continues indefinitely after a rule or transitional period changes.</t>
        </is>
      </c>
    </row>
    <row r="246" ht="91" customHeight="1">
      <c r="A246" s="37" t="inlineStr">
        <is>
          <t>B05_0</t>
        </is>
      </c>
      <c r="B246" s="37" t="inlineStr">
        <is>
          <t>B05</t>
        </is>
      </c>
      <c r="C246" s="48" t="n">
        <v>0</v>
      </c>
      <c r="D246" s="37" t="inlineStr">
        <is>
          <t>We rely on an ABN, invoice or contractor label.</t>
        </is>
      </c>
      <c r="E246" s="37" t="inlineStr">
        <is>
          <t>Review the relationship behind the contractor label</t>
        </is>
      </c>
      <c r="F246" s="37" t="inlineStr">
        <is>
          <t>The selected response reports a missing or unestablished element. Confirm the affected arrangements before drawing a conclusion about any actual breach or harm.</t>
        </is>
      </c>
      <c r="G246" s="37" t="inlineStr">
        <is>
          <t>The contract label may not settle employment status, and superannuation requires its own assessment.</t>
        </is>
      </c>
      <c r="H246" s="37" t="inlineStr">
        <is>
          <t>Worker status and superannuation</t>
        </is>
      </c>
      <c r="I246" s="48" t="n">
        <v>3</v>
      </c>
      <c r="J246" s="48" t="n">
        <v>3</v>
      </c>
      <c r="K246" s="48" t="n">
        <v>3</v>
      </c>
      <c r="L246" s="37" t="inlineStr">
        <is>
          <t>High provisional concern: an essential element remains unresolved. The contract label may not settle employment status, and superannuation requires its own assessment.</t>
        </is>
      </c>
      <c r="M246" s="37" t="inlineStr">
        <is>
          <t>Identify contractors who work personally and regularly in the business. Obtain a documented review of the relevant status test and separate super treatment.</t>
        </is>
      </c>
      <c r="N246" s="37" t="inlineStr">
        <is>
          <t>Review the applicable status test, actual work arrangement and separate superannuation position with appropriate expertise.</t>
        </is>
      </c>
      <c r="O246" s="37" t="inlineStr">
        <is>
          <t>Document the reasoning and review any changed practices before continuing to rely on the original conclusion.</t>
        </is>
      </c>
      <c r="P246" s="37" t="inlineStr">
        <is>
          <t>Review or verify within two business days and before the next affected event if earlier. Do not wait where a duty or current harm requires earlier action.</t>
        </is>
      </c>
      <c r="Q246" s="37" t="inlineStr">
        <is>
          <t>Each materially different arrangement has a current employment-status and separate superannuation assessment. Any necessary contractual, payment or working-practice changes have been implemented and checked; unresolved exceptions remain open. Confirm that the change works in practice, not only that a document exists.</t>
        </is>
      </c>
      <c r="R246" s="37" t="inlineStr">
        <is>
          <t>Each materially different arrangement has a current employment-status and separate superannuation assessment. Any necessary contractual, payment or working-practice changes have been implemented and checked; unresolved exceptions remain open.</t>
        </is>
      </c>
      <c r="S246" s="37" t="inlineStr">
        <is>
          <t>A new contractor arrangement or a material change in the relationship.</t>
        </is>
      </c>
      <c r="T246" s="37" t="inlineStr">
        <is>
          <t>Owner / HR lead</t>
        </is>
      </c>
      <c r="U246" s="37" t="inlineStr">
        <is>
          <t>Employment terms and engagement review, with legal referral for issues outside the agreed HR advisory scope.</t>
        </is>
      </c>
      <c r="V246" s="37" t="inlineStr">
        <is>
          <t>TERMS</t>
        </is>
      </c>
      <c r="W246" s="37" t="inlineStr">
        <is>
          <t>A_B05</t>
        </is>
      </c>
      <c r="X246" s="37" t="inlineStr">
        <is>
          <t>S23;S24;DESIGN</t>
        </is>
      </c>
      <c r="Y246" s="37" t="inlineStr">
        <is>
          <t>https://www.fairwork.gov.au/find-help-for/independent-contractors/whole-of-relationship-test
https://www.ato.gov.au/businesses-and-organisations/super-for-employers/work-out-if-you-have-to-pay-super/super-for-independent-contractors</t>
        </is>
      </c>
      <c r="Z246" s="37" t="inlineStr">
        <is>
          <t>Treating an ABN, insurance certificate or invoice as conclusive.</t>
        </is>
      </c>
    </row>
    <row r="247" ht="91" customHeight="1">
      <c r="A247" s="38" t="inlineStr">
        <is>
          <t>B05_1</t>
        </is>
      </c>
      <c r="B247" s="38" t="inlineStr">
        <is>
          <t>B05</t>
        </is>
      </c>
      <c r="C247" s="49" t="n">
        <v>1</v>
      </c>
      <c r="D247" s="38" t="inlineStr">
        <is>
          <t>We have a contract, but have not checked the real working arrangement or super obligations.</t>
        </is>
      </c>
      <c r="E247" s="38" t="inlineStr">
        <is>
          <t>Review the relationship behind the contractor label</t>
        </is>
      </c>
      <c r="F247" s="38" t="inlineStr">
        <is>
          <t>The selected response relies on assumptions, informal decisions or an inconsistent process. The action is to make the relevant check reliable in routine work.</t>
        </is>
      </c>
      <c r="G247" s="38" t="inlineStr">
        <is>
          <t>The contract label may not settle employment status, and superannuation requires its own assessment.</t>
        </is>
      </c>
      <c r="H247" s="38" t="inlineStr">
        <is>
          <t>Worker status and superannuation</t>
        </is>
      </c>
      <c r="I247" s="49" t="n">
        <v>3</v>
      </c>
      <c r="J247" s="49" t="n">
        <v>3</v>
      </c>
      <c r="K247" s="49" t="n">
        <v>3</v>
      </c>
      <c r="L247" s="38" t="inlineStr">
        <is>
          <t>High provisional concern: an essential element remains unresolved. The contract label may not settle employment status, and superannuation requires its own assessment.</t>
        </is>
      </c>
      <c r="M247" s="38" t="inlineStr">
        <is>
          <t>Replace the assumption with a current check. Identify contractors who work personally and regularly in the business. Obtain a documented review of the relevant status test and separate super treatment.</t>
        </is>
      </c>
      <c r="N247" s="38" t="inlineStr">
        <is>
          <t>Review the applicable status test, actual work arrangement and separate superannuation position with appropriate expertise.</t>
        </is>
      </c>
      <c r="O247" s="38" t="inlineStr">
        <is>
          <t>Document the reasoning and review any changed practices before continuing to rely on the original conclusion.</t>
        </is>
      </c>
      <c r="P247" s="38" t="inlineStr">
        <is>
          <t>Review or verify within two business days and before the next affected event if earlier. Do not wait where a duty or current harm requires earlier action.</t>
        </is>
      </c>
      <c r="Q247" s="38" t="inlineStr">
        <is>
          <t>Each materially different arrangement has a current employment-status and separate superannuation assessment. Any necessary contractual, payment or working-practice changes have been implemented and checked; unresolved exceptions remain open. Confirm that the change works in practice, not only that a document exists.</t>
        </is>
      </c>
      <c r="R247" s="38" t="inlineStr">
        <is>
          <t>Each materially different arrangement has a current employment-status and separate superannuation assessment. Any necessary contractual, payment or working-practice changes have been implemented and checked; unresolved exceptions remain open.</t>
        </is>
      </c>
      <c r="S247" s="38" t="inlineStr">
        <is>
          <t>A new contractor arrangement or a material change in the relationship.</t>
        </is>
      </c>
      <c r="T247" s="38" t="inlineStr">
        <is>
          <t>Owner / HR lead</t>
        </is>
      </c>
      <c r="U247" s="38" t="inlineStr">
        <is>
          <t>Employment terms and engagement review, with legal referral for issues outside the agreed HR advisory scope.</t>
        </is>
      </c>
      <c r="V247" s="38" t="inlineStr">
        <is>
          <t>TERMS</t>
        </is>
      </c>
      <c r="W247" s="38" t="inlineStr">
        <is>
          <t>A_B05</t>
        </is>
      </c>
      <c r="X247" s="38" t="inlineStr">
        <is>
          <t>S23;S24;DESIGN</t>
        </is>
      </c>
      <c r="Y247" s="38" t="inlineStr">
        <is>
          <t>https://www.fairwork.gov.au/find-help-for/independent-contractors/whole-of-relationship-test
https://www.ato.gov.au/businesses-and-organisations/super-for-employers/work-out-if-you-have-to-pay-super/super-for-independent-contractors</t>
        </is>
      </c>
      <c r="Z247" s="38" t="inlineStr">
        <is>
          <t>Treating an ABN, insurance certificate or invoice as conclusive.</t>
        </is>
      </c>
    </row>
    <row r="248" ht="91" customHeight="1">
      <c r="A248" s="37" t="inlineStr">
        <is>
          <t>B05_2</t>
        </is>
      </c>
      <c r="B248" s="37" t="inlineStr">
        <is>
          <t>B05</t>
        </is>
      </c>
      <c r="C248" s="48" t="n">
        <v>2</v>
      </c>
      <c r="D248" s="37" t="inlineStr">
        <is>
          <t>We have reviewed some arrangements, but practical changes or super treatment remain unresolved.</t>
        </is>
      </c>
      <c r="E248" s="37" t="inlineStr">
        <is>
          <t>Complete the remaining check: review the relationship behind the contractor label</t>
        </is>
      </c>
      <c r="F248" s="37" t="inlineStr">
        <is>
          <t>The selected response identifies an incomplete element within an existing practice. Keep what works and target the unresolved part; the stronger elements do not cancel the gap.</t>
        </is>
      </c>
      <c r="G248" s="37" t="inlineStr">
        <is>
          <t>The contract label may not settle employment status, and superannuation requires its own assessment.</t>
        </is>
      </c>
      <c r="H248" s="37" t="inlineStr">
        <is>
          <t>Worker status and superannuation</t>
        </is>
      </c>
      <c r="I248" s="48" t="n">
        <v>3</v>
      </c>
      <c r="J248" s="48" t="n">
        <v>3</v>
      </c>
      <c r="K248" s="48" t="n">
        <v>3</v>
      </c>
      <c r="L248" s="37" t="inlineStr">
        <is>
          <t>High provisional concern: an essential element remains unresolved. The contract label may not settle employment status, and superannuation requires its own assessment.</t>
        </is>
      </c>
      <c r="M248" s="37" t="inlineStr">
        <is>
          <t>Focus on the unresolved arrangements or exceptions. Identify contractors who work personally and regularly in the business. Obtain a documented review of the relevant status test and separate super treatment.</t>
        </is>
      </c>
      <c r="N248" s="37" t="inlineStr">
        <is>
          <t>Review the applicable status test, actual work arrangement and separate superannuation position with appropriate expertise.</t>
        </is>
      </c>
      <c r="O248" s="37" t="inlineStr">
        <is>
          <t>Document the reasoning and review any changed practices before continuing to rely on the original conclusion.</t>
        </is>
      </c>
      <c r="P248" s="37" t="inlineStr">
        <is>
          <t>Review or verify within two business days and before the next affected event if earlier. Do not wait where a duty or current harm requires earlier action.</t>
        </is>
      </c>
      <c r="Q248" s="37" t="inlineStr">
        <is>
          <t>Each materially different arrangement has a current employment-status and separate superannuation assessment. Any necessary contractual, payment or working-practice changes have been implemented and checked; unresolved exceptions remain open. Confirm that the change works in practice, not only that a document exists.</t>
        </is>
      </c>
      <c r="R248" s="37" t="inlineStr">
        <is>
          <t>Each materially different arrangement has a current employment-status and separate superannuation assessment. Any necessary contractual, payment or working-practice changes have been implemented and checked; unresolved exceptions remain open.</t>
        </is>
      </c>
      <c r="S248" s="37" t="inlineStr">
        <is>
          <t>A new contractor arrangement or a material change in the relationship.</t>
        </is>
      </c>
      <c r="T248" s="37" t="inlineStr">
        <is>
          <t>Owner / HR lead</t>
        </is>
      </c>
      <c r="U248" s="37" t="inlineStr">
        <is>
          <t>Employment terms and engagement review, with legal referral for issues outside the agreed HR advisory scope.</t>
        </is>
      </c>
      <c r="V248" s="37" t="inlineStr">
        <is>
          <t>TERMS</t>
        </is>
      </c>
      <c r="W248" s="37" t="inlineStr">
        <is>
          <t>A_B05</t>
        </is>
      </c>
      <c r="X248" s="37" t="inlineStr">
        <is>
          <t>S23;S24;DESIGN</t>
        </is>
      </c>
      <c r="Y248" s="37" t="inlineStr">
        <is>
          <t>https://www.fairwork.gov.au/find-help-for/independent-contractors/whole-of-relationship-test
https://www.ato.gov.au/businesses-and-organisations/super-for-employers/work-out-if-you-have-to-pay-super/super-for-independent-contractors</t>
        </is>
      </c>
      <c r="Z248" s="37" t="inlineStr">
        <is>
          <t>Treating an ABN, insurance certificate or invoice as conclusive.</t>
        </is>
      </c>
    </row>
    <row r="249" ht="91" customHeight="1">
      <c r="A249" s="38" t="inlineStr">
        <is>
          <t>B05_3</t>
        </is>
      </c>
      <c r="B249" s="38" t="inlineStr">
        <is>
          <t>B05</t>
        </is>
      </c>
      <c r="C249" s="49" t="n">
        <v>3</v>
      </c>
      <c r="D249" s="38" t="inlineStr">
        <is>
          <t>We have documented the relevant employment-status and super assessments, and review them when the relationship changes.</t>
        </is>
      </c>
      <c r="E249" s="38" t="inlineStr">
        <is>
          <t>Maintain and test: review the relationship behind the contractor label</t>
        </is>
      </c>
      <c r="F249" s="38" t="inlineStr">
        <is>
          <t>The selected response reports an established and checked practice. The tool has not inspected the evidence and cannot certify the absence of risk.</t>
        </is>
      </c>
      <c r="G249" s="38" t="inlineStr">
        <is>
          <t>The contract label may not settle employment status, and superannuation requires its own assessment.</t>
        </is>
      </c>
      <c r="H249" s="38" t="inlineStr">
        <is>
          <t>Worker status and superannuation</t>
        </is>
      </c>
      <c r="I249" s="49" t="n">
        <v>3</v>
      </c>
      <c r="J249" s="49" t="n">
        <v>1</v>
      </c>
      <c r="K249" s="49" t="n">
        <v>1</v>
      </c>
      <c r="L249" s="38" t="inlineStr">
        <is>
          <t>Lower reported concern, not a finding of no risk. The assumed controls are self-reported; a current incident, contrary evidence or failed control takes precedence.</t>
        </is>
      </c>
      <c r="M249" s="38" t="inlineStr">
        <is>
          <t>Maintain the practice described. At the next relevant review, document the reasoning and review any changed practices before continuing to rely on the original conclusion.</t>
        </is>
      </c>
      <c r="N249" s="38" t="inlineStr">
        <is>
          <t>Check whether changes in work, people or applicable requirements have made the original process less reliable.</t>
        </is>
      </c>
      <c r="O249" s="38" t="inlineStr">
        <is>
          <t>Retain the review outcome and act on any new exception. An unresolved live issue overrides this maintenance pathway.</t>
        </is>
      </c>
      <c r="P249" s="38" t="inlineStr">
        <is>
          <t>Maintain at the stated trigger; for a new low-priority improvement, plan within 90 days.</t>
        </is>
      </c>
      <c r="Q249" s="38" t="inlineStr">
        <is>
          <t>A current example of the practice and a proportionate recheck record. Each materially different arrangement has a current employment-status and separate superannuation assessment. Any necessary contractual, payment or working-practice changes have been implemented and checked; unresolved exceptions remain open.</t>
        </is>
      </c>
      <c r="R249" s="38" t="inlineStr">
        <is>
          <t>Each materially different arrangement has a current employment-status and separate superannuation assessment. Any necessary contractual, payment or working-practice changes have been implemented and checked; unresolved exceptions remain open.</t>
        </is>
      </c>
      <c r="S249" s="38" t="inlineStr">
        <is>
          <t>A new contractor arrangement or a material change in the relationship.</t>
        </is>
      </c>
      <c r="T249" s="38" t="inlineStr">
        <is>
          <t>Owner / HR lead</t>
        </is>
      </c>
      <c r="U249" s="38" t="inlineStr">
        <is>
          <t>No further purchase is implied by this result. Seek support only for a material change, unresolved exception or chosen improvement.</t>
        </is>
      </c>
      <c r="V249" s="38" t="inlineStr">
        <is>
          <t>TERMS</t>
        </is>
      </c>
      <c r="W249" s="38" t="inlineStr">
        <is>
          <t>A_B05</t>
        </is>
      </c>
      <c r="X249" s="38" t="inlineStr">
        <is>
          <t>S23;S24;DESIGN</t>
        </is>
      </c>
      <c r="Y249" s="38" t="inlineStr">
        <is>
          <t>https://www.fairwork.gov.au/find-help-for/independent-contractors/whole-of-relationship-test
https://www.ato.gov.au/businesses-and-organisations/super-for-employers/work-out-if-you-have-to-pay-super/super-for-independent-contractors</t>
        </is>
      </c>
      <c r="Z249" s="38" t="inlineStr">
        <is>
          <t>Treating an ABN, insurance certificate or invoice as conclusive.</t>
        </is>
      </c>
    </row>
    <row r="250" ht="91" customHeight="1">
      <c r="A250" s="37" t="inlineStr">
        <is>
          <t>B05_DK</t>
        </is>
      </c>
      <c r="B250" s="37" t="inlineStr">
        <is>
          <t>B05</t>
        </is>
      </c>
      <c r="C250" s="37" t="inlineStr">
        <is>
          <t>DK</t>
        </is>
      </c>
      <c r="D250" s="37" t="inlineStr">
        <is>
          <t>I need to confirm this.</t>
        </is>
      </c>
      <c r="E250" s="37" t="inlineStr">
        <is>
          <t>Verify: review the relationship behind the contractor label</t>
        </is>
      </c>
      <c r="F250" s="37" t="inlineStr">
        <is>
          <t>This answer identifies a knowledge gap. It does not establish that the practice is missing, that harm has occurred or that a legal duty has been breached.</t>
        </is>
      </c>
      <c r="G250" s="37" t="inlineStr">
        <is>
          <t>The contract label may not settle employment status, and superannuation requires its own assessment.</t>
        </is>
      </c>
      <c r="H250" s="37" t="inlineStr">
        <is>
          <t>Worker status and superannuation</t>
        </is>
      </c>
      <c r="I250" s="48" t="n">
        <v>3</v>
      </c>
      <c r="J250" s="48" t="n">
        <v>0</v>
      </c>
      <c r="K250" s="48" t="n">
        <v>3</v>
      </c>
      <c r="L250" s="37" t="inlineStr">
        <is>
          <t>The risk is not rated from an unknown answer. Verification is High priority because: The contract label may not settle employment status, and superannuation requires its own assessment.</t>
        </is>
      </c>
      <c r="M250" s="37" t="inlineStr">
        <is>
          <t>Ask the owner / hr lead to show a current example of the process and the evidence listed below. Confirm the answer before deciding what must be repaired.</t>
        </is>
      </c>
      <c r="N250" s="37" t="inlineStr">
        <is>
          <t>Compare the example with the established-practice description: We have documented the relevant employment-status and super assessments, and review them when the relationship changes.</t>
        </is>
      </c>
      <c r="O250" s="37" t="inlineStr">
        <is>
          <t>Record what was checked, by whom and when. If it remains unclear, keep the verification task open and agree any proportionate interim safeguard.</t>
        </is>
      </c>
      <c r="P250" s="37" t="inlineStr">
        <is>
          <t>Review or verify within two business days and before the next affected event if earlier. Do not wait where a duty or current harm requires earlier action.</t>
        </is>
      </c>
      <c r="Q250" s="37" t="inlineStr">
        <is>
          <t>A dated verification record, the supporting example, an updated answer and any remaining action. No automatic compliance conclusion.</t>
        </is>
      </c>
      <c r="R250" s="37" t="inlineStr">
        <is>
          <t>Each materially different arrangement has a current employment-status and separate superannuation assessment. Any necessary contractual, payment or working-practice changes have been implemented and checked; unresolved exceptions remain open.</t>
        </is>
      </c>
      <c r="S250" s="37" t="inlineStr">
        <is>
          <t>A new contractor arrangement or a material change in the relationship.</t>
        </is>
      </c>
      <c r="T250" s="37" t="inlineStr">
        <is>
          <t>Owner / HR lead</t>
        </is>
      </c>
      <c r="U250" s="37" t="inlineStr">
        <is>
          <t>Employment terms and engagement review, with legal referral for issues outside the agreed HR advisory scope.</t>
        </is>
      </c>
      <c r="V250" s="37" t="inlineStr">
        <is>
          <t>TERMS</t>
        </is>
      </c>
      <c r="W250" s="37" t="inlineStr">
        <is>
          <t>A_B05</t>
        </is>
      </c>
      <c r="X250" s="37" t="inlineStr">
        <is>
          <t>S23;S24;DESIGN</t>
        </is>
      </c>
      <c r="Y250" s="37" t="inlineStr">
        <is>
          <t>https://www.fairwork.gov.au/find-help-for/independent-contractors/whole-of-relationship-test
https://www.ato.gov.au/businesses-and-organisations/super-for-employers/work-out-if-you-have-to-pay-super/super-for-independent-contractors</t>
        </is>
      </c>
      <c r="Z250" s="37" t="inlineStr">
        <is>
          <t>Treating an ABN, insurance certificate or invoice as conclusive.</t>
        </is>
      </c>
    </row>
    <row r="251" ht="106" customHeight="1">
      <c r="A251" s="38" t="inlineStr">
        <is>
          <t>B06_0</t>
        </is>
      </c>
      <c r="B251" s="38" t="inlineStr">
        <is>
          <t>B06</t>
        </is>
      </c>
      <c r="C251" s="49" t="n">
        <v>0</v>
      </c>
      <c r="D251" s="38" t="inlineStr">
        <is>
          <t>Part-time hours change without checking applicable requirements.</t>
        </is>
      </c>
      <c r="E251" s="38" t="inlineStr">
        <is>
          <t>Check the pay consequence of changed part-time hours</t>
        </is>
      </c>
      <c r="F251" s="38" t="inlineStr">
        <is>
          <t>The selected response reports a missing or unestablished element. Confirm the affected arrangements before drawing a conclusion about any actual breach or harm.</t>
        </is>
      </c>
      <c r="G251" s="38" t="inlineStr">
        <is>
          <t>A change in hours may trigger agreement, record or overtime requirements that ordinary payroll settings do not capture.</t>
        </is>
      </c>
      <c r="H251" s="38" t="inlineStr">
        <is>
          <t>Part-time hours and pay</t>
        </is>
      </c>
      <c r="I251" s="49" t="n">
        <v>3</v>
      </c>
      <c r="J251" s="49" t="n">
        <v>3</v>
      </c>
      <c r="K251" s="49" t="n">
        <v>3</v>
      </c>
      <c r="L251" s="38" t="inlineStr">
        <is>
          <t>High provisional concern: an essential element remains unresolved. A change in hours may trigger agreement, record or overtime requirements that ordinary payroll settings do not capture.</t>
        </is>
      </c>
      <c r="M251" s="38" t="inlineStr">
        <is>
          <t>Review recent part-time roster changes against the applicable instrument, employee agreement and actual payroll treatment.</t>
        </is>
      </c>
      <c r="N251" s="38" t="inlineStr">
        <is>
          <t>Check the relevant arrangement and each type of change, including guaranteed hours and applicable payment triggers.</t>
        </is>
      </c>
      <c r="O251" s="38" t="inlineStr">
        <is>
          <t>Review an actual changed-hours period against the agreement and payroll result.</t>
        </is>
      </c>
      <c r="P251" s="38" t="inlineStr">
        <is>
          <t>Review or verify within two business days and before the next affected event if earlier. Do not wait where a duty or current harm requires earlier action.</t>
        </is>
      </c>
      <c r="Q251" s="38" t="inlineStr">
        <is>
          <t>A change-of-hours check showing required agreement, records and the resulting pay. Confirm that the change works in practice, not only that a document exists.</t>
        </is>
      </c>
      <c r="R251" s="38" t="inlineStr">
        <is>
          <t>A change-of-hours check showing required agreement, records and the resulting pay.</t>
        </is>
      </c>
      <c r="S251" s="38" t="inlineStr">
        <is>
          <t>Changed hours, a varied roster or an applicable instrument change.</t>
        </is>
      </c>
      <c r="T251" s="38" t="inlineStr">
        <is>
          <t>Payroll lead / owner</t>
        </is>
      </c>
      <c r="U251" s="38" t="inlineStr">
        <is>
          <t>Targeted payroll, award/classification or salary-arrangement review, scoped to the flagged population.</t>
        </is>
      </c>
      <c r="V251" s="38" t="inlineStr">
        <is>
          <t>PAY_ASSURANCE</t>
        </is>
      </c>
      <c r="W251" s="38" t="inlineStr">
        <is>
          <t>A_B06</t>
        </is>
      </c>
      <c r="X251" s="38" t="inlineStr">
        <is>
          <t>S06;S25;S14;DESIGN</t>
        </is>
      </c>
      <c r="Y251" s="38" t="inlineStr">
        <is>
          <t>https://www.fairwork.gov.au/pay-and-wages/minimum-wages/annualised-salaries
https://www.fairwork.gov.au/tools-and-resources/best-practice-guides/consultation-and-cooperation-in-the-workplace
https://www.fairwork.gov.au/tools-and-resources/fact-sheets/rights-and-obligations/record-keeping-pay-slips</t>
        </is>
      </c>
      <c r="Z251" s="38" t="inlineStr">
        <is>
          <t>Assuming every additional part-time hour is ordinary time because the employee agreed to work it.</t>
        </is>
      </c>
    </row>
    <row r="252" ht="106" customHeight="1">
      <c r="A252" s="37" t="inlineStr">
        <is>
          <t>B06_1</t>
        </is>
      </c>
      <c r="B252" s="37" t="inlineStr">
        <is>
          <t>B06</t>
        </is>
      </c>
      <c r="C252" s="48" t="n">
        <v>1</v>
      </c>
      <c r="D252" s="37" t="inlineStr">
        <is>
          <t>Managers agree changes informally and assume extra hours are ordinary hours.</t>
        </is>
      </c>
      <c r="E252" s="37" t="inlineStr">
        <is>
          <t>Check the pay consequence of changed part-time hours</t>
        </is>
      </c>
      <c r="F252" s="37" t="inlineStr">
        <is>
          <t>The selected response relies on assumptions, informal decisions or an inconsistent process. The action is to make the relevant check reliable in routine work.</t>
        </is>
      </c>
      <c r="G252" s="37" t="inlineStr">
        <is>
          <t>A change in hours may trigger agreement, record or overtime requirements that ordinary payroll settings do not capture.</t>
        </is>
      </c>
      <c r="H252" s="37" t="inlineStr">
        <is>
          <t>Part-time hours and pay</t>
        </is>
      </c>
      <c r="I252" s="48" t="n">
        <v>3</v>
      </c>
      <c r="J252" s="48" t="n">
        <v>3</v>
      </c>
      <c r="K252" s="48" t="n">
        <v>3</v>
      </c>
      <c r="L252" s="37" t="inlineStr">
        <is>
          <t>High provisional concern: an essential element remains unresolved. A change in hours may trigger agreement, record or overtime requirements that ordinary payroll settings do not capture.</t>
        </is>
      </c>
      <c r="M252" s="37" t="inlineStr">
        <is>
          <t>Replace the assumption with a current check. Review recent part-time roster changes against the applicable instrument, employee agreement and actual payroll treatment.</t>
        </is>
      </c>
      <c r="N252" s="37" t="inlineStr">
        <is>
          <t>Check the relevant arrangement and each type of change, including guaranteed hours and applicable payment triggers.</t>
        </is>
      </c>
      <c r="O252" s="37" t="inlineStr">
        <is>
          <t>Review an actual changed-hours period against the agreement and payroll result.</t>
        </is>
      </c>
      <c r="P252" s="37" t="inlineStr">
        <is>
          <t>Review or verify within two business days and before the next affected event if earlier. Do not wait where a duty or current harm requires earlier action.</t>
        </is>
      </c>
      <c r="Q252" s="37" t="inlineStr">
        <is>
          <t>A change-of-hours check showing required agreement, records and the resulting pay. Confirm that the change works in practice, not only that a document exists.</t>
        </is>
      </c>
      <c r="R252" s="37" t="inlineStr">
        <is>
          <t>A change-of-hours check showing required agreement, records and the resulting pay.</t>
        </is>
      </c>
      <c r="S252" s="37" t="inlineStr">
        <is>
          <t>Changed hours, a varied roster or an applicable instrument change.</t>
        </is>
      </c>
      <c r="T252" s="37" t="inlineStr">
        <is>
          <t>Payroll lead / owner</t>
        </is>
      </c>
      <c r="U252" s="37" t="inlineStr">
        <is>
          <t>Targeted payroll, award/classification or salary-arrangement review, scoped to the flagged population.</t>
        </is>
      </c>
      <c r="V252" s="37" t="inlineStr">
        <is>
          <t>PAY_ASSURANCE</t>
        </is>
      </c>
      <c r="W252" s="37" t="inlineStr">
        <is>
          <t>A_B06</t>
        </is>
      </c>
      <c r="X252" s="37" t="inlineStr">
        <is>
          <t>S06;S25;S14;DESIGN</t>
        </is>
      </c>
      <c r="Y252" s="37" t="inlineStr">
        <is>
          <t>https://www.fairwork.gov.au/pay-and-wages/minimum-wages/annualised-salaries
https://www.fairwork.gov.au/tools-and-resources/best-practice-guides/consultation-and-cooperation-in-the-workplace
https://www.fairwork.gov.au/tools-and-resources/fact-sheets/rights-and-obligations/record-keeping-pay-slips</t>
        </is>
      </c>
      <c r="Z252" s="37" t="inlineStr">
        <is>
          <t>Assuming every additional part-time hour is ordinary time because the employee agreed to work it.</t>
        </is>
      </c>
    </row>
    <row r="253" ht="106" customHeight="1">
      <c r="A253" s="38" t="inlineStr">
        <is>
          <t>B06_2</t>
        </is>
      </c>
      <c r="B253" s="38" t="inlineStr">
        <is>
          <t>B06</t>
        </is>
      </c>
      <c r="C253" s="49" t="n">
        <v>2</v>
      </c>
      <c r="D253" s="38" t="inlineStr">
        <is>
          <t>Changes are recorded, but overtime triggers or agreement requirements need review.</t>
        </is>
      </c>
      <c r="E253" s="38" t="inlineStr">
        <is>
          <t>Complete the remaining check: check the pay consequence of changed part-time hours</t>
        </is>
      </c>
      <c r="F253" s="38" t="inlineStr">
        <is>
          <t>The selected response identifies an incomplete element within an existing practice. Keep what works and target the unresolved part; the stronger elements do not cancel the gap.</t>
        </is>
      </c>
      <c r="G253" s="38" t="inlineStr">
        <is>
          <t>A change in hours may trigger agreement, record or overtime requirements that ordinary payroll settings do not capture.</t>
        </is>
      </c>
      <c r="H253" s="38" t="inlineStr">
        <is>
          <t>Part-time hours and pay</t>
        </is>
      </c>
      <c r="I253" s="49" t="n">
        <v>3</v>
      </c>
      <c r="J253" s="49" t="n">
        <v>3</v>
      </c>
      <c r="K253" s="49" t="n">
        <v>3</v>
      </c>
      <c r="L253" s="38" t="inlineStr">
        <is>
          <t>High provisional concern: an essential element remains unresolved. A change in hours may trigger agreement, record or overtime requirements that ordinary payroll settings do not capture.</t>
        </is>
      </c>
      <c r="M253" s="38" t="inlineStr">
        <is>
          <t>Focus on the unresolved arrangements or exceptions. Review recent part-time roster changes against the applicable instrument, employee agreement and actual payroll treatment.</t>
        </is>
      </c>
      <c r="N253" s="38" t="inlineStr">
        <is>
          <t>Check the relevant arrangement and each type of change, including guaranteed hours and applicable payment triggers.</t>
        </is>
      </c>
      <c r="O253" s="38" t="inlineStr">
        <is>
          <t>Review an actual changed-hours period against the agreement and payroll result.</t>
        </is>
      </c>
      <c r="P253" s="38" t="inlineStr">
        <is>
          <t>Review or verify within two business days and before the next affected event if earlier. Do not wait where a duty or current harm requires earlier action.</t>
        </is>
      </c>
      <c r="Q253" s="38" t="inlineStr">
        <is>
          <t>A change-of-hours check showing required agreement, records and the resulting pay. Confirm that the change works in practice, not only that a document exists.</t>
        </is>
      </c>
      <c r="R253" s="38" t="inlineStr">
        <is>
          <t>A change-of-hours check showing required agreement, records and the resulting pay.</t>
        </is>
      </c>
      <c r="S253" s="38" t="inlineStr">
        <is>
          <t>Changed hours, a varied roster or an applicable instrument change.</t>
        </is>
      </c>
      <c r="T253" s="38" t="inlineStr">
        <is>
          <t>Payroll lead / owner</t>
        </is>
      </c>
      <c r="U253" s="38" t="inlineStr">
        <is>
          <t>Targeted payroll, award/classification or salary-arrangement review, scoped to the flagged population.</t>
        </is>
      </c>
      <c r="V253" s="38" t="inlineStr">
        <is>
          <t>PAY_ASSURANCE</t>
        </is>
      </c>
      <c r="W253" s="38" t="inlineStr">
        <is>
          <t>A_B06</t>
        </is>
      </c>
      <c r="X253" s="38" t="inlineStr">
        <is>
          <t>S06;S25;S14;DESIGN</t>
        </is>
      </c>
      <c r="Y253" s="38" t="inlineStr">
        <is>
          <t>https://www.fairwork.gov.au/pay-and-wages/minimum-wages/annualised-salaries
https://www.fairwork.gov.au/tools-and-resources/best-practice-guides/consultation-and-cooperation-in-the-workplace
https://www.fairwork.gov.au/tools-and-resources/fact-sheets/rights-and-obligations/record-keeping-pay-slips</t>
        </is>
      </c>
      <c r="Z253" s="38" t="inlineStr">
        <is>
          <t>Assuming every additional part-time hour is ordinary time because the employee agreed to work it.</t>
        </is>
      </c>
    </row>
    <row r="254" ht="106" customHeight="1">
      <c r="A254" s="37" t="inlineStr">
        <is>
          <t>B06_3</t>
        </is>
      </c>
      <c r="B254" s="37" t="inlineStr">
        <is>
          <t>B06</t>
        </is>
      </c>
      <c r="C254" s="48" t="n">
        <v>3</v>
      </c>
      <c r="D254" s="37" t="inlineStr">
        <is>
          <t>We apply the relevant agreement, record and pay requirements each time the arrangement changes.</t>
        </is>
      </c>
      <c r="E254" s="37" t="inlineStr">
        <is>
          <t>Maintain and test: check the pay consequence of changed part-time hours</t>
        </is>
      </c>
      <c r="F254" s="37" t="inlineStr">
        <is>
          <t>The selected response reports an established and checked practice. The tool has not inspected the evidence and cannot certify the absence of risk.</t>
        </is>
      </c>
      <c r="G254" s="37" t="inlineStr">
        <is>
          <t>A change in hours may trigger agreement, record or overtime requirements that ordinary payroll settings do not capture.</t>
        </is>
      </c>
      <c r="H254" s="37" t="inlineStr">
        <is>
          <t>Part-time hours and pay</t>
        </is>
      </c>
      <c r="I254" s="48" t="n">
        <v>3</v>
      </c>
      <c r="J254" s="48" t="n">
        <v>1</v>
      </c>
      <c r="K254" s="48" t="n">
        <v>1</v>
      </c>
      <c r="L254" s="37" t="inlineStr">
        <is>
          <t>Lower reported concern, not a finding of no risk. The assumed controls are self-reported; a current incident, contrary evidence or failed control takes precedence.</t>
        </is>
      </c>
      <c r="M254" s="37" t="inlineStr">
        <is>
          <t>Maintain the practice described. At the next relevant review, review an actual changed-hours period against the agreement and payroll result.</t>
        </is>
      </c>
      <c r="N254" s="37" t="inlineStr">
        <is>
          <t>Check whether changes in work, people or applicable requirements have made the original process less reliable.</t>
        </is>
      </c>
      <c r="O254" s="37" t="inlineStr">
        <is>
          <t>Retain the review outcome and act on any new exception. An unresolved live issue overrides this maintenance pathway.</t>
        </is>
      </c>
      <c r="P254" s="37" t="inlineStr">
        <is>
          <t>Maintain at the stated trigger; for a new low-priority improvement, plan within 90 days.</t>
        </is>
      </c>
      <c r="Q254" s="37" t="inlineStr">
        <is>
          <t>A current example of the practice and a proportionate recheck record. A change-of-hours check showing required agreement, records and the resulting pay.</t>
        </is>
      </c>
      <c r="R254" s="37" t="inlineStr">
        <is>
          <t>A change-of-hours check showing required agreement, records and the resulting pay.</t>
        </is>
      </c>
      <c r="S254" s="37" t="inlineStr">
        <is>
          <t>Changed hours, a varied roster or an applicable instrument change.</t>
        </is>
      </c>
      <c r="T254" s="37" t="inlineStr">
        <is>
          <t>Payroll lead / owner</t>
        </is>
      </c>
      <c r="U254" s="37" t="inlineStr">
        <is>
          <t>No further purchase is implied by this result. Seek support only for a material change, unresolved exception or chosen improvement.</t>
        </is>
      </c>
      <c r="V254" s="37" t="inlineStr">
        <is>
          <t>PAY_ASSURANCE</t>
        </is>
      </c>
      <c r="W254" s="37" t="inlineStr">
        <is>
          <t>A_B06</t>
        </is>
      </c>
      <c r="X254" s="37" t="inlineStr">
        <is>
          <t>S06;S25;S14;DESIGN</t>
        </is>
      </c>
      <c r="Y254" s="37" t="inlineStr">
        <is>
          <t>https://www.fairwork.gov.au/pay-and-wages/minimum-wages/annualised-salaries
https://www.fairwork.gov.au/tools-and-resources/best-practice-guides/consultation-and-cooperation-in-the-workplace
https://www.fairwork.gov.au/tools-and-resources/fact-sheets/rights-and-obligations/record-keeping-pay-slips</t>
        </is>
      </c>
      <c r="Z254" s="37" t="inlineStr">
        <is>
          <t>Assuming every additional part-time hour is ordinary time because the employee agreed to work it.</t>
        </is>
      </c>
    </row>
    <row r="255" ht="106" customHeight="1">
      <c r="A255" s="38" t="inlineStr">
        <is>
          <t>B06_DK</t>
        </is>
      </c>
      <c r="B255" s="38" t="inlineStr">
        <is>
          <t>B06</t>
        </is>
      </c>
      <c r="C255" s="38" t="inlineStr">
        <is>
          <t>DK</t>
        </is>
      </c>
      <c r="D255" s="38" t="inlineStr">
        <is>
          <t>I need to confirm this.</t>
        </is>
      </c>
      <c r="E255" s="38" t="inlineStr">
        <is>
          <t>Verify: check the pay consequence of changed part-time hours</t>
        </is>
      </c>
      <c r="F255" s="38" t="inlineStr">
        <is>
          <t>This answer identifies a knowledge gap. It does not establish that the practice is missing, that harm has occurred or that a legal duty has been breached.</t>
        </is>
      </c>
      <c r="G255" s="38" t="inlineStr">
        <is>
          <t>A change in hours may trigger agreement, record or overtime requirements that ordinary payroll settings do not capture.</t>
        </is>
      </c>
      <c r="H255" s="38" t="inlineStr">
        <is>
          <t>Part-time hours and pay</t>
        </is>
      </c>
      <c r="I255" s="49" t="n">
        <v>3</v>
      </c>
      <c r="J255" s="49" t="n">
        <v>0</v>
      </c>
      <c r="K255" s="49" t="n">
        <v>3</v>
      </c>
      <c r="L255" s="38" t="inlineStr">
        <is>
          <t>The risk is not rated from an unknown answer. Verification is High priority because: A change in hours may trigger agreement, record or overtime requirements that ordinary payroll settings do not capture.</t>
        </is>
      </c>
      <c r="M255" s="38" t="inlineStr">
        <is>
          <t>Ask the payroll lead / owner to show a current example of the process and the evidence listed below. Confirm the answer before deciding what must be repaired.</t>
        </is>
      </c>
      <c r="N255" s="38" t="inlineStr">
        <is>
          <t>Compare the example with the established-practice description: We apply the relevant agreement, record and pay requirements each time the arrangement changes.</t>
        </is>
      </c>
      <c r="O255" s="38" t="inlineStr">
        <is>
          <t>Record what was checked, by whom and when. If it remains unclear, keep the verification task open and agree any proportionate interim safeguard.</t>
        </is>
      </c>
      <c r="P255" s="38" t="inlineStr">
        <is>
          <t>Review or verify within two business days and before the next affected event if earlier. Do not wait where a duty or current harm requires earlier action.</t>
        </is>
      </c>
      <c r="Q255" s="38" t="inlineStr">
        <is>
          <t>A dated verification record, the supporting example, an updated answer and any remaining action. No automatic compliance conclusion.</t>
        </is>
      </c>
      <c r="R255" s="38" t="inlineStr">
        <is>
          <t>A change-of-hours check showing required agreement, records and the resulting pay.</t>
        </is>
      </c>
      <c r="S255" s="38" t="inlineStr">
        <is>
          <t>Changed hours, a varied roster or an applicable instrument change.</t>
        </is>
      </c>
      <c r="T255" s="38" t="inlineStr">
        <is>
          <t>Payroll lead / owner</t>
        </is>
      </c>
      <c r="U255" s="38" t="inlineStr">
        <is>
          <t>Targeted payroll, award/classification or salary-arrangement review, scoped to the flagged population.</t>
        </is>
      </c>
      <c r="V255" s="38" t="inlineStr">
        <is>
          <t>PAY_ASSURANCE</t>
        </is>
      </c>
      <c r="W255" s="38" t="inlineStr">
        <is>
          <t>A_B06</t>
        </is>
      </c>
      <c r="X255" s="38" t="inlineStr">
        <is>
          <t>S06;S25;S14;DESIGN</t>
        </is>
      </c>
      <c r="Y255" s="38" t="inlineStr">
        <is>
          <t>https://www.fairwork.gov.au/pay-and-wages/minimum-wages/annualised-salaries
https://www.fairwork.gov.au/tools-and-resources/best-practice-guides/consultation-and-cooperation-in-the-workplace
https://www.fairwork.gov.au/tools-and-resources/fact-sheets/rights-and-obligations/record-keeping-pay-slips</t>
        </is>
      </c>
      <c r="Z255" s="38" t="inlineStr">
        <is>
          <t>Assuming every additional part-time hour is ordinary time because the employee agreed to work it.</t>
        </is>
      </c>
    </row>
    <row r="256" ht="76" customHeight="1">
      <c r="A256" s="37" t="inlineStr">
        <is>
          <t>B07_0</t>
        </is>
      </c>
      <c r="B256" s="37" t="inlineStr">
        <is>
          <t>B07</t>
        </is>
      </c>
      <c r="C256" s="48" t="n">
        <v>0</v>
      </c>
      <c r="D256" s="37" t="inlineStr">
        <is>
          <t>We do not check the relevant triggers.</t>
        </is>
      </c>
      <c r="E256" s="37" t="inlineStr">
        <is>
          <t>Connect each allowance to its actual trigger</t>
        </is>
      </c>
      <c r="F256" s="37" t="inlineStr">
        <is>
          <t>The selected response reports a missing or unestablished element. Confirm the affected arrangements before drawing a conclusion about any actual breach or harm.</t>
        </is>
      </c>
      <c r="G256" s="37" t="inlineStr">
        <is>
          <t>An entitlement can be missed when a duty, qualification or work-pattern trigger is not communicated to payroll.</t>
        </is>
      </c>
      <c r="H256" s="37" t="inlineStr">
        <is>
          <t>Allowances and leave loading</t>
        </is>
      </c>
      <c r="I256" s="48" t="n">
        <v>3</v>
      </c>
      <c r="J256" s="48" t="n">
        <v>3</v>
      </c>
      <c r="K256" s="48" t="n">
        <v>3</v>
      </c>
      <c r="L256" s="37" t="inlineStr">
        <is>
          <t>High provisional concern: an essential element remains unresolved. An entitlement can be missed when a duty, qualification or work-pattern trigger is not communicated to payroll.</t>
        </is>
      </c>
      <c r="M256" s="37" t="inlineStr">
        <is>
          <t>Build a short allowance and loading register from the applicable instruments, including the trigger, amount source, evidence and payroll owner.</t>
        </is>
      </c>
      <c r="N256" s="37" t="inlineStr">
        <is>
          <t>Map relevant triggers and who confirms eligibility; check any proposed inclusion in a salary or flat rate separately.</t>
        </is>
      </c>
      <c r="O256" s="37" t="inlineStr">
        <is>
          <t>Review a recent employee change and confirm the resulting allowance or loading was correctly applied.</t>
        </is>
      </c>
      <c r="P256" s="37" t="inlineStr">
        <is>
          <t>Review or verify within two business days and before the next affected event if earlier. Do not wait where a duty or current harm requires earlier action.</t>
        </is>
      </c>
      <c r="Q256" s="37" t="inlineStr">
        <is>
          <t>A checked trigger register and a sample of eligible payments or supported non-applicability. Confirm that the change works in practice, not only that a document exists.</t>
        </is>
      </c>
      <c r="R256" s="37" t="inlineStr">
        <is>
          <t>A checked trigger register and a sample of eligible payments or supported non-applicability.</t>
        </is>
      </c>
      <c r="S256" s="37" t="inlineStr">
        <is>
          <t>Changed duties, qualifications, work patterns or instrument rates.</t>
        </is>
      </c>
      <c r="T256" s="37" t="inlineStr">
        <is>
          <t>Payroll lead / owner</t>
        </is>
      </c>
      <c r="U256" s="37" t="inlineStr">
        <is>
          <t>Targeted payroll, award/classification or salary-arrangement review, scoped to the flagged population.</t>
        </is>
      </c>
      <c r="V256" s="37" t="inlineStr">
        <is>
          <t>PAY_ASSURANCE</t>
        </is>
      </c>
      <c r="W256" s="37" t="inlineStr">
        <is>
          <t>A_B07</t>
        </is>
      </c>
      <c r="X256" s="37" t="inlineStr">
        <is>
          <t>S06;S07;DESIGN</t>
        </is>
      </c>
      <c r="Y256" s="37" t="inlineStr">
        <is>
          <t>https://www.fairwork.gov.au/pay-and-wages/minimum-wages/annualised-salaries
https://www.fairwork.gov.au/newsroom/news/offsetting-and-record-keeping-salaried-employees</t>
        </is>
      </c>
      <c r="Z256" s="37" t="inlineStr">
        <is>
          <t>Paying familiar allowances while assuming they cover every required item.</t>
        </is>
      </c>
    </row>
    <row r="257" ht="76" customHeight="1">
      <c r="A257" s="38" t="inlineStr">
        <is>
          <t>B07_1</t>
        </is>
      </c>
      <c r="B257" s="38" t="inlineStr">
        <is>
          <t>B07</t>
        </is>
      </c>
      <c r="C257" s="49" t="n">
        <v>1</v>
      </c>
      <c r="D257" s="38" t="inlineStr">
        <is>
          <t>We pay some common items or assume the base rate covers everything.</t>
        </is>
      </c>
      <c r="E257" s="38" t="inlineStr">
        <is>
          <t>Connect each allowance to its actual trigger</t>
        </is>
      </c>
      <c r="F257" s="38" t="inlineStr">
        <is>
          <t>The selected response relies on assumptions, informal decisions or an inconsistent process. The action is to make the relevant check reliable in routine work.</t>
        </is>
      </c>
      <c r="G257" s="38" t="inlineStr">
        <is>
          <t>An entitlement can be missed when a duty, qualification or work-pattern trigger is not communicated to payroll.</t>
        </is>
      </c>
      <c r="H257" s="38" t="inlineStr">
        <is>
          <t>Allowances and leave loading</t>
        </is>
      </c>
      <c r="I257" s="49" t="n">
        <v>3</v>
      </c>
      <c r="J257" s="49" t="n">
        <v>3</v>
      </c>
      <c r="K257" s="49" t="n">
        <v>3</v>
      </c>
      <c r="L257" s="38" t="inlineStr">
        <is>
          <t>High provisional concern: an essential element remains unresolved. An entitlement can be missed when a duty, qualification or work-pattern trigger is not communicated to payroll.</t>
        </is>
      </c>
      <c r="M257" s="38" t="inlineStr">
        <is>
          <t>Replace the assumption with a current check. Build a short allowance and loading register from the applicable instruments, including the trigger, amount source, evidence and payroll owner.</t>
        </is>
      </c>
      <c r="N257" s="38" t="inlineStr">
        <is>
          <t>Map relevant triggers and who confirms eligibility; check any proposed inclusion in a salary or flat rate separately.</t>
        </is>
      </c>
      <c r="O257" s="38" t="inlineStr">
        <is>
          <t>Review a recent employee change and confirm the resulting allowance or loading was correctly applied.</t>
        </is>
      </c>
      <c r="P257" s="38" t="inlineStr">
        <is>
          <t>Review or verify within two business days and before the next affected event if earlier. Do not wait where a duty or current harm requires earlier action.</t>
        </is>
      </c>
      <c r="Q257" s="38" t="inlineStr">
        <is>
          <t>A checked trigger register and a sample of eligible payments or supported non-applicability. Confirm that the change works in practice, not only that a document exists.</t>
        </is>
      </c>
      <c r="R257" s="38" t="inlineStr">
        <is>
          <t>A checked trigger register and a sample of eligible payments or supported non-applicability.</t>
        </is>
      </c>
      <c r="S257" s="38" t="inlineStr">
        <is>
          <t>Changed duties, qualifications, work patterns or instrument rates.</t>
        </is>
      </c>
      <c r="T257" s="38" t="inlineStr">
        <is>
          <t>Payroll lead / owner</t>
        </is>
      </c>
      <c r="U257" s="38" t="inlineStr">
        <is>
          <t>Targeted payroll, award/classification or salary-arrangement review, scoped to the flagged population.</t>
        </is>
      </c>
      <c r="V257" s="38" t="inlineStr">
        <is>
          <t>PAY_ASSURANCE</t>
        </is>
      </c>
      <c r="W257" s="38" t="inlineStr">
        <is>
          <t>A_B07</t>
        </is>
      </c>
      <c r="X257" s="38" t="inlineStr">
        <is>
          <t>S06;S07;DESIGN</t>
        </is>
      </c>
      <c r="Y257" s="38" t="inlineStr">
        <is>
          <t>https://www.fairwork.gov.au/pay-and-wages/minimum-wages/annualised-salaries
https://www.fairwork.gov.au/newsroom/news/offsetting-and-record-keeping-salaried-employees</t>
        </is>
      </c>
      <c r="Z257" s="38" t="inlineStr">
        <is>
          <t>Paying familiar allowances while assuming they cover every required item.</t>
        </is>
      </c>
    </row>
    <row r="258" ht="76" customHeight="1">
      <c r="A258" s="37" t="inlineStr">
        <is>
          <t>B07_2</t>
        </is>
      </c>
      <c r="B258" s="37" t="inlineStr">
        <is>
          <t>B07</t>
        </is>
      </c>
      <c r="C258" s="48" t="n">
        <v>2</v>
      </c>
      <c r="D258" s="37" t="inlineStr">
        <is>
          <t>We have a list, but changes in duties or eligibility are not consistently picked up.</t>
        </is>
      </c>
      <c r="E258" s="37" t="inlineStr">
        <is>
          <t>Complete the remaining check: connect each allowance to its actual trigger</t>
        </is>
      </c>
      <c r="F258" s="37" t="inlineStr">
        <is>
          <t>The selected response identifies an incomplete element within an existing practice. Keep what works and target the unresolved part; the stronger elements do not cancel the gap.</t>
        </is>
      </c>
      <c r="G258" s="37" t="inlineStr">
        <is>
          <t>An entitlement can be missed when a duty, qualification or work-pattern trigger is not communicated to payroll.</t>
        </is>
      </c>
      <c r="H258" s="37" t="inlineStr">
        <is>
          <t>Allowances and leave loading</t>
        </is>
      </c>
      <c r="I258" s="48" t="n">
        <v>3</v>
      </c>
      <c r="J258" s="48" t="n">
        <v>2</v>
      </c>
      <c r="K258" s="48" t="n">
        <v>2</v>
      </c>
      <c r="L258" s="37" t="inlineStr">
        <is>
          <t>Medium provisional concern: a material practice needs improvement. An entitlement can be missed when a duty, qualification or work-pattern trigger is not communicated to payroll.</t>
        </is>
      </c>
      <c r="M258" s="37" t="inlineStr">
        <is>
          <t>Focus on the unresolved arrangements or exceptions. Build a short allowance and loading register from the applicable instruments, including the trigger, amount source, evidence and payroll owner.</t>
        </is>
      </c>
      <c r="N258" s="37" t="inlineStr">
        <is>
          <t>Map relevant triggers and who confirms eligibility; check any proposed inclusion in a salary or flat rate separately.</t>
        </is>
      </c>
      <c r="O258" s="37" t="inlineStr">
        <is>
          <t>Review a recent employee change and confirm the resulting allowance or loading was correctly applied.</t>
        </is>
      </c>
      <c r="P258" s="37" t="inlineStr">
        <is>
          <t>Agree an owner and plan within 30 days, or before the next affected event if earlier.</t>
        </is>
      </c>
      <c r="Q258" s="37" t="inlineStr">
        <is>
          <t>A checked trigger register and a sample of eligible payments or supported non-applicability. Confirm that the change works in practice, not only that a document exists.</t>
        </is>
      </c>
      <c r="R258" s="37" t="inlineStr">
        <is>
          <t>A checked trigger register and a sample of eligible payments or supported non-applicability.</t>
        </is>
      </c>
      <c r="S258" s="37" t="inlineStr">
        <is>
          <t>Changed duties, qualifications, work patterns or instrument rates.</t>
        </is>
      </c>
      <c r="T258" s="37" t="inlineStr">
        <is>
          <t>Payroll lead / owner</t>
        </is>
      </c>
      <c r="U258" s="37" t="inlineStr">
        <is>
          <t>Targeted payroll, award/classification or salary-arrangement review, scoped to the flagged population.</t>
        </is>
      </c>
      <c r="V258" s="37" t="inlineStr">
        <is>
          <t>PAY_ASSURANCE</t>
        </is>
      </c>
      <c r="W258" s="37" t="inlineStr">
        <is>
          <t>A_B07</t>
        </is>
      </c>
      <c r="X258" s="37" t="inlineStr">
        <is>
          <t>S06;S07;DESIGN</t>
        </is>
      </c>
      <c r="Y258" s="37" t="inlineStr">
        <is>
          <t>https://www.fairwork.gov.au/pay-and-wages/minimum-wages/annualised-salaries
https://www.fairwork.gov.au/newsroom/news/offsetting-and-record-keeping-salaried-employees</t>
        </is>
      </c>
      <c r="Z258" s="37" t="inlineStr">
        <is>
          <t>Paying familiar allowances while assuming they cover every required item.</t>
        </is>
      </c>
    </row>
    <row r="259" ht="76" customHeight="1">
      <c r="A259" s="38" t="inlineStr">
        <is>
          <t>B07_3</t>
        </is>
      </c>
      <c r="B259" s="38" t="inlineStr">
        <is>
          <t>B07</t>
        </is>
      </c>
      <c r="C259" s="49" t="n">
        <v>3</v>
      </c>
      <c r="D259" s="38" t="inlineStr">
        <is>
          <t>We maintain relevant triggers, confirm eligibility and check payment or a lawful alternative arrangement when circumstances change.</t>
        </is>
      </c>
      <c r="E259" s="38" t="inlineStr">
        <is>
          <t>Maintain and test: connect each allowance to its actual trigger</t>
        </is>
      </c>
      <c r="F259" s="38" t="inlineStr">
        <is>
          <t>The selected response reports an established and checked practice. The tool has not inspected the evidence and cannot certify the absence of risk.</t>
        </is>
      </c>
      <c r="G259" s="38" t="inlineStr">
        <is>
          <t>An entitlement can be missed when a duty, qualification or work-pattern trigger is not communicated to payroll.</t>
        </is>
      </c>
      <c r="H259" s="38" t="inlineStr">
        <is>
          <t>Allowances and leave loading</t>
        </is>
      </c>
      <c r="I259" s="49" t="n">
        <v>3</v>
      </c>
      <c r="J259" s="49" t="n">
        <v>1</v>
      </c>
      <c r="K259" s="49" t="n">
        <v>1</v>
      </c>
      <c r="L259" s="38" t="inlineStr">
        <is>
          <t>Lower reported concern, not a finding of no risk. The assumed controls are self-reported; a current incident, contrary evidence or failed control takes precedence.</t>
        </is>
      </c>
      <c r="M259" s="38" t="inlineStr">
        <is>
          <t>Maintain the practice described. At the next relevant review, review a recent employee change and confirm the resulting allowance or loading was correctly applied.</t>
        </is>
      </c>
      <c r="N259" s="38" t="inlineStr">
        <is>
          <t>Check whether changes in work, people or applicable requirements have made the original process less reliable.</t>
        </is>
      </c>
      <c r="O259" s="38" t="inlineStr">
        <is>
          <t>Retain the review outcome and act on any new exception. An unresolved live issue overrides this maintenance pathway.</t>
        </is>
      </c>
      <c r="P259" s="38" t="inlineStr">
        <is>
          <t>Maintain at the stated trigger; for a new low-priority improvement, plan within 90 days.</t>
        </is>
      </c>
      <c r="Q259" s="38" t="inlineStr">
        <is>
          <t>A current example of the practice and a proportionate recheck record. A checked trigger register and a sample of eligible payments or supported non-applicability.</t>
        </is>
      </c>
      <c r="R259" s="38" t="inlineStr">
        <is>
          <t>A checked trigger register and a sample of eligible payments or supported non-applicability.</t>
        </is>
      </c>
      <c r="S259" s="38" t="inlineStr">
        <is>
          <t>Changed duties, qualifications, work patterns or instrument rates.</t>
        </is>
      </c>
      <c r="T259" s="38" t="inlineStr">
        <is>
          <t>Payroll lead / owner</t>
        </is>
      </c>
      <c r="U259" s="38" t="inlineStr">
        <is>
          <t>No further purchase is implied by this result. Seek support only for a material change, unresolved exception or chosen improvement.</t>
        </is>
      </c>
      <c r="V259" s="38" t="inlineStr">
        <is>
          <t>PAY_ASSURANCE</t>
        </is>
      </c>
      <c r="W259" s="38" t="inlineStr">
        <is>
          <t>A_B07</t>
        </is>
      </c>
      <c r="X259" s="38" t="inlineStr">
        <is>
          <t>S06;S07;DESIGN</t>
        </is>
      </c>
      <c r="Y259" s="38" t="inlineStr">
        <is>
          <t>https://www.fairwork.gov.au/pay-and-wages/minimum-wages/annualised-salaries
https://www.fairwork.gov.au/newsroom/news/offsetting-and-record-keeping-salaried-employees</t>
        </is>
      </c>
      <c r="Z259" s="38" t="inlineStr">
        <is>
          <t>Paying familiar allowances while assuming they cover every required item.</t>
        </is>
      </c>
    </row>
    <row r="260" ht="76" customHeight="1">
      <c r="A260" s="37" t="inlineStr">
        <is>
          <t>B07_DK</t>
        </is>
      </c>
      <c r="B260" s="37" t="inlineStr">
        <is>
          <t>B07</t>
        </is>
      </c>
      <c r="C260" s="37" t="inlineStr">
        <is>
          <t>DK</t>
        </is>
      </c>
      <c r="D260" s="37" t="inlineStr">
        <is>
          <t>I need to confirm this.</t>
        </is>
      </c>
      <c r="E260" s="37" t="inlineStr">
        <is>
          <t>Verify: connect each allowance to its actual trigger</t>
        </is>
      </c>
      <c r="F260" s="37" t="inlineStr">
        <is>
          <t>This answer identifies a knowledge gap. It does not establish that the practice is missing, that harm has occurred or that a legal duty has been breached.</t>
        </is>
      </c>
      <c r="G260" s="37" t="inlineStr">
        <is>
          <t>An entitlement can be missed when a duty, qualification or work-pattern trigger is not communicated to payroll.</t>
        </is>
      </c>
      <c r="H260" s="37" t="inlineStr">
        <is>
          <t>Allowances and leave loading</t>
        </is>
      </c>
      <c r="I260" s="48" t="n">
        <v>3</v>
      </c>
      <c r="J260" s="48" t="n">
        <v>0</v>
      </c>
      <c r="K260" s="48" t="n">
        <v>3</v>
      </c>
      <c r="L260" s="37" t="inlineStr">
        <is>
          <t>The risk is not rated from an unknown answer. Verification is High priority because: An entitlement can be missed when a duty, qualification or work-pattern trigger is not communicated to payroll.</t>
        </is>
      </c>
      <c r="M260" s="37" t="inlineStr">
        <is>
          <t>Ask the payroll lead / owner to show a current example of the process and the evidence listed below. Confirm the answer before deciding what must be repaired.</t>
        </is>
      </c>
      <c r="N260" s="37" t="inlineStr">
        <is>
          <t>Compare the example with the established-practice description: We maintain relevant triggers, confirm eligibility and check payment or a lawful alternative arrangement when circumstances change.</t>
        </is>
      </c>
      <c r="O260" s="37" t="inlineStr">
        <is>
          <t>Record what was checked, by whom and when. If it remains unclear, keep the verification task open and agree any proportionate interim safeguard.</t>
        </is>
      </c>
      <c r="P260" s="37" t="inlineStr">
        <is>
          <t>Review or verify within two business days and before the next affected event if earlier. Do not wait where a duty or current harm requires earlier action.</t>
        </is>
      </c>
      <c r="Q260" s="37" t="inlineStr">
        <is>
          <t>A dated verification record, the supporting example, an updated answer and any remaining action. No automatic compliance conclusion.</t>
        </is>
      </c>
      <c r="R260" s="37" t="inlineStr">
        <is>
          <t>A checked trigger register and a sample of eligible payments or supported non-applicability.</t>
        </is>
      </c>
      <c r="S260" s="37" t="inlineStr">
        <is>
          <t>Changed duties, qualifications, work patterns or instrument rates.</t>
        </is>
      </c>
      <c r="T260" s="37" t="inlineStr">
        <is>
          <t>Payroll lead / owner</t>
        </is>
      </c>
      <c r="U260" s="37" t="inlineStr">
        <is>
          <t>Targeted payroll, award/classification or salary-arrangement review, scoped to the flagged population.</t>
        </is>
      </c>
      <c r="V260" s="37" t="inlineStr">
        <is>
          <t>PAY_ASSURANCE</t>
        </is>
      </c>
      <c r="W260" s="37" t="inlineStr">
        <is>
          <t>A_B07</t>
        </is>
      </c>
      <c r="X260" s="37" t="inlineStr">
        <is>
          <t>S06;S07;DESIGN</t>
        </is>
      </c>
      <c r="Y260" s="37" t="inlineStr">
        <is>
          <t>https://www.fairwork.gov.au/pay-and-wages/minimum-wages/annualised-salaries
https://www.fairwork.gov.au/newsroom/news/offsetting-and-record-keeping-salaried-employees</t>
        </is>
      </c>
      <c r="Z260" s="37" t="inlineStr">
        <is>
          <t>Paying familiar allowances while assuming they cover every required item.</t>
        </is>
      </c>
    </row>
    <row r="261" ht="61" customHeight="1">
      <c r="A261" s="38" t="inlineStr">
        <is>
          <t>B08_0</t>
        </is>
      </c>
      <c r="B261" s="38" t="inlineStr">
        <is>
          <t>B08</t>
        </is>
      </c>
      <c r="C261" s="49" t="n">
        <v>0</v>
      </c>
      <c r="D261" s="38" t="inlineStr">
        <is>
          <t>We deduct amounts we consider owing without checking authority.</t>
        </is>
      </c>
      <c r="E261" s="38" t="inlineStr">
        <is>
          <t>Check authority before deducting pay</t>
        </is>
      </c>
      <c r="F261" s="38" t="inlineStr">
        <is>
          <t>The selected response reports a missing or unestablished element. Confirm the affected arrangements before drawing a conclusion about any actual breach or harm.</t>
        </is>
      </c>
      <c r="G261" s="38" t="inlineStr">
        <is>
          <t>Employee agreement does not make every deduction permissible. A deduction may reduce pay without a sufficient lawful basis.</t>
        </is>
      </c>
      <c r="H261" s="38" t="inlineStr">
        <is>
          <t>Deductions and protected pay</t>
        </is>
      </c>
      <c r="I261" s="49" t="n">
        <v>3</v>
      </c>
      <c r="J261" s="49" t="n">
        <v>3</v>
      </c>
      <c r="K261" s="49" t="n">
        <v>3</v>
      </c>
      <c r="L261" s="38" t="inlineStr">
        <is>
          <t>High provisional concern: an essential element remains unresolved. Employee agreement does not make every deduction permissible. A deduction may reduce pay without a sufficient lawful basis.</t>
        </is>
      </c>
      <c r="M261" s="38" t="inlineStr">
        <is>
          <t>Review proposed deductions and recent recovery arrangements against the relevant legal basis. Seek advice where the deduction benefits the employer or is disputed.</t>
        </is>
      </c>
      <c r="N261" s="38" t="inlineStr">
        <is>
          <t>Identify the specific legal basis and required conditions before processing; obtain advice where permission is unclear.</t>
        </is>
      </c>
      <c r="O261" s="38" t="inlineStr">
        <is>
          <t>Keep the authority and calculation trail and inspect the resulting pay record.</t>
        </is>
      </c>
      <c r="P261" s="38" t="inlineStr">
        <is>
          <t>Review or verify within two business days and before the next affected event if earlier. Do not wait where a duty or current harm requires earlier action.</t>
        </is>
      </c>
      <c r="Q261" s="38" t="inlineStr">
        <is>
          <t>A deduction-specific authority and agreement record, with the calculation checked. Confirm that the change works in practice, not only that a document exists.</t>
        </is>
      </c>
      <c r="R261" s="38" t="inlineStr">
        <is>
          <t>A deduction-specific authority and agreement record, with the calculation checked.</t>
        </is>
      </c>
      <c r="S261" s="38" t="inlineStr">
        <is>
          <t>Every new or changed non-statutory deduction.</t>
        </is>
      </c>
      <c r="T261" s="38" t="inlineStr">
        <is>
          <t>Payroll lead / owner</t>
        </is>
      </c>
      <c r="U261" s="38" t="inlineStr">
        <is>
          <t>Targeted payroll, award/classification or salary-arrangement review, scoped to the flagged population.</t>
        </is>
      </c>
      <c r="V261" s="38" t="inlineStr">
        <is>
          <t>PAY_ASSURANCE</t>
        </is>
      </c>
      <c r="W261" s="38" t="inlineStr">
        <is>
          <t>A_B08</t>
        </is>
      </c>
      <c r="X261" s="38" t="inlineStr">
        <is>
          <t>S08;DESIGN</t>
        </is>
      </c>
      <c r="Y261" s="38" t="inlineStr">
        <is>
          <t>https://www.fairwork.gov.au/pay-and-wages/deductions-and-related-issues/deducting-pay</t>
        </is>
      </c>
      <c r="Z261" s="38" t="inlineStr">
        <is>
          <t>Relying on a broad contract clause or treating an overpayment as automatic authority to deduct.</t>
        </is>
      </c>
    </row>
    <row r="262" ht="61" customHeight="1">
      <c r="A262" s="37" t="inlineStr">
        <is>
          <t>B08_1</t>
        </is>
      </c>
      <c r="B262" s="37" t="inlineStr">
        <is>
          <t>B08</t>
        </is>
      </c>
      <c r="C262" s="48" t="n">
        <v>1</v>
      </c>
      <c r="D262" s="37" t="inlineStr">
        <is>
          <t>We notify the employee or rely on a general contract clause.</t>
        </is>
      </c>
      <c r="E262" s="37" t="inlineStr">
        <is>
          <t>Check authority before deducting pay</t>
        </is>
      </c>
      <c r="F262" s="37" t="inlineStr">
        <is>
          <t>The selected response relies on assumptions, informal decisions or an inconsistent process. The action is to make the relevant check reliable in routine work.</t>
        </is>
      </c>
      <c r="G262" s="37" t="inlineStr">
        <is>
          <t>Employee agreement does not make every deduction permissible. A deduction may reduce pay without a sufficient lawful basis.</t>
        </is>
      </c>
      <c r="H262" s="37" t="inlineStr">
        <is>
          <t>Deductions and protected pay</t>
        </is>
      </c>
      <c r="I262" s="48" t="n">
        <v>3</v>
      </c>
      <c r="J262" s="48" t="n">
        <v>3</v>
      </c>
      <c r="K262" s="48" t="n">
        <v>3</v>
      </c>
      <c r="L262" s="37" t="inlineStr">
        <is>
          <t>High provisional concern: an essential element remains unresolved. Employee agreement does not make every deduction permissible. A deduction may reduce pay without a sufficient lawful basis.</t>
        </is>
      </c>
      <c r="M262" s="37" t="inlineStr">
        <is>
          <t>Replace the assumption with a current check. Review proposed deductions and recent recovery arrangements against the relevant legal basis. Seek advice where the deduction benefits the employer or is disputed.</t>
        </is>
      </c>
      <c r="N262" s="37" t="inlineStr">
        <is>
          <t>Identify the specific legal basis and required conditions before processing; obtain advice where permission is unclear.</t>
        </is>
      </c>
      <c r="O262" s="37" t="inlineStr">
        <is>
          <t>Keep the authority and calculation trail and inspect the resulting pay record.</t>
        </is>
      </c>
      <c r="P262" s="37" t="inlineStr">
        <is>
          <t>Review or verify within two business days and before the next affected event if earlier. Do not wait where a duty or current harm requires earlier action.</t>
        </is>
      </c>
      <c r="Q262" s="37" t="inlineStr">
        <is>
          <t>A deduction-specific authority and agreement record, with the calculation checked. Confirm that the change works in practice, not only that a document exists.</t>
        </is>
      </c>
      <c r="R262" s="37" t="inlineStr">
        <is>
          <t>A deduction-specific authority and agreement record, with the calculation checked.</t>
        </is>
      </c>
      <c r="S262" s="37" t="inlineStr">
        <is>
          <t>Every new or changed non-statutory deduction.</t>
        </is>
      </c>
      <c r="T262" s="37" t="inlineStr">
        <is>
          <t>Payroll lead / owner</t>
        </is>
      </c>
      <c r="U262" s="37" t="inlineStr">
        <is>
          <t>Targeted payroll, award/classification or salary-arrangement review, scoped to the flagged population.</t>
        </is>
      </c>
      <c r="V262" s="37" t="inlineStr">
        <is>
          <t>PAY_ASSURANCE</t>
        </is>
      </c>
      <c r="W262" s="37" t="inlineStr">
        <is>
          <t>A_B08</t>
        </is>
      </c>
      <c r="X262" s="37" t="inlineStr">
        <is>
          <t>S08;DESIGN</t>
        </is>
      </c>
      <c r="Y262" s="37" t="inlineStr">
        <is>
          <t>https://www.fairwork.gov.au/pay-and-wages/deductions-and-related-issues/deducting-pay</t>
        </is>
      </c>
      <c r="Z262" s="37" t="inlineStr">
        <is>
          <t>Relying on a broad contract clause or treating an overpayment as automatic authority to deduct.</t>
        </is>
      </c>
    </row>
    <row r="263" ht="61" customHeight="1">
      <c r="A263" s="38" t="inlineStr">
        <is>
          <t>B08_2</t>
        </is>
      </c>
      <c r="B263" s="38" t="inlineStr">
        <is>
          <t>B08</t>
        </is>
      </c>
      <c r="C263" s="49" t="n">
        <v>2</v>
      </c>
      <c r="D263" s="38" t="inlineStr">
        <is>
          <t>We obtain agreement, but have not checked whether the particular deduction is permitted.</t>
        </is>
      </c>
      <c r="E263" s="38" t="inlineStr">
        <is>
          <t>Complete the remaining check: check authority before deducting pay</t>
        </is>
      </c>
      <c r="F263" s="38" t="inlineStr">
        <is>
          <t>The selected response identifies an incomplete element within an existing practice. Keep what works and target the unresolved part; the stronger elements do not cancel the gap.</t>
        </is>
      </c>
      <c r="G263" s="38" t="inlineStr">
        <is>
          <t>Employee agreement does not make every deduction permissible. A deduction may reduce pay without a sufficient lawful basis.</t>
        </is>
      </c>
      <c r="H263" s="38" t="inlineStr">
        <is>
          <t>Deductions and protected pay</t>
        </is>
      </c>
      <c r="I263" s="49" t="n">
        <v>3</v>
      </c>
      <c r="J263" s="49" t="n">
        <v>3</v>
      </c>
      <c r="K263" s="49" t="n">
        <v>3</v>
      </c>
      <c r="L263" s="38" t="inlineStr">
        <is>
          <t>High provisional concern: an essential element remains unresolved. Employee agreement does not make every deduction permissible. A deduction may reduce pay without a sufficient lawful basis.</t>
        </is>
      </c>
      <c r="M263" s="38" t="inlineStr">
        <is>
          <t>Focus on the unresolved arrangements or exceptions. Review proposed deductions and recent recovery arrangements against the relevant legal basis. Seek advice where the deduction benefits the employer or is disputed.</t>
        </is>
      </c>
      <c r="N263" s="38" t="inlineStr">
        <is>
          <t>Identify the specific legal basis and required conditions before processing; obtain advice where permission is unclear.</t>
        </is>
      </c>
      <c r="O263" s="38" t="inlineStr">
        <is>
          <t>Keep the authority and calculation trail and inspect the resulting pay record.</t>
        </is>
      </c>
      <c r="P263" s="38" t="inlineStr">
        <is>
          <t>Review or verify within two business days and before the next affected event if earlier. Do not wait where a duty or current harm requires earlier action.</t>
        </is>
      </c>
      <c r="Q263" s="38" t="inlineStr">
        <is>
          <t>A deduction-specific authority and agreement record, with the calculation checked. Confirm that the change works in practice, not only that a document exists.</t>
        </is>
      </c>
      <c r="R263" s="38" t="inlineStr">
        <is>
          <t>A deduction-specific authority and agreement record, with the calculation checked.</t>
        </is>
      </c>
      <c r="S263" s="38" t="inlineStr">
        <is>
          <t>Every new or changed non-statutory deduction.</t>
        </is>
      </c>
      <c r="T263" s="38" t="inlineStr">
        <is>
          <t>Payroll lead / owner</t>
        </is>
      </c>
      <c r="U263" s="38" t="inlineStr">
        <is>
          <t>Targeted payroll, award/classification or salary-arrangement review, scoped to the flagged population.</t>
        </is>
      </c>
      <c r="V263" s="38" t="inlineStr">
        <is>
          <t>PAY_ASSURANCE</t>
        </is>
      </c>
      <c r="W263" s="38" t="inlineStr">
        <is>
          <t>A_B08</t>
        </is>
      </c>
      <c r="X263" s="38" t="inlineStr">
        <is>
          <t>S08;DESIGN</t>
        </is>
      </c>
      <c r="Y263" s="38" t="inlineStr">
        <is>
          <t>https://www.fairwork.gov.au/pay-and-wages/deductions-and-related-issues/deducting-pay</t>
        </is>
      </c>
      <c r="Z263" s="38" t="inlineStr">
        <is>
          <t>Relying on a broad contract clause or treating an overpayment as automatic authority to deduct.</t>
        </is>
      </c>
    </row>
    <row r="264" ht="46" customHeight="1">
      <c r="A264" s="37" t="inlineStr">
        <is>
          <t>B08_3</t>
        </is>
      </c>
      <c r="B264" s="37" t="inlineStr">
        <is>
          <t>B08</t>
        </is>
      </c>
      <c r="C264" s="48" t="n">
        <v>3</v>
      </c>
      <c r="D264" s="37" t="inlineStr">
        <is>
          <t>We verify the lawful basis and any required agreement before deducting, and retain an appropriate record.</t>
        </is>
      </c>
      <c r="E264" s="37" t="inlineStr">
        <is>
          <t>Maintain and test: check authority before deducting pay</t>
        </is>
      </c>
      <c r="F264" s="37" t="inlineStr">
        <is>
          <t>The selected response reports an established and checked practice. The tool has not inspected the evidence and cannot certify the absence of risk.</t>
        </is>
      </c>
      <c r="G264" s="37" t="inlineStr">
        <is>
          <t>Employee agreement does not make every deduction permissible. A deduction may reduce pay without a sufficient lawful basis.</t>
        </is>
      </c>
      <c r="H264" s="37" t="inlineStr">
        <is>
          <t>Deductions and protected pay</t>
        </is>
      </c>
      <c r="I264" s="48" t="n">
        <v>3</v>
      </c>
      <c r="J264" s="48" t="n">
        <v>1</v>
      </c>
      <c r="K264" s="48" t="n">
        <v>1</v>
      </c>
      <c r="L264" s="37" t="inlineStr">
        <is>
          <t>Lower reported concern, not a finding of no risk. The assumed controls are self-reported; a current incident, contrary evidence or failed control takes precedence.</t>
        </is>
      </c>
      <c r="M264" s="37" t="inlineStr">
        <is>
          <t>Maintain the practice described. At the next relevant review, keep the authority and calculation trail and inspect the resulting pay record.</t>
        </is>
      </c>
      <c r="N264" s="37" t="inlineStr">
        <is>
          <t>Check whether changes in work, people or applicable requirements have made the original process less reliable.</t>
        </is>
      </c>
      <c r="O264" s="37" t="inlineStr">
        <is>
          <t>Retain the review outcome and act on any new exception. An unresolved live issue overrides this maintenance pathway.</t>
        </is>
      </c>
      <c r="P264" s="37" t="inlineStr">
        <is>
          <t>Maintain at the stated trigger; for a new low-priority improvement, plan within 90 days.</t>
        </is>
      </c>
      <c r="Q264" s="37" t="inlineStr">
        <is>
          <t>A current example of the practice and a proportionate recheck record. A deduction-specific authority and agreement record, with the calculation checked.</t>
        </is>
      </c>
      <c r="R264" s="37" t="inlineStr">
        <is>
          <t>A deduction-specific authority and agreement record, with the calculation checked.</t>
        </is>
      </c>
      <c r="S264" s="37" t="inlineStr">
        <is>
          <t>Every new or changed non-statutory deduction.</t>
        </is>
      </c>
      <c r="T264" s="37" t="inlineStr">
        <is>
          <t>Payroll lead / owner</t>
        </is>
      </c>
      <c r="U264" s="37" t="inlineStr">
        <is>
          <t>No further purchase is implied by this result. Seek support only for a material change, unresolved exception or chosen improvement.</t>
        </is>
      </c>
      <c r="V264" s="37" t="inlineStr">
        <is>
          <t>PAY_ASSURANCE</t>
        </is>
      </c>
      <c r="W264" s="37" t="inlineStr">
        <is>
          <t>A_B08</t>
        </is>
      </c>
      <c r="X264" s="37" t="inlineStr">
        <is>
          <t>S08;DESIGN</t>
        </is>
      </c>
      <c r="Y264" s="37" t="inlineStr">
        <is>
          <t>https://www.fairwork.gov.au/pay-and-wages/deductions-and-related-issues/deducting-pay</t>
        </is>
      </c>
      <c r="Z264" s="37" t="inlineStr">
        <is>
          <t>Relying on a broad contract clause or treating an overpayment as automatic authority to deduct.</t>
        </is>
      </c>
    </row>
    <row r="265" ht="61" customHeight="1">
      <c r="A265" s="38" t="inlineStr">
        <is>
          <t>B08_DK</t>
        </is>
      </c>
      <c r="B265" s="38" t="inlineStr">
        <is>
          <t>B08</t>
        </is>
      </c>
      <c r="C265" s="38" t="inlineStr">
        <is>
          <t>DK</t>
        </is>
      </c>
      <c r="D265" s="38" t="inlineStr">
        <is>
          <t>I need to confirm this.</t>
        </is>
      </c>
      <c r="E265" s="38" t="inlineStr">
        <is>
          <t>Verify: check authority before deducting pay</t>
        </is>
      </c>
      <c r="F265" s="38" t="inlineStr">
        <is>
          <t>This answer identifies a knowledge gap. It does not establish that the practice is missing, that harm has occurred or that a legal duty has been breached.</t>
        </is>
      </c>
      <c r="G265" s="38" t="inlineStr">
        <is>
          <t>Employee agreement does not make every deduction permissible. A deduction may reduce pay without a sufficient lawful basis.</t>
        </is>
      </c>
      <c r="H265" s="38" t="inlineStr">
        <is>
          <t>Deductions and protected pay</t>
        </is>
      </c>
      <c r="I265" s="49" t="n">
        <v>3</v>
      </c>
      <c r="J265" s="49" t="n">
        <v>0</v>
      </c>
      <c r="K265" s="49" t="n">
        <v>3</v>
      </c>
      <c r="L265" s="38" t="inlineStr">
        <is>
          <t>The risk is not rated from an unknown answer. Verification is High priority because: Employee agreement does not make every deduction permissible. A deduction may reduce pay without a sufficient lawful basis.</t>
        </is>
      </c>
      <c r="M265" s="38" t="inlineStr">
        <is>
          <t>Ask the payroll lead / owner to show a current example of the process and the evidence listed below. Confirm the answer before deciding what must be repaired.</t>
        </is>
      </c>
      <c r="N265" s="38" t="inlineStr">
        <is>
          <t>Compare the example with the established-practice description: We verify the lawful basis and any required agreement before deducting, and retain an appropriate record.</t>
        </is>
      </c>
      <c r="O265" s="38" t="inlineStr">
        <is>
          <t>Record what was checked, by whom and when. If it remains unclear, keep the verification task open and agree any proportionate interim safeguard.</t>
        </is>
      </c>
      <c r="P265" s="38" t="inlineStr">
        <is>
          <t>Review or verify within two business days and before the next affected event if earlier. Do not wait where a duty or current harm requires earlier action.</t>
        </is>
      </c>
      <c r="Q265" s="38" t="inlineStr">
        <is>
          <t>A dated verification record, the supporting example, an updated answer and any remaining action. No automatic compliance conclusion.</t>
        </is>
      </c>
      <c r="R265" s="38" t="inlineStr">
        <is>
          <t>A deduction-specific authority and agreement record, with the calculation checked.</t>
        </is>
      </c>
      <c r="S265" s="38" t="inlineStr">
        <is>
          <t>Every new or changed non-statutory deduction.</t>
        </is>
      </c>
      <c r="T265" s="38" t="inlineStr">
        <is>
          <t>Payroll lead / owner</t>
        </is>
      </c>
      <c r="U265" s="38" t="inlineStr">
        <is>
          <t>Targeted payroll, award/classification or salary-arrangement review, scoped to the flagged population.</t>
        </is>
      </c>
      <c r="V265" s="38" t="inlineStr">
        <is>
          <t>PAY_ASSURANCE</t>
        </is>
      </c>
      <c r="W265" s="38" t="inlineStr">
        <is>
          <t>A_B08</t>
        </is>
      </c>
      <c r="X265" s="38" t="inlineStr">
        <is>
          <t>S08;DESIGN</t>
        </is>
      </c>
      <c r="Y265" s="38" t="inlineStr">
        <is>
          <t>https://www.fairwork.gov.au/pay-and-wages/deductions-and-related-issues/deducting-pay</t>
        </is>
      </c>
      <c r="Z265" s="38" t="inlineStr">
        <is>
          <t>Relying on a broad contract clause or treating an overpayment as automatic authority to deduct.</t>
        </is>
      </c>
    </row>
    <row r="266" ht="61" customHeight="1">
      <c r="A266" s="37" t="inlineStr">
        <is>
          <t>B09_0</t>
        </is>
      </c>
      <c r="B266" s="37" t="inlineStr">
        <is>
          <t>B09</t>
        </is>
      </c>
      <c r="C266" s="48" t="n">
        <v>0</v>
      </c>
      <c r="D266" s="37" t="inlineStr">
        <is>
          <t>We tell employees to take leave without checking the applicable rules.</t>
        </is>
      </c>
      <c r="E266" s="37" t="inlineStr">
        <is>
          <t>Resolve shutdown arrangements before notice is due</t>
        </is>
      </c>
      <c r="F266" s="37" t="inlineStr">
        <is>
          <t>The selected response reports a missing or unestablished element. Confirm the affected arrangements before drawing a conclusion about any actual breach or harm.</t>
        </is>
      </c>
      <c r="G266" s="37" t="inlineStr">
        <is>
          <t>A shutdown arrangement can affect leave, notice and pay differently for employees with different balances or coverage.</t>
        </is>
      </c>
      <c r="H266" s="37" t="inlineStr">
        <is>
          <t>Shutdown leave and payment</t>
        </is>
      </c>
      <c r="I266" s="48" t="n">
        <v>3</v>
      </c>
      <c r="J266" s="48" t="n">
        <v>3</v>
      </c>
      <c r="K266" s="48" t="n">
        <v>3</v>
      </c>
      <c r="L266" s="37" t="inlineStr">
        <is>
          <t>High provisional concern: an essential element remains unresolved. A shutdown arrangement can affect leave, notice and pay differently for employees with different balances or coverage.</t>
        </is>
      </c>
      <c r="M266" s="37" t="inlineStr">
        <is>
          <t>Check the shutdown clause and notice deadline, then identify affected employees and any balance shortfalls requiring a lawful alternative.</t>
        </is>
      </c>
      <c r="N266" s="37" t="inlineStr">
        <is>
          <t>Check the applicable instrument and proposed direction, including lawful options for insufficient leave balances.</t>
        </is>
      </c>
      <c r="O266" s="37" t="inlineStr">
        <is>
          <t>Confirm communication, notice and each affected person's arrangement before the shutdown starts.</t>
        </is>
      </c>
      <c r="P266" s="37" t="inlineStr">
        <is>
          <t>Review or verify within two business days and before the next affected event if earlier. Do not wait where a duty or current harm requires earlier action.</t>
        </is>
      </c>
      <c r="Q266" s="37" t="inlineStr">
        <is>
          <t>A shutdown plan with the applicable authority, notice and individual arrangements. Confirm that the change works in practice, not only that a document exists.</t>
        </is>
      </c>
      <c r="R266" s="37" t="inlineStr">
        <is>
          <t>A shutdown plan with the applicable authority, notice and individual arrangements.</t>
        </is>
      </c>
      <c r="S266" s="37" t="inlineStr">
        <is>
          <t>Each planned shutdown or changed instrument provision.</t>
        </is>
      </c>
      <c r="T266" s="37" t="inlineStr">
        <is>
          <t>Payroll lead / owner</t>
        </is>
      </c>
      <c r="U266" s="37" t="inlineStr">
        <is>
          <t>Targeted payroll, award/classification or salary-arrangement review, scoped to the flagged population.</t>
        </is>
      </c>
      <c r="V266" s="37" t="inlineStr">
        <is>
          <t>LEAVE</t>
        </is>
      </c>
      <c r="W266" s="37" t="inlineStr">
        <is>
          <t>A_B09</t>
        </is>
      </c>
      <c r="X266" s="37" t="inlineStr">
        <is>
          <t>S29;DESIGN</t>
        </is>
      </c>
      <c r="Y266" s="37" t="inlineStr">
        <is>
          <t>https://www.fairwork.gov.au/leave/annual-leave/directing-an-employee-to-take-annual-leave/direction-to-take-annual-leave-during-a-shut-down</t>
        </is>
      </c>
      <c r="Z266" s="37" t="inlineStr">
        <is>
          <t>Assuming employees without sufficient leave can simply be placed on unpaid leave.</t>
        </is>
      </c>
    </row>
    <row r="267" ht="61" customHeight="1">
      <c r="A267" s="38" t="inlineStr">
        <is>
          <t>B09_1</t>
        </is>
      </c>
      <c r="B267" s="38" t="inlineStr">
        <is>
          <t>B09</t>
        </is>
      </c>
      <c r="C267" s="49" t="n">
        <v>1</v>
      </c>
      <c r="D267" s="38" t="inlineStr">
        <is>
          <t>We follow past practice and assume unpaid leave can cover any shortfall.</t>
        </is>
      </c>
      <c r="E267" s="38" t="inlineStr">
        <is>
          <t>Resolve shutdown arrangements before notice is due</t>
        </is>
      </c>
      <c r="F267" s="38" t="inlineStr">
        <is>
          <t>The selected response relies on assumptions, informal decisions or an inconsistent process. The action is to make the relevant check reliable in routine work.</t>
        </is>
      </c>
      <c r="G267" s="38" t="inlineStr">
        <is>
          <t>A shutdown arrangement can affect leave, notice and pay differently for employees with different balances or coverage.</t>
        </is>
      </c>
      <c r="H267" s="38" t="inlineStr">
        <is>
          <t>Shutdown leave and payment</t>
        </is>
      </c>
      <c r="I267" s="49" t="n">
        <v>3</v>
      </c>
      <c r="J267" s="49" t="n">
        <v>3</v>
      </c>
      <c r="K267" s="49" t="n">
        <v>3</v>
      </c>
      <c r="L267" s="38" t="inlineStr">
        <is>
          <t>High provisional concern: an essential element remains unresolved. A shutdown arrangement can affect leave, notice and pay differently for employees with different balances or coverage.</t>
        </is>
      </c>
      <c r="M267" s="38" t="inlineStr">
        <is>
          <t>Replace the assumption with a current check. Check the shutdown clause and notice deadline, then identify affected employees and any balance shortfalls requiring a lawful alternative.</t>
        </is>
      </c>
      <c r="N267" s="38" t="inlineStr">
        <is>
          <t>Check the applicable instrument and proposed direction, including lawful options for insufficient leave balances.</t>
        </is>
      </c>
      <c r="O267" s="38" t="inlineStr">
        <is>
          <t>Confirm communication, notice and each affected person's arrangement before the shutdown starts.</t>
        </is>
      </c>
      <c r="P267" s="38" t="inlineStr">
        <is>
          <t>Review or verify within two business days and before the next affected event if earlier. Do not wait where a duty or current harm requires earlier action.</t>
        </is>
      </c>
      <c r="Q267" s="38" t="inlineStr">
        <is>
          <t>A shutdown plan with the applicable authority, notice and individual arrangements. Confirm that the change works in practice, not only that a document exists.</t>
        </is>
      </c>
      <c r="R267" s="38" t="inlineStr">
        <is>
          <t>A shutdown plan with the applicable authority, notice and individual arrangements.</t>
        </is>
      </c>
      <c r="S267" s="38" t="inlineStr">
        <is>
          <t>Each planned shutdown or changed instrument provision.</t>
        </is>
      </c>
      <c r="T267" s="38" t="inlineStr">
        <is>
          <t>Payroll lead / owner</t>
        </is>
      </c>
      <c r="U267" s="38" t="inlineStr">
        <is>
          <t>Targeted payroll, award/classification or salary-arrangement review, scoped to the flagged population.</t>
        </is>
      </c>
      <c r="V267" s="38" t="inlineStr">
        <is>
          <t>LEAVE</t>
        </is>
      </c>
      <c r="W267" s="38" t="inlineStr">
        <is>
          <t>A_B09</t>
        </is>
      </c>
      <c r="X267" s="38" t="inlineStr">
        <is>
          <t>S29;DESIGN</t>
        </is>
      </c>
      <c r="Y267" s="38" t="inlineStr">
        <is>
          <t>https://www.fairwork.gov.au/leave/annual-leave/directing-an-employee-to-take-annual-leave/direction-to-take-annual-leave-during-a-shut-down</t>
        </is>
      </c>
      <c r="Z267" s="38" t="inlineStr">
        <is>
          <t>Assuming employees without sufficient leave can simply be placed on unpaid leave.</t>
        </is>
      </c>
    </row>
    <row r="268" ht="61" customHeight="1">
      <c r="A268" s="37" t="inlineStr">
        <is>
          <t>B09_2</t>
        </is>
      </c>
      <c r="B268" s="37" t="inlineStr">
        <is>
          <t>B09</t>
        </is>
      </c>
      <c r="C268" s="48" t="n">
        <v>2</v>
      </c>
      <c r="D268" s="37" t="inlineStr">
        <is>
          <t>We check some requirements, but notice or insufficient balances need review.</t>
        </is>
      </c>
      <c r="E268" s="37" t="inlineStr">
        <is>
          <t>Complete the remaining check: resolve shutdown arrangements before notice is due</t>
        </is>
      </c>
      <c r="F268" s="37" t="inlineStr">
        <is>
          <t>The selected response identifies an incomplete element within an existing practice. Keep what works and target the unresolved part; the stronger elements do not cancel the gap.</t>
        </is>
      </c>
      <c r="G268" s="37" t="inlineStr">
        <is>
          <t>A shutdown arrangement can affect leave, notice and pay differently for employees with different balances or coverage.</t>
        </is>
      </c>
      <c r="H268" s="37" t="inlineStr">
        <is>
          <t>Shutdown leave and payment</t>
        </is>
      </c>
      <c r="I268" s="48" t="n">
        <v>3</v>
      </c>
      <c r="J268" s="48" t="n">
        <v>2</v>
      </c>
      <c r="K268" s="48" t="n">
        <v>2</v>
      </c>
      <c r="L268" s="37" t="inlineStr">
        <is>
          <t>Medium provisional concern: a material practice needs improvement. A shutdown arrangement can affect leave, notice and pay differently for employees with different balances or coverage.</t>
        </is>
      </c>
      <c r="M268" s="37" t="inlineStr">
        <is>
          <t>Focus on the unresolved arrangements or exceptions. Check the shutdown clause and notice deadline, then identify affected employees and any balance shortfalls requiring a lawful alternative.</t>
        </is>
      </c>
      <c r="N268" s="37" t="inlineStr">
        <is>
          <t>Check the applicable instrument and proposed direction, including lawful options for insufficient leave balances.</t>
        </is>
      </c>
      <c r="O268" s="37" t="inlineStr">
        <is>
          <t>Confirm communication, notice and each affected person's arrangement before the shutdown starts.</t>
        </is>
      </c>
      <c r="P268" s="37" t="inlineStr">
        <is>
          <t>Agree an owner and plan within 30 days, or before the next affected event if earlier.</t>
        </is>
      </c>
      <c r="Q268" s="37" t="inlineStr">
        <is>
          <t>A shutdown plan with the applicable authority, notice and individual arrangements. Confirm that the change works in practice, not only that a document exists.</t>
        </is>
      </c>
      <c r="R268" s="37" t="inlineStr">
        <is>
          <t>A shutdown plan with the applicable authority, notice and individual arrangements.</t>
        </is>
      </c>
      <c r="S268" s="37" t="inlineStr">
        <is>
          <t>Each planned shutdown or changed instrument provision.</t>
        </is>
      </c>
      <c r="T268" s="37" t="inlineStr">
        <is>
          <t>Payroll lead / owner</t>
        </is>
      </c>
      <c r="U268" s="37" t="inlineStr">
        <is>
          <t>Targeted payroll, award/classification or salary-arrangement review, scoped to the flagged population.</t>
        </is>
      </c>
      <c r="V268" s="37" t="inlineStr">
        <is>
          <t>LEAVE</t>
        </is>
      </c>
      <c r="W268" s="37" t="inlineStr">
        <is>
          <t>A_B09</t>
        </is>
      </c>
      <c r="X268" s="37" t="inlineStr">
        <is>
          <t>S29;DESIGN</t>
        </is>
      </c>
      <c r="Y268" s="37" t="inlineStr">
        <is>
          <t>https://www.fairwork.gov.au/leave/annual-leave/directing-an-employee-to-take-annual-leave/direction-to-take-annual-leave-during-a-shut-down</t>
        </is>
      </c>
      <c r="Z268" s="37" t="inlineStr">
        <is>
          <t>Assuming employees without sufficient leave can simply be placed on unpaid leave.</t>
        </is>
      </c>
    </row>
    <row r="269" ht="61" customHeight="1">
      <c r="A269" s="38" t="inlineStr">
        <is>
          <t>B09_3</t>
        </is>
      </c>
      <c r="B269" s="38" t="inlineStr">
        <is>
          <t>B09</t>
        </is>
      </c>
      <c r="C269" s="49" t="n">
        <v>3</v>
      </c>
      <c r="D269" s="38" t="inlineStr">
        <is>
          <t>We check the applicable rules, provide required notice and agree or implement lawful arrangements for each affected employee.</t>
        </is>
      </c>
      <c r="E269" s="38" t="inlineStr">
        <is>
          <t>Maintain and test: resolve shutdown arrangements before notice is due</t>
        </is>
      </c>
      <c r="F269" s="38" t="inlineStr">
        <is>
          <t>The selected response reports an established and checked practice. The tool has not inspected the evidence and cannot certify the absence of risk.</t>
        </is>
      </c>
      <c r="G269" s="38" t="inlineStr">
        <is>
          <t>A shutdown arrangement can affect leave, notice and pay differently for employees with different balances or coverage.</t>
        </is>
      </c>
      <c r="H269" s="38" t="inlineStr">
        <is>
          <t>Shutdown leave and payment</t>
        </is>
      </c>
      <c r="I269" s="49" t="n">
        <v>3</v>
      </c>
      <c r="J269" s="49" t="n">
        <v>1</v>
      </c>
      <c r="K269" s="49" t="n">
        <v>1</v>
      </c>
      <c r="L269" s="38" t="inlineStr">
        <is>
          <t>Lower reported concern, not a finding of no risk. The assumed controls are self-reported; a current incident, contrary evidence or failed control takes precedence.</t>
        </is>
      </c>
      <c r="M269" s="38" t="inlineStr">
        <is>
          <t>Maintain the practice described. At the next relevant review, confirm communication, notice and each affected person's arrangement before the shutdown starts.</t>
        </is>
      </c>
      <c r="N269" s="38" t="inlineStr">
        <is>
          <t>Check whether changes in work, people or applicable requirements have made the original process less reliable.</t>
        </is>
      </c>
      <c r="O269" s="38" t="inlineStr">
        <is>
          <t>Retain the review outcome and act on any new exception. An unresolved live issue overrides this maintenance pathway.</t>
        </is>
      </c>
      <c r="P269" s="38" t="inlineStr">
        <is>
          <t>Maintain at the stated trigger; for a new low-priority improvement, plan within 90 days.</t>
        </is>
      </c>
      <c r="Q269" s="38" t="inlineStr">
        <is>
          <t>A current example of the practice and a proportionate recheck record. A shutdown plan with the applicable authority, notice and individual arrangements.</t>
        </is>
      </c>
      <c r="R269" s="38" t="inlineStr">
        <is>
          <t>A shutdown plan with the applicable authority, notice and individual arrangements.</t>
        </is>
      </c>
      <c r="S269" s="38" t="inlineStr">
        <is>
          <t>Each planned shutdown or changed instrument provision.</t>
        </is>
      </c>
      <c r="T269" s="38" t="inlineStr">
        <is>
          <t>Payroll lead / owner</t>
        </is>
      </c>
      <c r="U269" s="38" t="inlineStr">
        <is>
          <t>No further purchase is implied by this result. Seek support only for a material change, unresolved exception or chosen improvement.</t>
        </is>
      </c>
      <c r="V269" s="38" t="inlineStr">
        <is>
          <t>LEAVE</t>
        </is>
      </c>
      <c r="W269" s="38" t="inlineStr">
        <is>
          <t>A_B09</t>
        </is>
      </c>
      <c r="X269" s="38" t="inlineStr">
        <is>
          <t>S29;DESIGN</t>
        </is>
      </c>
      <c r="Y269" s="38" t="inlineStr">
        <is>
          <t>https://www.fairwork.gov.au/leave/annual-leave/directing-an-employee-to-take-annual-leave/direction-to-take-annual-leave-during-a-shut-down</t>
        </is>
      </c>
      <c r="Z269" s="38" t="inlineStr">
        <is>
          <t>Assuming employees without sufficient leave can simply be placed on unpaid leave.</t>
        </is>
      </c>
    </row>
    <row r="270" ht="61" customHeight="1">
      <c r="A270" s="37" t="inlineStr">
        <is>
          <t>B09_DK</t>
        </is>
      </c>
      <c r="B270" s="37" t="inlineStr">
        <is>
          <t>B09</t>
        </is>
      </c>
      <c r="C270" s="37" t="inlineStr">
        <is>
          <t>DK</t>
        </is>
      </c>
      <c r="D270" s="37" t="inlineStr">
        <is>
          <t>I need to confirm this.</t>
        </is>
      </c>
      <c r="E270" s="37" t="inlineStr">
        <is>
          <t>Verify: resolve shutdown arrangements before notice is due</t>
        </is>
      </c>
      <c r="F270" s="37" t="inlineStr">
        <is>
          <t>This answer identifies a knowledge gap. It does not establish that the practice is missing, that harm has occurred or that a legal duty has been breached.</t>
        </is>
      </c>
      <c r="G270" s="37" t="inlineStr">
        <is>
          <t>A shutdown arrangement can affect leave, notice and pay differently for employees with different balances or coverage.</t>
        </is>
      </c>
      <c r="H270" s="37" t="inlineStr">
        <is>
          <t>Shutdown leave and payment</t>
        </is>
      </c>
      <c r="I270" s="48" t="n">
        <v>3</v>
      </c>
      <c r="J270" s="48" t="n">
        <v>0</v>
      </c>
      <c r="K270" s="48" t="n">
        <v>3</v>
      </c>
      <c r="L270" s="37" t="inlineStr">
        <is>
          <t>The risk is not rated from an unknown answer. Verification is High priority because: A shutdown arrangement can affect leave, notice and pay differently for employees with different balances or coverage.</t>
        </is>
      </c>
      <c r="M270" s="37" t="inlineStr">
        <is>
          <t>Ask the payroll lead / owner to show a current example of the process and the evidence listed below. Confirm the answer before deciding what must be repaired.</t>
        </is>
      </c>
      <c r="N270" s="37" t="inlineStr">
        <is>
          <t>Compare the example with the established-practice description: We check the applicable rules, provide required notice and agree or implement lawful arrangements for each affected employee.</t>
        </is>
      </c>
      <c r="O270" s="37" t="inlineStr">
        <is>
          <t>Record what was checked, by whom and when. If it remains unclear, keep the verification task open and agree any proportionate interim safeguard.</t>
        </is>
      </c>
      <c r="P270" s="37" t="inlineStr">
        <is>
          <t>Review or verify within two business days and before the next affected event if earlier. Do not wait where a duty or current harm requires earlier action.</t>
        </is>
      </c>
      <c r="Q270" s="37" t="inlineStr">
        <is>
          <t>A dated verification record, the supporting example, an updated answer and any remaining action. No automatic compliance conclusion.</t>
        </is>
      </c>
      <c r="R270" s="37" t="inlineStr">
        <is>
          <t>A shutdown plan with the applicable authority, notice and individual arrangements.</t>
        </is>
      </c>
      <c r="S270" s="37" t="inlineStr">
        <is>
          <t>Each planned shutdown or changed instrument provision.</t>
        </is>
      </c>
      <c r="T270" s="37" t="inlineStr">
        <is>
          <t>Payroll lead / owner</t>
        </is>
      </c>
      <c r="U270" s="37" t="inlineStr">
        <is>
          <t>Targeted payroll, award/classification or salary-arrangement review, scoped to the flagged population.</t>
        </is>
      </c>
      <c r="V270" s="37" t="inlineStr">
        <is>
          <t>LEAVE</t>
        </is>
      </c>
      <c r="W270" s="37" t="inlineStr">
        <is>
          <t>A_B09</t>
        </is>
      </c>
      <c r="X270" s="37" t="inlineStr">
        <is>
          <t>S29;DESIGN</t>
        </is>
      </c>
      <c r="Y270" s="37" t="inlineStr">
        <is>
          <t>https://www.fairwork.gov.au/leave/annual-leave/directing-an-employee-to-take-annual-leave/direction-to-take-annual-leave-during-a-shut-down</t>
        </is>
      </c>
      <c r="Z270" s="37" t="inlineStr">
        <is>
          <t>Assuming employees without sufficient leave can simply be placed on unpaid leave.</t>
        </is>
      </c>
    </row>
    <row r="271" ht="46" customHeight="1">
      <c r="A271" s="38" t="inlineStr">
        <is>
          <t>B10_0</t>
        </is>
      </c>
      <c r="B271" s="38" t="inlineStr">
        <is>
          <t>B10</t>
        </is>
      </c>
      <c r="C271" s="49" t="n">
        <v>0</v>
      </c>
      <c r="D271" s="38" t="inlineStr">
        <is>
          <t>We cash out leave without checking whether it is permitted.</t>
        </is>
      </c>
      <c r="E271" s="38" t="inlineStr">
        <is>
          <t>Treat every leave cash-out as a separate decision</t>
        </is>
      </c>
      <c r="F271" s="38" t="inlineStr">
        <is>
          <t>The selected response reports a missing or unestablished element. Confirm the affected arrangements before drawing a conclusion about any actual breach or harm.</t>
        </is>
      </c>
      <c r="G271" s="38" t="inlineStr">
        <is>
          <t>An informal cash-out can miss restrictions, remaining-balance conditions or the correct payment for the employee.</t>
        </is>
      </c>
      <c r="H271" s="38" t="inlineStr">
        <is>
          <t>Leave cash-out entitlements</t>
        </is>
      </c>
      <c r="I271" s="49" t="n">
        <v>3</v>
      </c>
      <c r="J271" s="49" t="n">
        <v>3</v>
      </c>
      <c r="K271" s="49" t="n">
        <v>3</v>
      </c>
      <c r="L271" s="38" t="inlineStr">
        <is>
          <t>High provisional concern: an essential element remains unresolved. An informal cash-out can miss restrictions, remaining-balance conditions or the correct payment for the employee.</t>
        </is>
      </c>
      <c r="M271" s="38" t="inlineStr">
        <is>
          <t>Check the relevant instrument before approval, including earlier cash-outs where a rolling limit applies, and document the specific agreement.</t>
        </is>
      </c>
      <c r="N271" s="38" t="inlineStr">
        <is>
          <t>Check the particular request against the applicable conditions and prepare a separate agreement where required.</t>
        </is>
      </c>
      <c r="O271" s="38" t="inlineStr">
        <is>
          <t>Verify the payment and remaining leave balance, retaining the supporting calculation.</t>
        </is>
      </c>
      <c r="P271" s="38" t="inlineStr">
        <is>
          <t>Review or verify within two business days and before the next affected event if earlier. Do not wait where a duty or current harm requires earlier action.</t>
        </is>
      </c>
      <c r="Q271" s="38" t="inlineStr">
        <is>
          <t>An individually checked agreement, remaining balance and correct payment calculation. Confirm that the change works in practice, not only that a document exists.</t>
        </is>
      </c>
      <c r="R271" s="38" t="inlineStr">
        <is>
          <t>An individually checked agreement, remaining balance and correct payment calculation.</t>
        </is>
      </c>
      <c r="S271" s="38" t="inlineStr">
        <is>
          <t>Every cash-out request.</t>
        </is>
      </c>
      <c r="T271" s="38" t="inlineStr">
        <is>
          <t>Payroll lead / owner</t>
        </is>
      </c>
      <c r="U271" s="38" t="inlineStr">
        <is>
          <t>Targeted payroll, award/classification or salary-arrangement review, scoped to the flagged population.</t>
        </is>
      </c>
      <c r="V271" s="38" t="inlineStr">
        <is>
          <t>LEAVE</t>
        </is>
      </c>
      <c r="W271" s="38" t="inlineStr">
        <is>
          <t>A_B10</t>
        </is>
      </c>
      <c r="X271" s="38" t="inlineStr">
        <is>
          <t>S28;DESIGN</t>
        </is>
      </c>
      <c r="Y271" s="38" t="inlineStr">
        <is>
          <t>https://www.fairwork.gov.au/leave/annual-leave/cashing-out-annual-leave</t>
        </is>
      </c>
      <c r="Z271" s="38" t="inlineStr">
        <is>
          <t>Applying a rule from one award to the entire workforce.</t>
        </is>
      </c>
    </row>
    <row r="272" ht="46" customHeight="1">
      <c r="A272" s="37" t="inlineStr">
        <is>
          <t>B10_1</t>
        </is>
      </c>
      <c r="B272" s="37" t="inlineStr">
        <is>
          <t>B10</t>
        </is>
      </c>
      <c r="C272" s="48" t="n">
        <v>1</v>
      </c>
      <c r="D272" s="37" t="inlineStr">
        <is>
          <t>We agree an amount informally or apply the same rule to everyone.</t>
        </is>
      </c>
      <c r="E272" s="37" t="inlineStr">
        <is>
          <t>Treat every leave cash-out as a separate decision</t>
        </is>
      </c>
      <c r="F272" s="37" t="inlineStr">
        <is>
          <t>The selected response relies on assumptions, informal decisions or an inconsistent process. The action is to make the relevant check reliable in routine work.</t>
        </is>
      </c>
      <c r="G272" s="37" t="inlineStr">
        <is>
          <t>An informal cash-out can miss restrictions, remaining-balance conditions or the correct payment for the employee.</t>
        </is>
      </c>
      <c r="H272" s="37" t="inlineStr">
        <is>
          <t>Leave cash-out entitlements</t>
        </is>
      </c>
      <c r="I272" s="48" t="n">
        <v>3</v>
      </c>
      <c r="J272" s="48" t="n">
        <v>3</v>
      </c>
      <c r="K272" s="48" t="n">
        <v>3</v>
      </c>
      <c r="L272" s="37" t="inlineStr">
        <is>
          <t>High provisional concern: an essential element remains unresolved. An informal cash-out can miss restrictions, remaining-balance conditions or the correct payment for the employee.</t>
        </is>
      </c>
      <c r="M272" s="37" t="inlineStr">
        <is>
          <t>Replace the assumption with a current check. Check the relevant instrument before approval, including earlier cash-outs where a rolling limit applies, and document the specific agreement.</t>
        </is>
      </c>
      <c r="N272" s="37" t="inlineStr">
        <is>
          <t>Check the particular request against the applicable conditions and prepare a separate agreement where required.</t>
        </is>
      </c>
      <c r="O272" s="37" t="inlineStr">
        <is>
          <t>Verify the payment and remaining leave balance, retaining the supporting calculation.</t>
        </is>
      </c>
      <c r="P272" s="37" t="inlineStr">
        <is>
          <t>Review or verify within two business days and before the next affected event if earlier. Do not wait where a duty or current harm requires earlier action.</t>
        </is>
      </c>
      <c r="Q272" s="37" t="inlineStr">
        <is>
          <t>An individually checked agreement, remaining balance and correct payment calculation. Confirm that the change works in practice, not only that a document exists.</t>
        </is>
      </c>
      <c r="R272" s="37" t="inlineStr">
        <is>
          <t>An individually checked agreement, remaining balance and correct payment calculation.</t>
        </is>
      </c>
      <c r="S272" s="37" t="inlineStr">
        <is>
          <t>Every cash-out request.</t>
        </is>
      </c>
      <c r="T272" s="37" t="inlineStr">
        <is>
          <t>Payroll lead / owner</t>
        </is>
      </c>
      <c r="U272" s="37" t="inlineStr">
        <is>
          <t>Targeted payroll, award/classification or salary-arrangement review, scoped to the flagged population.</t>
        </is>
      </c>
      <c r="V272" s="37" t="inlineStr">
        <is>
          <t>LEAVE</t>
        </is>
      </c>
      <c r="W272" s="37" t="inlineStr">
        <is>
          <t>A_B10</t>
        </is>
      </c>
      <c r="X272" s="37" t="inlineStr">
        <is>
          <t>S28;DESIGN</t>
        </is>
      </c>
      <c r="Y272" s="37" t="inlineStr">
        <is>
          <t>https://www.fairwork.gov.au/leave/annual-leave/cashing-out-annual-leave</t>
        </is>
      </c>
      <c r="Z272" s="37" t="inlineStr">
        <is>
          <t>Applying a rule from one award to the entire workforce.</t>
        </is>
      </c>
    </row>
    <row r="273" ht="46" customHeight="1">
      <c r="A273" s="38" t="inlineStr">
        <is>
          <t>B10_2</t>
        </is>
      </c>
      <c r="B273" s="38" t="inlineStr">
        <is>
          <t>B10</t>
        </is>
      </c>
      <c r="C273" s="49" t="n">
        <v>2</v>
      </c>
      <c r="D273" s="38" t="inlineStr">
        <is>
          <t>We use written agreements, but limits, balances or payment may not be checked each time.</t>
        </is>
      </c>
      <c r="E273" s="38" t="inlineStr">
        <is>
          <t>Complete the remaining check: treat every leave cash-out as a separate decision</t>
        </is>
      </c>
      <c r="F273" s="38" t="inlineStr">
        <is>
          <t>The selected response identifies an incomplete element within an existing practice. Keep what works and target the unresolved part; the stronger elements do not cancel the gap.</t>
        </is>
      </c>
      <c r="G273" s="38" t="inlineStr">
        <is>
          <t>An informal cash-out can miss restrictions, remaining-balance conditions or the correct payment for the employee.</t>
        </is>
      </c>
      <c r="H273" s="38" t="inlineStr">
        <is>
          <t>Leave cash-out entitlements</t>
        </is>
      </c>
      <c r="I273" s="49" t="n">
        <v>3</v>
      </c>
      <c r="J273" s="49" t="n">
        <v>2</v>
      </c>
      <c r="K273" s="49" t="n">
        <v>2</v>
      </c>
      <c r="L273" s="38" t="inlineStr">
        <is>
          <t>Medium provisional concern: a material practice needs improvement. An informal cash-out can miss restrictions, remaining-balance conditions or the correct payment for the employee.</t>
        </is>
      </c>
      <c r="M273" s="38" t="inlineStr">
        <is>
          <t>Focus on the unresolved arrangements or exceptions. Check the relevant instrument before approval, including earlier cash-outs where a rolling limit applies, and document the specific agreement.</t>
        </is>
      </c>
      <c r="N273" s="38" t="inlineStr">
        <is>
          <t>Check the particular request against the applicable conditions and prepare a separate agreement where required.</t>
        </is>
      </c>
      <c r="O273" s="38" t="inlineStr">
        <is>
          <t>Verify the payment and remaining leave balance, retaining the supporting calculation.</t>
        </is>
      </c>
      <c r="P273" s="38" t="inlineStr">
        <is>
          <t>Agree an owner and plan within 30 days, or before the next affected event if earlier.</t>
        </is>
      </c>
      <c r="Q273" s="38" t="inlineStr">
        <is>
          <t>An individually checked agreement, remaining balance and correct payment calculation. Confirm that the change works in practice, not only that a document exists.</t>
        </is>
      </c>
      <c r="R273" s="38" t="inlineStr">
        <is>
          <t>An individually checked agreement, remaining balance and correct payment calculation.</t>
        </is>
      </c>
      <c r="S273" s="38" t="inlineStr">
        <is>
          <t>Every cash-out request.</t>
        </is>
      </c>
      <c r="T273" s="38" t="inlineStr">
        <is>
          <t>Payroll lead / owner</t>
        </is>
      </c>
      <c r="U273" s="38" t="inlineStr">
        <is>
          <t>Targeted payroll, award/classification or salary-arrangement review, scoped to the flagged population.</t>
        </is>
      </c>
      <c r="V273" s="38" t="inlineStr">
        <is>
          <t>LEAVE</t>
        </is>
      </c>
      <c r="W273" s="38" t="inlineStr">
        <is>
          <t>A_B10</t>
        </is>
      </c>
      <c r="X273" s="38" t="inlineStr">
        <is>
          <t>S28;DESIGN</t>
        </is>
      </c>
      <c r="Y273" s="38" t="inlineStr">
        <is>
          <t>https://www.fairwork.gov.au/leave/annual-leave/cashing-out-annual-leave</t>
        </is>
      </c>
      <c r="Z273" s="38" t="inlineStr">
        <is>
          <t>Applying a rule from one award to the entire workforce.</t>
        </is>
      </c>
    </row>
    <row r="274" ht="46" customHeight="1">
      <c r="A274" s="37" t="inlineStr">
        <is>
          <t>B10_3</t>
        </is>
      </c>
      <c r="B274" s="37" t="inlineStr">
        <is>
          <t>B10</t>
        </is>
      </c>
      <c r="C274" s="48" t="n">
        <v>3</v>
      </c>
      <c r="D274" s="37" t="inlineStr">
        <is>
          <t>We check the applicable conditions for each request and retain a separate compliant agreement and payment record.</t>
        </is>
      </c>
      <c r="E274" s="37" t="inlineStr">
        <is>
          <t>Maintain and test: treat every leave cash-out as a separate decision</t>
        </is>
      </c>
      <c r="F274" s="37" t="inlineStr">
        <is>
          <t>The selected response reports an established and checked practice. The tool has not inspected the evidence and cannot certify the absence of risk.</t>
        </is>
      </c>
      <c r="G274" s="37" t="inlineStr">
        <is>
          <t>An informal cash-out can miss restrictions, remaining-balance conditions or the correct payment for the employee.</t>
        </is>
      </c>
      <c r="H274" s="37" t="inlineStr">
        <is>
          <t>Leave cash-out entitlements</t>
        </is>
      </c>
      <c r="I274" s="48" t="n">
        <v>3</v>
      </c>
      <c r="J274" s="48" t="n">
        <v>1</v>
      </c>
      <c r="K274" s="48" t="n">
        <v>1</v>
      </c>
      <c r="L274" s="37" t="inlineStr">
        <is>
          <t>Lower reported concern, not a finding of no risk. The assumed controls are self-reported; a current incident, contrary evidence or failed control takes precedence.</t>
        </is>
      </c>
      <c r="M274" s="37" t="inlineStr">
        <is>
          <t>Maintain the practice described. At the next relevant review, verify the payment and remaining leave balance, retaining the supporting calculation.</t>
        </is>
      </c>
      <c r="N274" s="37" t="inlineStr">
        <is>
          <t>Check whether changes in work, people or applicable requirements have made the original process less reliable.</t>
        </is>
      </c>
      <c r="O274" s="37" t="inlineStr">
        <is>
          <t>Retain the review outcome and act on any new exception. An unresolved live issue overrides this maintenance pathway.</t>
        </is>
      </c>
      <c r="P274" s="37" t="inlineStr">
        <is>
          <t>Maintain at the stated trigger; for a new low-priority improvement, plan within 90 days.</t>
        </is>
      </c>
      <c r="Q274" s="37" t="inlineStr">
        <is>
          <t>A current example of the practice and a proportionate recheck record. An individually checked agreement, remaining balance and correct payment calculation.</t>
        </is>
      </c>
      <c r="R274" s="37" t="inlineStr">
        <is>
          <t>An individually checked agreement, remaining balance and correct payment calculation.</t>
        </is>
      </c>
      <c r="S274" s="37" t="inlineStr">
        <is>
          <t>Every cash-out request.</t>
        </is>
      </c>
      <c r="T274" s="37" t="inlineStr">
        <is>
          <t>Payroll lead / owner</t>
        </is>
      </c>
      <c r="U274" s="37" t="inlineStr">
        <is>
          <t>No further purchase is implied by this result. Seek support only for a material change, unresolved exception or chosen improvement.</t>
        </is>
      </c>
      <c r="V274" s="37" t="inlineStr">
        <is>
          <t>LEAVE</t>
        </is>
      </c>
      <c r="W274" s="37" t="inlineStr">
        <is>
          <t>A_B10</t>
        </is>
      </c>
      <c r="X274" s="37" t="inlineStr">
        <is>
          <t>S28;DESIGN</t>
        </is>
      </c>
      <c r="Y274" s="37" t="inlineStr">
        <is>
          <t>https://www.fairwork.gov.au/leave/annual-leave/cashing-out-annual-leave</t>
        </is>
      </c>
      <c r="Z274" s="37" t="inlineStr">
        <is>
          <t>Applying a rule from one award to the entire workforce.</t>
        </is>
      </c>
    </row>
    <row r="275" ht="61" customHeight="1">
      <c r="A275" s="38" t="inlineStr">
        <is>
          <t>B10_DK</t>
        </is>
      </c>
      <c r="B275" s="38" t="inlineStr">
        <is>
          <t>B10</t>
        </is>
      </c>
      <c r="C275" s="38" t="inlineStr">
        <is>
          <t>DK</t>
        </is>
      </c>
      <c r="D275" s="38" t="inlineStr">
        <is>
          <t>I need to confirm this.</t>
        </is>
      </c>
      <c r="E275" s="38" t="inlineStr">
        <is>
          <t>Verify: treat every leave cash-out as a separate decision</t>
        </is>
      </c>
      <c r="F275" s="38" t="inlineStr">
        <is>
          <t>This answer identifies a knowledge gap. It does not establish that the practice is missing, that harm has occurred or that a legal duty has been breached.</t>
        </is>
      </c>
      <c r="G275" s="38" t="inlineStr">
        <is>
          <t>An informal cash-out can miss restrictions, remaining-balance conditions or the correct payment for the employee.</t>
        </is>
      </c>
      <c r="H275" s="38" t="inlineStr">
        <is>
          <t>Leave cash-out entitlements</t>
        </is>
      </c>
      <c r="I275" s="49" t="n">
        <v>3</v>
      </c>
      <c r="J275" s="49" t="n">
        <v>0</v>
      </c>
      <c r="K275" s="49" t="n">
        <v>3</v>
      </c>
      <c r="L275" s="38" t="inlineStr">
        <is>
          <t>The risk is not rated from an unknown answer. Verification is High priority because: An informal cash-out can miss restrictions, remaining-balance conditions or the correct payment for the employee.</t>
        </is>
      </c>
      <c r="M275" s="38" t="inlineStr">
        <is>
          <t>Ask the payroll lead / owner to show a current example of the process and the evidence listed below. Confirm the answer before deciding what must be repaired.</t>
        </is>
      </c>
      <c r="N275" s="38" t="inlineStr">
        <is>
          <t>Compare the example with the established-practice description: We check the applicable conditions for each request and retain a separate compliant agreement and payment record.</t>
        </is>
      </c>
      <c r="O275" s="38" t="inlineStr">
        <is>
          <t>Record what was checked, by whom and when. If it remains unclear, keep the verification task open and agree any proportionate interim safeguard.</t>
        </is>
      </c>
      <c r="P275" s="38" t="inlineStr">
        <is>
          <t>Review or verify within two business days and before the next affected event if earlier. Do not wait where a duty or current harm requires earlier action.</t>
        </is>
      </c>
      <c r="Q275" s="38" t="inlineStr">
        <is>
          <t>A dated verification record, the supporting example, an updated answer and any remaining action. No automatic compliance conclusion.</t>
        </is>
      </c>
      <c r="R275" s="38" t="inlineStr">
        <is>
          <t>An individually checked agreement, remaining balance and correct payment calculation.</t>
        </is>
      </c>
      <c r="S275" s="38" t="inlineStr">
        <is>
          <t>Every cash-out request.</t>
        </is>
      </c>
      <c r="T275" s="38" t="inlineStr">
        <is>
          <t>Payroll lead / owner</t>
        </is>
      </c>
      <c r="U275" s="38" t="inlineStr">
        <is>
          <t>Targeted payroll, award/classification or salary-arrangement review, scoped to the flagged population.</t>
        </is>
      </c>
      <c r="V275" s="38" t="inlineStr">
        <is>
          <t>LEAVE</t>
        </is>
      </c>
      <c r="W275" s="38" t="inlineStr">
        <is>
          <t>A_B10</t>
        </is>
      </c>
      <c r="X275" s="38" t="inlineStr">
        <is>
          <t>S28;DESIGN</t>
        </is>
      </c>
      <c r="Y275" s="38" t="inlineStr">
        <is>
          <t>https://www.fairwork.gov.au/leave/annual-leave/cashing-out-annual-leave</t>
        </is>
      </c>
      <c r="Z275" s="38" t="inlineStr">
        <is>
          <t>Applying a rule from one award to the entire workforce.</t>
        </is>
      </c>
    </row>
    <row r="276" ht="61" customHeight="1">
      <c r="A276" s="37" t="inlineStr">
        <is>
          <t>B11_0</t>
        </is>
      </c>
      <c r="B276" s="37" t="inlineStr">
        <is>
          <t>B11</t>
        </is>
      </c>
      <c r="C276" s="48" t="n">
        <v>0</v>
      </c>
      <c r="D276" s="37" t="inlineStr">
        <is>
          <t>We have not checked whether a scheme applies.</t>
        </is>
      </c>
      <c r="E276" s="37" t="inlineStr">
        <is>
          <t>Check the applicable scheme, not a general industry label</t>
        </is>
      </c>
      <c r="F276" s="37" t="inlineStr">
        <is>
          <t>The selected response reports a missing or unestablished element. Confirm the affected arrangements before drawing a conclusion about any actual breach or harm.</t>
        </is>
      </c>
      <c r="G276" s="37" t="inlineStr">
        <is>
          <t>An unsupported coverage assumption can leave registration, returns or contributions unresolved.</t>
        </is>
      </c>
      <c r="H276" s="37" t="inlineStr">
        <is>
          <t>Portable leave and scheme obligations</t>
        </is>
      </c>
      <c r="I276" s="48" t="n">
        <v>3</v>
      </c>
      <c r="J276" s="48" t="n">
        <v>3</v>
      </c>
      <c r="K276" s="48" t="n">
        <v>3</v>
      </c>
      <c r="L276" s="37" t="inlineStr">
        <is>
          <t>High provisional concern: an essential element remains unresolved. An unsupported coverage assumption can leave registration, returns or contributions unresolved.</t>
        </is>
      </c>
      <c r="M276" s="37" t="inlineStr">
        <is>
          <t>Check each work location and covered activity with the relevant scheme authority. Record the coverage decision and any registration or reporting actions.</t>
        </is>
      </c>
      <c r="N276" s="37" t="inlineStr">
        <is>
          <t>Obtain a supported industry and jurisdiction coverage decision and identify applicable scheme tasks.</t>
        </is>
      </c>
      <c r="O276" s="37" t="inlineStr">
        <is>
          <t>Reconcile required registrations, returns and contributions with workforce data, while maintaining ordinary leave obligations where applicable.</t>
        </is>
      </c>
      <c r="P276" s="37" t="inlineStr">
        <is>
          <t>Review or verify within two business days and before the next affected event if earlier. Do not wait where a duty or current harm requires earlier action.</t>
        </is>
      </c>
      <c r="Q276" s="37" t="inlineStr">
        <is>
          <t>A jurisdiction-specific coverage record and evidence of required registration, returns and contributions. Confirm that the change works in practice, not only that a document exists.</t>
        </is>
      </c>
      <c r="R276" s="37" t="inlineStr">
        <is>
          <t>A jurisdiction-specific coverage record and evidence of required registration, returns and contributions.</t>
        </is>
      </c>
      <c r="S276" s="37" t="inlineStr">
        <is>
          <t>Changed activities, locations, scheme rules or covered workers.</t>
        </is>
      </c>
      <c r="T276" s="37" t="inlineStr">
        <is>
          <t>Payroll lead / owner</t>
        </is>
      </c>
      <c r="U276" s="37" t="inlineStr">
        <is>
          <t>Targeted payroll, award/classification or salary-arrangement review, scoped to the flagged population.</t>
        </is>
      </c>
      <c r="V276" s="37" t="inlineStr">
        <is>
          <t>LEAVE</t>
        </is>
      </c>
      <c r="W276" s="37" t="inlineStr">
        <is>
          <t>A_B11</t>
        </is>
      </c>
      <c r="X276" s="37" t="inlineStr">
        <is>
          <t>S31;DESIGN</t>
        </is>
      </c>
      <c r="Y276" s="37" t="inlineStr">
        <is>
          <t>https://www.nsw.gov.au/employment/rights-responsibilities/portable-long-service/csi-long-service-leave-scheme/employer-obligations</t>
        </is>
      </c>
      <c r="Z276" s="37" t="inlineStr">
        <is>
          <t>Assuming a portable scheme replaces every ordinary long-service-leave obligation.</t>
        </is>
      </c>
    </row>
    <row r="277" ht="61" customHeight="1">
      <c r="A277" s="38" t="inlineStr">
        <is>
          <t>B11_1</t>
        </is>
      </c>
      <c r="B277" s="38" t="inlineStr">
        <is>
          <t>B11</t>
        </is>
      </c>
      <c r="C277" s="49" t="n">
        <v>1</v>
      </c>
      <c r="D277" s="38" t="inlineStr">
        <is>
          <t>We rely on assumptions about our industry or business size.</t>
        </is>
      </c>
      <c r="E277" s="38" t="inlineStr">
        <is>
          <t>Check the applicable scheme, not a general industry label</t>
        </is>
      </c>
      <c r="F277" s="38" t="inlineStr">
        <is>
          <t>The selected response relies on assumptions, informal decisions or an inconsistent process. The action is to make the relevant check reliable in routine work.</t>
        </is>
      </c>
      <c r="G277" s="38" t="inlineStr">
        <is>
          <t>An unsupported coverage assumption can leave registration, returns or contributions unresolved.</t>
        </is>
      </c>
      <c r="H277" s="38" t="inlineStr">
        <is>
          <t>Portable leave and scheme obligations</t>
        </is>
      </c>
      <c r="I277" s="49" t="n">
        <v>3</v>
      </c>
      <c r="J277" s="49" t="n">
        <v>3</v>
      </c>
      <c r="K277" s="49" t="n">
        <v>3</v>
      </c>
      <c r="L277" s="38" t="inlineStr">
        <is>
          <t>High provisional concern: an essential element remains unresolved. An unsupported coverage assumption can leave registration, returns or contributions unresolved.</t>
        </is>
      </c>
      <c r="M277" s="38" t="inlineStr">
        <is>
          <t>Replace the assumption with a current check. Check each work location and covered activity with the relevant scheme authority. Record the coverage decision and any registration or reporting actions.</t>
        </is>
      </c>
      <c r="N277" s="38" t="inlineStr">
        <is>
          <t>Obtain a supported industry and jurisdiction coverage decision and identify applicable scheme tasks.</t>
        </is>
      </c>
      <c r="O277" s="38" t="inlineStr">
        <is>
          <t>Reconcile required registrations, returns and contributions with workforce data, while maintaining ordinary leave obligations where applicable.</t>
        </is>
      </c>
      <c r="P277" s="38" t="inlineStr">
        <is>
          <t>Review or verify within two business days and before the next affected event if earlier. Do not wait where a duty or current harm requires earlier action.</t>
        </is>
      </c>
      <c r="Q277" s="38" t="inlineStr">
        <is>
          <t>A jurisdiction-specific coverage record and evidence of required registration, returns and contributions. Confirm that the change works in practice, not only that a document exists.</t>
        </is>
      </c>
      <c r="R277" s="38" t="inlineStr">
        <is>
          <t>A jurisdiction-specific coverage record and evidence of required registration, returns and contributions.</t>
        </is>
      </c>
      <c r="S277" s="38" t="inlineStr">
        <is>
          <t>Changed activities, locations, scheme rules or covered workers.</t>
        </is>
      </c>
      <c r="T277" s="38" t="inlineStr">
        <is>
          <t>Payroll lead / owner</t>
        </is>
      </c>
      <c r="U277" s="38" t="inlineStr">
        <is>
          <t>Targeted payroll, award/classification or salary-arrangement review, scoped to the flagged population.</t>
        </is>
      </c>
      <c r="V277" s="38" t="inlineStr">
        <is>
          <t>LEAVE</t>
        </is>
      </c>
      <c r="W277" s="38" t="inlineStr">
        <is>
          <t>A_B11</t>
        </is>
      </c>
      <c r="X277" s="38" t="inlineStr">
        <is>
          <t>S31;DESIGN</t>
        </is>
      </c>
      <c r="Y277" s="38" t="inlineStr">
        <is>
          <t>https://www.nsw.gov.au/employment/rights-responsibilities/portable-long-service/csi-long-service-leave-scheme/employer-obligations</t>
        </is>
      </c>
      <c r="Z277" s="38" t="inlineStr">
        <is>
          <t>Assuming a portable scheme replaces every ordinary long-service-leave obligation.</t>
        </is>
      </c>
    </row>
    <row r="278" ht="61" customHeight="1">
      <c r="A278" s="37" t="inlineStr">
        <is>
          <t>B11_2</t>
        </is>
      </c>
      <c r="B278" s="37" t="inlineStr">
        <is>
          <t>B11</t>
        </is>
      </c>
      <c r="C278" s="48" t="n">
        <v>2</v>
      </c>
      <c r="D278" s="37" t="inlineStr">
        <is>
          <t>We have checked coverage, but registration, returns or the interaction with ordinary leave needs review.</t>
        </is>
      </c>
      <c r="E278" s="37" t="inlineStr">
        <is>
          <t>Complete the remaining check: check the applicable scheme, not a general industry label</t>
        </is>
      </c>
      <c r="F278" s="37" t="inlineStr">
        <is>
          <t>The selected response identifies an incomplete element within an existing practice. Keep what works and target the unresolved part; the stronger elements do not cancel the gap.</t>
        </is>
      </c>
      <c r="G278" s="37" t="inlineStr">
        <is>
          <t>An unsupported coverage assumption can leave registration, returns or contributions unresolved.</t>
        </is>
      </c>
      <c r="H278" s="37" t="inlineStr">
        <is>
          <t>Portable leave and scheme obligations</t>
        </is>
      </c>
      <c r="I278" s="48" t="n">
        <v>3</v>
      </c>
      <c r="J278" s="48" t="n">
        <v>2</v>
      </c>
      <c r="K278" s="48" t="n">
        <v>2</v>
      </c>
      <c r="L278" s="37" t="inlineStr">
        <is>
          <t>Medium provisional concern: a material practice needs improvement. An unsupported coverage assumption can leave registration, returns or contributions unresolved.</t>
        </is>
      </c>
      <c r="M278" s="37" t="inlineStr">
        <is>
          <t>Focus on the unresolved arrangements or exceptions. Check each work location and covered activity with the relevant scheme authority. Record the coverage decision and any registration or reporting actions.</t>
        </is>
      </c>
      <c r="N278" s="37" t="inlineStr">
        <is>
          <t>Obtain a supported industry and jurisdiction coverage decision and identify applicable scheme tasks.</t>
        </is>
      </c>
      <c r="O278" s="37" t="inlineStr">
        <is>
          <t>Reconcile required registrations, returns and contributions with workforce data, while maintaining ordinary leave obligations where applicable.</t>
        </is>
      </c>
      <c r="P278" s="37" t="inlineStr">
        <is>
          <t>Agree an owner and plan within 30 days, or before the next affected event if earlier.</t>
        </is>
      </c>
      <c r="Q278" s="37" t="inlineStr">
        <is>
          <t>A jurisdiction-specific coverage record and evidence of required registration, returns and contributions. Confirm that the change works in practice, not only that a document exists.</t>
        </is>
      </c>
      <c r="R278" s="37" t="inlineStr">
        <is>
          <t>A jurisdiction-specific coverage record and evidence of required registration, returns and contributions.</t>
        </is>
      </c>
      <c r="S278" s="37" t="inlineStr">
        <is>
          <t>Changed activities, locations, scheme rules or covered workers.</t>
        </is>
      </c>
      <c r="T278" s="37" t="inlineStr">
        <is>
          <t>Payroll lead / owner</t>
        </is>
      </c>
      <c r="U278" s="37" t="inlineStr">
        <is>
          <t>Targeted payroll, award/classification or salary-arrangement review, scoped to the flagged population.</t>
        </is>
      </c>
      <c r="V278" s="37" t="inlineStr">
        <is>
          <t>LEAVE</t>
        </is>
      </c>
      <c r="W278" s="37" t="inlineStr">
        <is>
          <t>A_B11</t>
        </is>
      </c>
      <c r="X278" s="37" t="inlineStr">
        <is>
          <t>S31;DESIGN</t>
        </is>
      </c>
      <c r="Y278" s="37" t="inlineStr">
        <is>
          <t>https://www.nsw.gov.au/employment/rights-responsibilities/portable-long-service/csi-long-service-leave-scheme/employer-obligations</t>
        </is>
      </c>
      <c r="Z278" s="37" t="inlineStr">
        <is>
          <t>Assuming a portable scheme replaces every ordinary long-service-leave obligation.</t>
        </is>
      </c>
    </row>
    <row r="279" ht="61" customHeight="1">
      <c r="A279" s="38" t="inlineStr">
        <is>
          <t>B11_3</t>
        </is>
      </c>
      <c r="B279" s="38" t="inlineStr">
        <is>
          <t>B11</t>
        </is>
      </c>
      <c r="C279" s="49" t="n">
        <v>3</v>
      </c>
      <c r="D279" s="38" t="inlineStr">
        <is>
          <t>We have a supported coverage decision and keep applicable registrations, returns, contributions and ordinary leave records current.</t>
        </is>
      </c>
      <c r="E279" s="38" t="inlineStr">
        <is>
          <t>Maintain and test: check the applicable scheme, not a general industry label</t>
        </is>
      </c>
      <c r="F279" s="38" t="inlineStr">
        <is>
          <t>The selected response reports an established and checked practice. The tool has not inspected the evidence and cannot certify the absence of risk.</t>
        </is>
      </c>
      <c r="G279" s="38" t="inlineStr">
        <is>
          <t>An unsupported coverage assumption can leave registration, returns or contributions unresolved.</t>
        </is>
      </c>
      <c r="H279" s="38" t="inlineStr">
        <is>
          <t>Portable leave and scheme obligations</t>
        </is>
      </c>
      <c r="I279" s="49" t="n">
        <v>3</v>
      </c>
      <c r="J279" s="49" t="n">
        <v>1</v>
      </c>
      <c r="K279" s="49" t="n">
        <v>1</v>
      </c>
      <c r="L279" s="38" t="inlineStr">
        <is>
          <t>Lower reported concern, not a finding of no risk. The assumed controls are self-reported; a current incident, contrary evidence or failed control takes precedence.</t>
        </is>
      </c>
      <c r="M279" s="38" t="inlineStr">
        <is>
          <t>Maintain the practice described. At the next relevant review, reconcile required registrations, returns and contributions with workforce data, while maintaining ordinary leave obligations where applicable.</t>
        </is>
      </c>
      <c r="N279" s="38" t="inlineStr">
        <is>
          <t>Check whether changes in work, people or applicable requirements have made the original process less reliable.</t>
        </is>
      </c>
      <c r="O279" s="38" t="inlineStr">
        <is>
          <t>Retain the review outcome and act on any new exception. An unresolved live issue overrides this maintenance pathway.</t>
        </is>
      </c>
      <c r="P279" s="38" t="inlineStr">
        <is>
          <t>Maintain at the stated trigger; for a new low-priority improvement, plan within 90 days.</t>
        </is>
      </c>
      <c r="Q279" s="38" t="inlineStr">
        <is>
          <t>A current example of the practice and a proportionate recheck record. A jurisdiction-specific coverage record and evidence of required registration, returns and contributions.</t>
        </is>
      </c>
      <c r="R279" s="38" t="inlineStr">
        <is>
          <t>A jurisdiction-specific coverage record and evidence of required registration, returns and contributions.</t>
        </is>
      </c>
      <c r="S279" s="38" t="inlineStr">
        <is>
          <t>Changed activities, locations, scheme rules or covered workers.</t>
        </is>
      </c>
      <c r="T279" s="38" t="inlineStr">
        <is>
          <t>Payroll lead / owner</t>
        </is>
      </c>
      <c r="U279" s="38" t="inlineStr">
        <is>
          <t>No further purchase is implied by this result. Seek support only for a material change, unresolved exception or chosen improvement.</t>
        </is>
      </c>
      <c r="V279" s="38" t="inlineStr">
        <is>
          <t>LEAVE</t>
        </is>
      </c>
      <c r="W279" s="38" t="inlineStr">
        <is>
          <t>A_B11</t>
        </is>
      </c>
      <c r="X279" s="38" t="inlineStr">
        <is>
          <t>S31;DESIGN</t>
        </is>
      </c>
      <c r="Y279" s="38" t="inlineStr">
        <is>
          <t>https://www.nsw.gov.au/employment/rights-responsibilities/portable-long-service/csi-long-service-leave-scheme/employer-obligations</t>
        </is>
      </c>
      <c r="Z279" s="38" t="inlineStr">
        <is>
          <t>Assuming a portable scheme replaces every ordinary long-service-leave obligation.</t>
        </is>
      </c>
    </row>
    <row r="280" ht="61" customHeight="1">
      <c r="A280" s="37" t="inlineStr">
        <is>
          <t>B11_DK</t>
        </is>
      </c>
      <c r="B280" s="37" t="inlineStr">
        <is>
          <t>B11</t>
        </is>
      </c>
      <c r="C280" s="37" t="inlineStr">
        <is>
          <t>DK</t>
        </is>
      </c>
      <c r="D280" s="37" t="inlineStr">
        <is>
          <t>I need to confirm this.</t>
        </is>
      </c>
      <c r="E280" s="37" t="inlineStr">
        <is>
          <t>Verify: check the applicable scheme, not a general industry label</t>
        </is>
      </c>
      <c r="F280" s="37" t="inlineStr">
        <is>
          <t>This answer identifies a knowledge gap. It does not establish that the practice is missing, that harm has occurred or that a legal duty has been breached.</t>
        </is>
      </c>
      <c r="G280" s="37" t="inlineStr">
        <is>
          <t>An unsupported coverage assumption can leave registration, returns or contributions unresolved.</t>
        </is>
      </c>
      <c r="H280" s="37" t="inlineStr">
        <is>
          <t>Portable leave and scheme obligations</t>
        </is>
      </c>
      <c r="I280" s="48" t="n">
        <v>3</v>
      </c>
      <c r="J280" s="48" t="n">
        <v>0</v>
      </c>
      <c r="K280" s="48" t="n">
        <v>3</v>
      </c>
      <c r="L280" s="37" t="inlineStr">
        <is>
          <t>The risk is not rated from an unknown answer. Verification is High priority because: An unsupported coverage assumption can leave registration, returns or contributions unresolved.</t>
        </is>
      </c>
      <c r="M280" s="37" t="inlineStr">
        <is>
          <t>Ask the payroll lead / owner to show a current example of the process and the evidence listed below. Confirm the answer before deciding what must be repaired.</t>
        </is>
      </c>
      <c r="N280" s="37" t="inlineStr">
        <is>
          <t>Compare the example with the established-practice description: We have a supported coverage decision and keep applicable registrations, returns, contributions and ordinary leave records current.</t>
        </is>
      </c>
      <c r="O280" s="37" t="inlineStr">
        <is>
          <t>Record what was checked, by whom and when. If it remains unclear, keep the verification task open and agree any proportionate interim safeguard.</t>
        </is>
      </c>
      <c r="P280" s="37" t="inlineStr">
        <is>
          <t>Review or verify within two business days and before the next affected event if earlier. Do not wait where a duty or current harm requires earlier action.</t>
        </is>
      </c>
      <c r="Q280" s="37" t="inlineStr">
        <is>
          <t>A dated verification record, the supporting example, an updated answer and any remaining action. No automatic compliance conclusion.</t>
        </is>
      </c>
      <c r="R280" s="37" t="inlineStr">
        <is>
          <t>A jurisdiction-specific coverage record and evidence of required registration, returns and contributions.</t>
        </is>
      </c>
      <c r="S280" s="37" t="inlineStr">
        <is>
          <t>Changed activities, locations, scheme rules or covered workers.</t>
        </is>
      </c>
      <c r="T280" s="37" t="inlineStr">
        <is>
          <t>Payroll lead / owner</t>
        </is>
      </c>
      <c r="U280" s="37" t="inlineStr">
        <is>
          <t>Targeted payroll, award/classification or salary-arrangement review, scoped to the flagged population.</t>
        </is>
      </c>
      <c r="V280" s="37" t="inlineStr">
        <is>
          <t>LEAVE</t>
        </is>
      </c>
      <c r="W280" s="37" t="inlineStr">
        <is>
          <t>A_B11</t>
        </is>
      </c>
      <c r="X280" s="37" t="inlineStr">
        <is>
          <t>S31;DESIGN</t>
        </is>
      </c>
      <c r="Y280" s="37" t="inlineStr">
        <is>
          <t>https://www.nsw.gov.au/employment/rights-responsibilities/portable-long-service/csi-long-service-leave-scheme/employer-obligations</t>
        </is>
      </c>
      <c r="Z280" s="37" t="inlineStr">
        <is>
          <t>Assuming a portable scheme replaces every ordinary long-service-leave obligation.</t>
        </is>
      </c>
    </row>
    <row r="281" ht="46" customHeight="1">
      <c r="A281" s="38" t="inlineStr">
        <is>
          <t>B12_0</t>
        </is>
      </c>
      <c r="B281" s="38" t="inlineStr">
        <is>
          <t>B12</t>
        </is>
      </c>
      <c r="C281" s="49" t="n">
        <v>0</v>
      </c>
      <c r="D281" s="38" t="inlineStr">
        <is>
          <t>We use flexibility arrangements without checking the IFA rules.</t>
        </is>
      </c>
      <c r="E281" s="38" t="inlineStr">
        <is>
          <t>Confirm the flexibility arrangement is the right legal mechanism</t>
        </is>
      </c>
      <c r="F281" s="38" t="inlineStr">
        <is>
          <t>The selected response reports a missing or unestablished element. Confirm the affected arrangements before drawing a conclusion about any actual breach or harm.</t>
        </is>
      </c>
      <c r="G281" s="38" t="inlineStr">
        <is>
          <t>Consent alone may not satisfy an IFA's permitted scope, documentation and better-off-overall requirements.</t>
        </is>
      </c>
      <c r="H281" s="38" t="inlineStr">
        <is>
          <t>Individual flexibility arrangements</t>
        </is>
      </c>
      <c r="I281" s="49" t="n">
        <v>3</v>
      </c>
      <c r="J281" s="49" t="n">
        <v>3</v>
      </c>
      <c r="K281" s="49" t="n">
        <v>3</v>
      </c>
      <c r="L281" s="38" t="inlineStr">
        <is>
          <t>High provisional concern: an essential element remains unresolved. Consent alone may not satisfy an IFA's permitted scope, documentation and better-off-overall requirements.</t>
        </is>
      </c>
      <c r="M281" s="38" t="inlineStr">
        <is>
          <t>Identify what each IFA varies and review its basis and effect against the relevant instrument. Keep the employee's genuine agreement and comparison on file.</t>
        </is>
      </c>
      <c r="N281" s="38" t="inlineStr">
        <is>
          <t>Check the specific terms being varied and the employee's position under the applicable instrument.</t>
        </is>
      </c>
      <c r="O281" s="38" t="inlineStr">
        <is>
          <t>Retain the supported comparison and required agreement, and review when relevant circumstances change.</t>
        </is>
      </c>
      <c r="P281" s="38" t="inlineStr">
        <is>
          <t>Review or verify within two business days and before the next affected event if earlier. Do not wait where a duty or current harm requires earlier action.</t>
        </is>
      </c>
      <c r="Q281" s="38" t="inlineStr">
        <is>
          <t>A reviewed IFA, comparison and record of agreement, with a review trigger. Confirm that the change works in practice, not only that a document exists.</t>
        </is>
      </c>
      <c r="R281" s="38" t="inlineStr">
        <is>
          <t>A reviewed IFA, comparison and record of agreement, with a review trigger.</t>
        </is>
      </c>
      <c r="S281" s="38" t="inlineStr">
        <is>
          <t>New IFAs or changed pay, hours, circumstances or instrument terms.</t>
        </is>
      </c>
      <c r="T281" s="38" t="inlineStr">
        <is>
          <t>Owner / HR lead</t>
        </is>
      </c>
      <c r="U281" s="38" t="inlineStr">
        <is>
          <t>Employment terms and engagement review, with legal referral for issues outside the agreed HR advisory scope.</t>
        </is>
      </c>
      <c r="V281" s="38" t="inlineStr">
        <is>
          <t>TERMS</t>
        </is>
      </c>
      <c r="W281" s="38" t="inlineStr">
        <is>
          <t>A_B12</t>
        </is>
      </c>
      <c r="X281" s="38" t="inlineStr">
        <is>
          <t>S30;DESIGN</t>
        </is>
      </c>
      <c r="Y281" s="38" t="inlineStr">
        <is>
          <t>https://www.fairwork.gov.au/employment-conditions/flexibility-in-the-workplace/individual-flexibility-arrangements</t>
        </is>
      </c>
      <c r="Z281" s="38" t="inlineStr">
        <is>
          <t>Calling any flexible roster or work-from-home agreement an IFA.</t>
        </is>
      </c>
    </row>
    <row r="282" ht="46" customHeight="1">
      <c r="A282" s="37" t="inlineStr">
        <is>
          <t>B12_1</t>
        </is>
      </c>
      <c r="B282" s="37" t="inlineStr">
        <is>
          <t>B12</t>
        </is>
      </c>
      <c r="C282" s="48" t="n">
        <v>1</v>
      </c>
      <c r="D282" s="37" t="inlineStr">
        <is>
          <t>We rely on employee consent or a template without checking permitted terms.</t>
        </is>
      </c>
      <c r="E282" s="37" t="inlineStr">
        <is>
          <t>Confirm the flexibility arrangement is the right legal mechanism</t>
        </is>
      </c>
      <c r="F282" s="37" t="inlineStr">
        <is>
          <t>The selected response relies on assumptions, informal decisions or an inconsistent process. The action is to make the relevant check reliable in routine work.</t>
        </is>
      </c>
      <c r="G282" s="37" t="inlineStr">
        <is>
          <t>Consent alone may not satisfy an IFA's permitted scope, documentation and better-off-overall requirements.</t>
        </is>
      </c>
      <c r="H282" s="37" t="inlineStr">
        <is>
          <t>Individual flexibility arrangements</t>
        </is>
      </c>
      <c r="I282" s="48" t="n">
        <v>3</v>
      </c>
      <c r="J282" s="48" t="n">
        <v>3</v>
      </c>
      <c r="K282" s="48" t="n">
        <v>3</v>
      </c>
      <c r="L282" s="37" t="inlineStr">
        <is>
          <t>High provisional concern: an essential element remains unresolved. Consent alone may not satisfy an IFA's permitted scope, documentation and better-off-overall requirements.</t>
        </is>
      </c>
      <c r="M282" s="37" t="inlineStr">
        <is>
          <t>Replace the assumption with a current check. Identify what each IFA varies and review its basis and effect against the relevant instrument. Keep the employee's genuine agreement and comparison on file.</t>
        </is>
      </c>
      <c r="N282" s="37" t="inlineStr">
        <is>
          <t>Check the specific terms being varied and the employee's position under the applicable instrument.</t>
        </is>
      </c>
      <c r="O282" s="37" t="inlineStr">
        <is>
          <t>Retain the supported comparison and required agreement, and review when relevant circumstances change.</t>
        </is>
      </c>
      <c r="P282" s="37" t="inlineStr">
        <is>
          <t>Review or verify within two business days and before the next affected event if earlier. Do not wait where a duty or current harm requires earlier action.</t>
        </is>
      </c>
      <c r="Q282" s="37" t="inlineStr">
        <is>
          <t>A reviewed IFA, comparison and record of agreement, with a review trigger. Confirm that the change works in practice, not only that a document exists.</t>
        </is>
      </c>
      <c r="R282" s="37" t="inlineStr">
        <is>
          <t>A reviewed IFA, comparison and record of agreement, with a review trigger.</t>
        </is>
      </c>
      <c r="S282" s="37" t="inlineStr">
        <is>
          <t>New IFAs or changed pay, hours, circumstances or instrument terms.</t>
        </is>
      </c>
      <c r="T282" s="37" t="inlineStr">
        <is>
          <t>Owner / HR lead</t>
        </is>
      </c>
      <c r="U282" s="37" t="inlineStr">
        <is>
          <t>Employment terms and engagement review, with legal referral for issues outside the agreed HR advisory scope.</t>
        </is>
      </c>
      <c r="V282" s="37" t="inlineStr">
        <is>
          <t>TERMS</t>
        </is>
      </c>
      <c r="W282" s="37" t="inlineStr">
        <is>
          <t>A_B12</t>
        </is>
      </c>
      <c r="X282" s="37" t="inlineStr">
        <is>
          <t>S30;DESIGN</t>
        </is>
      </c>
      <c r="Y282" s="37" t="inlineStr">
        <is>
          <t>https://www.fairwork.gov.au/employment-conditions/flexibility-in-the-workplace/individual-flexibility-arrangements</t>
        </is>
      </c>
      <c r="Z282" s="37" t="inlineStr">
        <is>
          <t>Calling any flexible roster or work-from-home agreement an IFA.</t>
        </is>
      </c>
    </row>
    <row r="283" ht="46" customHeight="1">
      <c r="A283" s="38" t="inlineStr">
        <is>
          <t>B12_2</t>
        </is>
      </c>
      <c r="B283" s="38" t="inlineStr">
        <is>
          <t>B12</t>
        </is>
      </c>
      <c r="C283" s="49" t="n">
        <v>2</v>
      </c>
      <c r="D283" s="38" t="inlineStr">
        <is>
          <t>We have written IFAs, but the better off overall assessment or ongoing review is incomplete.</t>
        </is>
      </c>
      <c r="E283" s="38" t="inlineStr">
        <is>
          <t>Complete the remaining check: confirm the flexibility arrangement is the right legal mechanism</t>
        </is>
      </c>
      <c r="F283" s="38" t="inlineStr">
        <is>
          <t>The selected response identifies an incomplete element within an existing practice. Keep what works and target the unresolved part; the stronger elements do not cancel the gap.</t>
        </is>
      </c>
      <c r="G283" s="38" t="inlineStr">
        <is>
          <t>Consent alone may not satisfy an IFA's permitted scope, documentation and better-off-overall requirements.</t>
        </is>
      </c>
      <c r="H283" s="38" t="inlineStr">
        <is>
          <t>Individual flexibility arrangements</t>
        </is>
      </c>
      <c r="I283" s="49" t="n">
        <v>3</v>
      </c>
      <c r="J283" s="49" t="n">
        <v>3</v>
      </c>
      <c r="K283" s="49" t="n">
        <v>3</v>
      </c>
      <c r="L283" s="38" t="inlineStr">
        <is>
          <t>High provisional concern: an essential element remains unresolved. Consent alone may not satisfy an IFA's permitted scope, documentation and better-off-overall requirements.</t>
        </is>
      </c>
      <c r="M283" s="38" t="inlineStr">
        <is>
          <t>Focus on the unresolved arrangements or exceptions. Identify what each IFA varies and review its basis and effect against the relevant instrument. Keep the employee's genuine agreement and comparison on file.</t>
        </is>
      </c>
      <c r="N283" s="38" t="inlineStr">
        <is>
          <t>Check the specific terms being varied and the employee's position under the applicable instrument.</t>
        </is>
      </c>
      <c r="O283" s="38" t="inlineStr">
        <is>
          <t>Retain the supported comparison and required agreement, and review when relevant circumstances change.</t>
        </is>
      </c>
      <c r="P283" s="38" t="inlineStr">
        <is>
          <t>Review or verify within two business days and before the next affected event if earlier. Do not wait where a duty or current harm requires earlier action.</t>
        </is>
      </c>
      <c r="Q283" s="38" t="inlineStr">
        <is>
          <t>A reviewed IFA, comparison and record of agreement, with a review trigger. Confirm that the change works in practice, not only that a document exists.</t>
        </is>
      </c>
      <c r="R283" s="38" t="inlineStr">
        <is>
          <t>A reviewed IFA, comparison and record of agreement, with a review trigger.</t>
        </is>
      </c>
      <c r="S283" s="38" t="inlineStr">
        <is>
          <t>New IFAs or changed pay, hours, circumstances or instrument terms.</t>
        </is>
      </c>
      <c r="T283" s="38" t="inlineStr">
        <is>
          <t>Owner / HR lead</t>
        </is>
      </c>
      <c r="U283" s="38" t="inlineStr">
        <is>
          <t>Employment terms and engagement review, with legal referral for issues outside the agreed HR advisory scope.</t>
        </is>
      </c>
      <c r="V283" s="38" t="inlineStr">
        <is>
          <t>TERMS</t>
        </is>
      </c>
      <c r="W283" s="38" t="inlineStr">
        <is>
          <t>A_B12</t>
        </is>
      </c>
      <c r="X283" s="38" t="inlineStr">
        <is>
          <t>S30;DESIGN</t>
        </is>
      </c>
      <c r="Y283" s="38" t="inlineStr">
        <is>
          <t>https://www.fairwork.gov.au/employment-conditions/flexibility-in-the-workplace/individual-flexibility-arrangements</t>
        </is>
      </c>
      <c r="Z283" s="38" t="inlineStr">
        <is>
          <t>Calling any flexible roster or work-from-home agreement an IFA.</t>
        </is>
      </c>
    </row>
    <row r="284" ht="46" customHeight="1">
      <c r="A284" s="37" t="inlineStr">
        <is>
          <t>B12_3</t>
        </is>
      </c>
      <c r="B284" s="37" t="inlineStr">
        <is>
          <t>B12</t>
        </is>
      </c>
      <c r="C284" s="48" t="n">
        <v>3</v>
      </c>
      <c r="D284" s="37" t="inlineStr">
        <is>
          <t>We have checked the permitted terms, genuine agreement and better off overall position, and review the arrangement when circumstances change.</t>
        </is>
      </c>
      <c r="E284" s="37" t="inlineStr">
        <is>
          <t>Maintain and test: confirm the flexibility arrangement is the right legal mechanism</t>
        </is>
      </c>
      <c r="F284" s="37" t="inlineStr">
        <is>
          <t>The selected response reports an established and checked practice. The tool has not inspected the evidence and cannot certify the absence of risk.</t>
        </is>
      </c>
      <c r="G284" s="37" t="inlineStr">
        <is>
          <t>Consent alone may not satisfy an IFA's permitted scope, documentation and better-off-overall requirements.</t>
        </is>
      </c>
      <c r="H284" s="37" t="inlineStr">
        <is>
          <t>Individual flexibility arrangements</t>
        </is>
      </c>
      <c r="I284" s="48" t="n">
        <v>3</v>
      </c>
      <c r="J284" s="48" t="n">
        <v>1</v>
      </c>
      <c r="K284" s="48" t="n">
        <v>1</v>
      </c>
      <c r="L284" s="37" t="inlineStr">
        <is>
          <t>Lower reported concern, not a finding of no risk. The assumed controls are self-reported; a current incident, contrary evidence or failed control takes precedence.</t>
        </is>
      </c>
      <c r="M284" s="37" t="inlineStr">
        <is>
          <t>Maintain the practice described. At the next relevant review, retain the supported comparison and required agreement, and review when relevant circumstances change.</t>
        </is>
      </c>
      <c r="N284" s="37" t="inlineStr">
        <is>
          <t>Check whether changes in work, people or applicable requirements have made the original process less reliable.</t>
        </is>
      </c>
      <c r="O284" s="37" t="inlineStr">
        <is>
          <t>Retain the review outcome and act on any new exception. An unresolved live issue overrides this maintenance pathway.</t>
        </is>
      </c>
      <c r="P284" s="37" t="inlineStr">
        <is>
          <t>Maintain at the stated trigger; for a new low-priority improvement, plan within 90 days.</t>
        </is>
      </c>
      <c r="Q284" s="37" t="inlineStr">
        <is>
          <t>A current example of the practice and a proportionate recheck record. A reviewed IFA, comparison and record of agreement, with a review trigger.</t>
        </is>
      </c>
      <c r="R284" s="37" t="inlineStr">
        <is>
          <t>A reviewed IFA, comparison and record of agreement, with a review trigger.</t>
        </is>
      </c>
      <c r="S284" s="37" t="inlineStr">
        <is>
          <t>New IFAs or changed pay, hours, circumstances or instrument terms.</t>
        </is>
      </c>
      <c r="T284" s="37" t="inlineStr">
        <is>
          <t>Owner / HR lead</t>
        </is>
      </c>
      <c r="U284" s="37" t="inlineStr">
        <is>
          <t>No further purchase is implied by this result. Seek support only for a material change, unresolved exception or chosen improvement.</t>
        </is>
      </c>
      <c r="V284" s="37" t="inlineStr">
        <is>
          <t>TERMS</t>
        </is>
      </c>
      <c r="W284" s="37" t="inlineStr">
        <is>
          <t>A_B12</t>
        </is>
      </c>
      <c r="X284" s="37" t="inlineStr">
        <is>
          <t>S30;DESIGN</t>
        </is>
      </c>
      <c r="Y284" s="37" t="inlineStr">
        <is>
          <t>https://www.fairwork.gov.au/employment-conditions/flexibility-in-the-workplace/individual-flexibility-arrangements</t>
        </is>
      </c>
      <c r="Z284" s="37" t="inlineStr">
        <is>
          <t>Calling any flexible roster or work-from-home agreement an IFA.</t>
        </is>
      </c>
    </row>
    <row r="285" ht="61" customHeight="1">
      <c r="A285" s="38" t="inlineStr">
        <is>
          <t>B12_DK</t>
        </is>
      </c>
      <c r="B285" s="38" t="inlineStr">
        <is>
          <t>B12</t>
        </is>
      </c>
      <c r="C285" s="38" t="inlineStr">
        <is>
          <t>DK</t>
        </is>
      </c>
      <c r="D285" s="38" t="inlineStr">
        <is>
          <t>I need to confirm this.</t>
        </is>
      </c>
      <c r="E285" s="38" t="inlineStr">
        <is>
          <t>Verify: confirm the flexibility arrangement is the right legal mechanism</t>
        </is>
      </c>
      <c r="F285" s="38" t="inlineStr">
        <is>
          <t>This answer identifies a knowledge gap. It does not establish that the practice is missing, that harm has occurred or that a legal duty has been breached.</t>
        </is>
      </c>
      <c r="G285" s="38" t="inlineStr">
        <is>
          <t>Consent alone may not satisfy an IFA's permitted scope, documentation and better-off-overall requirements.</t>
        </is>
      </c>
      <c r="H285" s="38" t="inlineStr">
        <is>
          <t>Individual flexibility arrangements</t>
        </is>
      </c>
      <c r="I285" s="49" t="n">
        <v>3</v>
      </c>
      <c r="J285" s="49" t="n">
        <v>0</v>
      </c>
      <c r="K285" s="49" t="n">
        <v>3</v>
      </c>
      <c r="L285" s="38" t="inlineStr">
        <is>
          <t>The risk is not rated from an unknown answer. Verification is High priority because: Consent alone may not satisfy an IFA's permitted scope, documentation and better-off-overall requirements.</t>
        </is>
      </c>
      <c r="M285" s="38" t="inlineStr">
        <is>
          <t>Ask the owner / hr lead to show a current example of the process and the evidence listed below. Confirm the answer before deciding what must be repaired.</t>
        </is>
      </c>
      <c r="N285" s="38" t="inlineStr">
        <is>
          <t>Compare the example with the established-practice description: We have checked the permitted terms, genuine agreement and better off overall position, and review the arrangement when circumstances change.</t>
        </is>
      </c>
      <c r="O285" s="38" t="inlineStr">
        <is>
          <t>Record what was checked, by whom and when. If it remains unclear, keep the verification task open and agree any proportionate interim safeguard.</t>
        </is>
      </c>
      <c r="P285" s="38" t="inlineStr">
        <is>
          <t>Review or verify within two business days and before the next affected event if earlier. Do not wait where a duty or current harm requires earlier action.</t>
        </is>
      </c>
      <c r="Q285" s="38" t="inlineStr">
        <is>
          <t>A dated verification record, the supporting example, an updated answer and any remaining action. No automatic compliance conclusion.</t>
        </is>
      </c>
      <c r="R285" s="38" t="inlineStr">
        <is>
          <t>A reviewed IFA, comparison and record of agreement, with a review trigger.</t>
        </is>
      </c>
      <c r="S285" s="38" t="inlineStr">
        <is>
          <t>New IFAs or changed pay, hours, circumstances or instrument terms.</t>
        </is>
      </c>
      <c r="T285" s="38" t="inlineStr">
        <is>
          <t>Owner / HR lead</t>
        </is>
      </c>
      <c r="U285" s="38" t="inlineStr">
        <is>
          <t>Employment terms and engagement review, with legal referral for issues outside the agreed HR advisory scope.</t>
        </is>
      </c>
      <c r="V285" s="38" t="inlineStr">
        <is>
          <t>TERMS</t>
        </is>
      </c>
      <c r="W285" s="38" t="inlineStr">
        <is>
          <t>A_B12</t>
        </is>
      </c>
      <c r="X285" s="38" t="inlineStr">
        <is>
          <t>S30;DESIGN</t>
        </is>
      </c>
      <c r="Y285" s="38" t="inlineStr">
        <is>
          <t>https://www.fairwork.gov.au/employment-conditions/flexibility-in-the-workplace/individual-flexibility-arrangements</t>
        </is>
      </c>
      <c r="Z285" s="38" t="inlineStr">
        <is>
          <t>Calling any flexible roster or work-from-home agreement an IFA.</t>
        </is>
      </c>
    </row>
    <row r="286" ht="91" customHeight="1">
      <c r="A286" s="37" t="inlineStr">
        <is>
          <t>B13_0</t>
        </is>
      </c>
      <c r="B286" s="37" t="inlineStr">
        <is>
          <t>B13</t>
        </is>
      </c>
      <c r="C286" s="48" t="n">
        <v>0</v>
      </c>
      <c r="D286" s="37" t="inlineStr">
        <is>
          <t>Required credentials are not verified.</t>
        </is>
      </c>
      <c r="E286" s="37" t="inlineStr">
        <is>
          <t>Keep required credentials current</t>
        </is>
      </c>
      <c r="F286" s="37" t="inlineStr">
        <is>
          <t>The selected response reports a missing or unestablished element. Confirm the affected arrangements before drawing a conclusion about any actual breach or harm.</t>
        </is>
      </c>
      <c r="G286" s="37" t="inlineStr">
        <is>
          <t>Expired or inappropriate credentials may permit work that should not proceed without a current authorisation.</t>
        </is>
      </c>
      <c r="H286" s="37" t="inlineStr">
        <is>
          <t>Authorisation for regulated work</t>
        </is>
      </c>
      <c r="I286" s="48" t="n">
        <v>3</v>
      </c>
      <c r="J286" s="48" t="n">
        <v>3</v>
      </c>
      <c r="K286" s="48" t="n">
        <v>3</v>
      </c>
      <c r="L286" s="37" t="inlineStr">
        <is>
          <t>High provisional concern: an essential element remains unresolved. Expired or inappropriate credentials may permit work that should not proceed without a current authorisation.</t>
        </is>
      </c>
      <c r="M286" s="37" t="inlineStr">
        <is>
          <t>List the credentials required by each relevant role, verify current evidence and set an escalation before expiry or restriction.</t>
        </is>
      </c>
      <c r="N286" s="37" t="inlineStr">
        <is>
          <t>Verify relevant credentials and task restrictions, assign monitoring responsibility and define what happens on expiry or suspension.</t>
        </is>
      </c>
      <c r="O286" s="37" t="inlineStr">
        <is>
          <t>Test one upcoming expiry and confirm work allocation prevents an unauthorised task.</t>
        </is>
      </c>
      <c r="P286" s="37" t="inlineStr">
        <is>
          <t>Review or verify within two business days and before the next affected event if earlier. Do not wait where a duty or current harm requires earlier action.</t>
        </is>
      </c>
      <c r="Q286" s="37" t="inlineStr">
        <is>
          <t>A current credential register and clear controls preventing unauthorised work. Confirm that the change works in practice, not only that a document exists.</t>
        </is>
      </c>
      <c r="R286" s="37" t="inlineStr">
        <is>
          <t>A current credential register and clear controls preventing unauthorised work.</t>
        </is>
      </c>
      <c r="S286" s="37" t="inlineStr">
        <is>
          <t>Before relevant work and on expiry, restriction or suspension.</t>
        </is>
      </c>
      <c r="T286" s="37" t="inlineStr">
        <is>
          <t>Hiring manager / coordinator</t>
        </is>
      </c>
      <c r="U286" s="37" t="inlineStr">
        <is>
          <t>Practical onboarding workflow and required-information controls.</t>
        </is>
      </c>
      <c r="V286" s="37" t="inlineStr">
        <is>
          <t>START_SAFE</t>
        </is>
      </c>
      <c r="W286" s="37" t="inlineStr">
        <is>
          <t>A_B13</t>
        </is>
      </c>
      <c r="X286" s="37" t="inlineStr">
        <is>
          <t>S13;S32;DESIGN</t>
        </is>
      </c>
      <c r="Y286" s="37" t="inlineStr">
        <is>
          <t>https://www.safeworkaustralia.gov.au/safety-topic/managing-health-and-safety/identify-assess-and-control-hazards/managing-risks
https://immi.homeaffairs.gov.au/visa-conditions-subsite/Pages/Check-conditions-online-vevo.aspx</t>
        </is>
      </c>
      <c r="Z286" s="37" t="inlineStr">
        <is>
          <t>Treating a reminder email as sufficient without checking the response to expiry.</t>
        </is>
      </c>
    </row>
    <row r="287" ht="91" customHeight="1">
      <c r="A287" s="38" t="inlineStr">
        <is>
          <t>B13_1</t>
        </is>
      </c>
      <c r="B287" s="38" t="inlineStr">
        <is>
          <t>B13</t>
        </is>
      </c>
      <c r="C287" s="49" t="n">
        <v>1</v>
      </c>
      <c r="D287" s="38" t="inlineStr">
        <is>
          <t>We check at commencement but do not monitor expiry or changes.</t>
        </is>
      </c>
      <c r="E287" s="38" t="inlineStr">
        <is>
          <t>Keep required credentials current</t>
        </is>
      </c>
      <c r="F287" s="38" t="inlineStr">
        <is>
          <t>The selected response relies on assumptions, informal decisions or an inconsistent process. The action is to make the relevant check reliable in routine work.</t>
        </is>
      </c>
      <c r="G287" s="38" t="inlineStr">
        <is>
          <t>Expired or inappropriate credentials may permit work that should not proceed without a current authorisation.</t>
        </is>
      </c>
      <c r="H287" s="38" t="inlineStr">
        <is>
          <t>Authorisation for regulated work</t>
        </is>
      </c>
      <c r="I287" s="49" t="n">
        <v>3</v>
      </c>
      <c r="J287" s="49" t="n">
        <v>3</v>
      </c>
      <c r="K287" s="49" t="n">
        <v>3</v>
      </c>
      <c r="L287" s="38" t="inlineStr">
        <is>
          <t>High provisional concern: an essential element remains unresolved. Expired or inappropriate credentials may permit work that should not proceed without a current authorisation.</t>
        </is>
      </c>
      <c r="M287" s="38" t="inlineStr">
        <is>
          <t>Replace the assumption with a current check. List the credentials required by each relevant role, verify current evidence and set an escalation before expiry or restriction.</t>
        </is>
      </c>
      <c r="N287" s="38" t="inlineStr">
        <is>
          <t>Verify relevant credentials and task restrictions, assign monitoring responsibility and define what happens on expiry or suspension.</t>
        </is>
      </c>
      <c r="O287" s="38" t="inlineStr">
        <is>
          <t>Test one upcoming expiry and confirm work allocation prevents an unauthorised task.</t>
        </is>
      </c>
      <c r="P287" s="38" t="inlineStr">
        <is>
          <t>Review or verify within two business days and before the next affected event if earlier. Do not wait where a duty or current harm requires earlier action.</t>
        </is>
      </c>
      <c r="Q287" s="38" t="inlineStr">
        <is>
          <t>A current credential register and clear controls preventing unauthorised work. Confirm that the change works in practice, not only that a document exists.</t>
        </is>
      </c>
      <c r="R287" s="38" t="inlineStr">
        <is>
          <t>A current credential register and clear controls preventing unauthorised work.</t>
        </is>
      </c>
      <c r="S287" s="38" t="inlineStr">
        <is>
          <t>Before relevant work and on expiry, restriction or suspension.</t>
        </is>
      </c>
      <c r="T287" s="38" t="inlineStr">
        <is>
          <t>Hiring manager / coordinator</t>
        </is>
      </c>
      <c r="U287" s="38" t="inlineStr">
        <is>
          <t>Practical onboarding workflow and required-information controls.</t>
        </is>
      </c>
      <c r="V287" s="38" t="inlineStr">
        <is>
          <t>START_SAFE</t>
        </is>
      </c>
      <c r="W287" s="38" t="inlineStr">
        <is>
          <t>A_B13</t>
        </is>
      </c>
      <c r="X287" s="38" t="inlineStr">
        <is>
          <t>S13;S32;DESIGN</t>
        </is>
      </c>
      <c r="Y287" s="38" t="inlineStr">
        <is>
          <t>https://www.safeworkaustralia.gov.au/safety-topic/managing-health-and-safety/identify-assess-and-control-hazards/managing-risks
https://immi.homeaffairs.gov.au/visa-conditions-subsite/Pages/Check-conditions-online-vevo.aspx</t>
        </is>
      </c>
      <c r="Z287" s="38" t="inlineStr">
        <is>
          <t>Treating a reminder email as sufficient without checking the response to expiry.</t>
        </is>
      </c>
    </row>
    <row r="288" ht="91" customHeight="1">
      <c r="A288" s="37" t="inlineStr">
        <is>
          <t>B13_2</t>
        </is>
      </c>
      <c r="B288" s="37" t="inlineStr">
        <is>
          <t>B13</t>
        </is>
      </c>
      <c r="C288" s="48" t="n">
        <v>2</v>
      </c>
      <c r="D288" s="37" t="inlineStr">
        <is>
          <t>We have reminders, but evidence or the response to expiry is inconsistent.</t>
        </is>
      </c>
      <c r="E288" s="37" t="inlineStr">
        <is>
          <t>Complete the remaining check: keep required credentials current</t>
        </is>
      </c>
      <c r="F288" s="37" t="inlineStr">
        <is>
          <t>The selected response identifies an incomplete element within an existing practice. Keep what works and target the unresolved part; the stronger elements do not cancel the gap.</t>
        </is>
      </c>
      <c r="G288" s="37" t="inlineStr">
        <is>
          <t>Expired or inappropriate credentials may permit work that should not proceed without a current authorisation.</t>
        </is>
      </c>
      <c r="H288" s="37" t="inlineStr">
        <is>
          <t>Authorisation for regulated work</t>
        </is>
      </c>
      <c r="I288" s="48" t="n">
        <v>3</v>
      </c>
      <c r="J288" s="48" t="n">
        <v>3</v>
      </c>
      <c r="K288" s="48" t="n">
        <v>3</v>
      </c>
      <c r="L288" s="37" t="inlineStr">
        <is>
          <t>High provisional concern: an essential element remains unresolved. Expired or inappropriate credentials may permit work that should not proceed without a current authorisation.</t>
        </is>
      </c>
      <c r="M288" s="37" t="inlineStr">
        <is>
          <t>Focus on the unresolved arrangements or exceptions. List the credentials required by each relevant role, verify current evidence and set an escalation before expiry or restriction.</t>
        </is>
      </c>
      <c r="N288" s="37" t="inlineStr">
        <is>
          <t>Verify relevant credentials and task restrictions, assign monitoring responsibility and define what happens on expiry or suspension.</t>
        </is>
      </c>
      <c r="O288" s="37" t="inlineStr">
        <is>
          <t>Test one upcoming expiry and confirm work allocation prevents an unauthorised task.</t>
        </is>
      </c>
      <c r="P288" s="37" t="inlineStr">
        <is>
          <t>Review or verify within two business days and before the next affected event if earlier. Do not wait where a duty or current harm requires earlier action.</t>
        </is>
      </c>
      <c r="Q288" s="37" t="inlineStr">
        <is>
          <t>A current credential register and clear controls preventing unauthorised work. Confirm that the change works in practice, not only that a document exists.</t>
        </is>
      </c>
      <c r="R288" s="37" t="inlineStr">
        <is>
          <t>A current credential register and clear controls preventing unauthorised work.</t>
        </is>
      </c>
      <c r="S288" s="37" t="inlineStr">
        <is>
          <t>Before relevant work and on expiry, restriction or suspension.</t>
        </is>
      </c>
      <c r="T288" s="37" t="inlineStr">
        <is>
          <t>Hiring manager / coordinator</t>
        </is>
      </c>
      <c r="U288" s="37" t="inlineStr">
        <is>
          <t>Practical onboarding workflow and required-information controls.</t>
        </is>
      </c>
      <c r="V288" s="37" t="inlineStr">
        <is>
          <t>START_SAFE</t>
        </is>
      </c>
      <c r="W288" s="37" t="inlineStr">
        <is>
          <t>A_B13</t>
        </is>
      </c>
      <c r="X288" s="37" t="inlineStr">
        <is>
          <t>S13;S32;DESIGN</t>
        </is>
      </c>
      <c r="Y288" s="37" t="inlineStr">
        <is>
          <t>https://www.safeworkaustralia.gov.au/safety-topic/managing-health-and-safety/identify-assess-and-control-hazards/managing-risks
https://immi.homeaffairs.gov.au/visa-conditions-subsite/Pages/Check-conditions-online-vevo.aspx</t>
        </is>
      </c>
      <c r="Z288" s="37" t="inlineStr">
        <is>
          <t>Treating a reminder email as sufficient without checking the response to expiry.</t>
        </is>
      </c>
    </row>
    <row r="289" ht="91" customHeight="1">
      <c r="A289" s="38" t="inlineStr">
        <is>
          <t>B13_3</t>
        </is>
      </c>
      <c r="B289" s="38" t="inlineStr">
        <is>
          <t>B13</t>
        </is>
      </c>
      <c r="C289" s="49" t="n">
        <v>3</v>
      </c>
      <c r="D289" s="38" t="inlineStr">
        <is>
          <t>We verify current credentials before relevant work, track changes and prevent work outside the person's authorisation.</t>
        </is>
      </c>
      <c r="E289" s="38" t="inlineStr">
        <is>
          <t>Maintain and test: keep required credentials current</t>
        </is>
      </c>
      <c r="F289" s="38" t="inlineStr">
        <is>
          <t>The selected response reports an established and checked practice. The tool has not inspected the evidence and cannot certify the absence of risk.</t>
        </is>
      </c>
      <c r="G289" s="38" t="inlineStr">
        <is>
          <t>Expired or inappropriate credentials may permit work that should not proceed without a current authorisation.</t>
        </is>
      </c>
      <c r="H289" s="38" t="inlineStr">
        <is>
          <t>Authorisation for regulated work</t>
        </is>
      </c>
      <c r="I289" s="49" t="n">
        <v>3</v>
      </c>
      <c r="J289" s="49" t="n">
        <v>1</v>
      </c>
      <c r="K289" s="49" t="n">
        <v>1</v>
      </c>
      <c r="L289" s="38" t="inlineStr">
        <is>
          <t>Lower reported concern, not a finding of no risk. The assumed controls are self-reported; a current incident, contrary evidence or failed control takes precedence.</t>
        </is>
      </c>
      <c r="M289" s="38" t="inlineStr">
        <is>
          <t>Maintain the practice described. At the next relevant review, test one upcoming expiry and confirm work allocation prevents an unauthorised task.</t>
        </is>
      </c>
      <c r="N289" s="38" t="inlineStr">
        <is>
          <t>Check whether changes in work, people or applicable requirements have made the original process less reliable.</t>
        </is>
      </c>
      <c r="O289" s="38" t="inlineStr">
        <is>
          <t>Retain the review outcome and act on any new exception. An unresolved live issue overrides this maintenance pathway.</t>
        </is>
      </c>
      <c r="P289" s="38" t="inlineStr">
        <is>
          <t>Maintain at the stated trigger; for a new low-priority improvement, plan within 90 days.</t>
        </is>
      </c>
      <c r="Q289" s="38" t="inlineStr">
        <is>
          <t>A current example of the practice and a proportionate recheck record. A current credential register and clear controls preventing unauthorised work.</t>
        </is>
      </c>
      <c r="R289" s="38" t="inlineStr">
        <is>
          <t>A current credential register and clear controls preventing unauthorised work.</t>
        </is>
      </c>
      <c r="S289" s="38" t="inlineStr">
        <is>
          <t>Before relevant work and on expiry, restriction or suspension.</t>
        </is>
      </c>
      <c r="T289" s="38" t="inlineStr">
        <is>
          <t>Hiring manager / coordinator</t>
        </is>
      </c>
      <c r="U289" s="38" t="inlineStr">
        <is>
          <t>No further purchase is implied by this result. Seek support only for a material change, unresolved exception or chosen improvement.</t>
        </is>
      </c>
      <c r="V289" s="38" t="inlineStr">
        <is>
          <t>START_SAFE</t>
        </is>
      </c>
      <c r="W289" s="38" t="inlineStr">
        <is>
          <t>A_B13</t>
        </is>
      </c>
      <c r="X289" s="38" t="inlineStr">
        <is>
          <t>S13;S32;DESIGN</t>
        </is>
      </c>
      <c r="Y289" s="38" t="inlineStr">
        <is>
          <t>https://www.safeworkaustralia.gov.au/safety-topic/managing-health-and-safety/identify-assess-and-control-hazards/managing-risks
https://immi.homeaffairs.gov.au/visa-conditions-subsite/Pages/Check-conditions-online-vevo.aspx</t>
        </is>
      </c>
      <c r="Z289" s="38" t="inlineStr">
        <is>
          <t>Treating a reminder email as sufficient without checking the response to expiry.</t>
        </is>
      </c>
    </row>
    <row r="290" ht="91" customHeight="1">
      <c r="A290" s="37" t="inlineStr">
        <is>
          <t>B13_DK</t>
        </is>
      </c>
      <c r="B290" s="37" t="inlineStr">
        <is>
          <t>B13</t>
        </is>
      </c>
      <c r="C290" s="37" t="inlineStr">
        <is>
          <t>DK</t>
        </is>
      </c>
      <c r="D290" s="37" t="inlineStr">
        <is>
          <t>I need to confirm this.</t>
        </is>
      </c>
      <c r="E290" s="37" t="inlineStr">
        <is>
          <t>Verify: keep required credentials current</t>
        </is>
      </c>
      <c r="F290" s="37" t="inlineStr">
        <is>
          <t>This answer identifies a knowledge gap. It does not establish that the practice is missing, that harm has occurred or that a legal duty has been breached.</t>
        </is>
      </c>
      <c r="G290" s="37" t="inlineStr">
        <is>
          <t>Expired or inappropriate credentials may permit work that should not proceed without a current authorisation.</t>
        </is>
      </c>
      <c r="H290" s="37" t="inlineStr">
        <is>
          <t>Authorisation for regulated work</t>
        </is>
      </c>
      <c r="I290" s="48" t="n">
        <v>3</v>
      </c>
      <c r="J290" s="48" t="n">
        <v>0</v>
      </c>
      <c r="K290" s="48" t="n">
        <v>3</v>
      </c>
      <c r="L290" s="37" t="inlineStr">
        <is>
          <t>The risk is not rated from an unknown answer. Verification is High priority because: Expired or inappropriate credentials may permit work that should not proceed without a current authorisation.</t>
        </is>
      </c>
      <c r="M290" s="37" t="inlineStr">
        <is>
          <t>Ask the hiring manager / coordinator to show a current example of the process and the evidence listed below. Confirm the answer before deciding what must be repaired.</t>
        </is>
      </c>
      <c r="N290" s="37" t="inlineStr">
        <is>
          <t>Compare the example with the established-practice description: We verify current credentials before relevant work, track changes and prevent work outside the person's authorisation.</t>
        </is>
      </c>
      <c r="O290" s="37" t="inlineStr">
        <is>
          <t>Record what was checked, by whom and when. If it remains unclear, keep the verification task open and agree any proportionate interim safeguard.</t>
        </is>
      </c>
      <c r="P290" s="37" t="inlineStr">
        <is>
          <t>Review or verify within two business days and before the next affected event if earlier. Do not wait where a duty or current harm requires earlier action.</t>
        </is>
      </c>
      <c r="Q290" s="37" t="inlineStr">
        <is>
          <t>A dated verification record, the supporting example, an updated answer and any remaining action. No automatic compliance conclusion.</t>
        </is>
      </c>
      <c r="R290" s="37" t="inlineStr">
        <is>
          <t>A current credential register and clear controls preventing unauthorised work.</t>
        </is>
      </c>
      <c r="S290" s="37" t="inlineStr">
        <is>
          <t>Before relevant work and on expiry, restriction or suspension.</t>
        </is>
      </c>
      <c r="T290" s="37" t="inlineStr">
        <is>
          <t>Hiring manager / coordinator</t>
        </is>
      </c>
      <c r="U290" s="37" t="inlineStr">
        <is>
          <t>Practical onboarding workflow and required-information controls.</t>
        </is>
      </c>
      <c r="V290" s="37" t="inlineStr">
        <is>
          <t>START_SAFE</t>
        </is>
      </c>
      <c r="W290" s="37" t="inlineStr">
        <is>
          <t>A_B13</t>
        </is>
      </c>
      <c r="X290" s="37" t="inlineStr">
        <is>
          <t>S13;S32;DESIGN</t>
        </is>
      </c>
      <c r="Y290" s="37" t="inlineStr">
        <is>
          <t>https://www.safeworkaustralia.gov.au/safety-topic/managing-health-and-safety/identify-assess-and-control-hazards/managing-risks
https://immi.homeaffairs.gov.au/visa-conditions-subsite/Pages/Check-conditions-online-vevo.aspx</t>
        </is>
      </c>
      <c r="Z290" s="37" t="inlineStr">
        <is>
          <t>Treating a reminder email as sufficient without checking the response to expiry.</t>
        </is>
      </c>
    </row>
    <row r="291" ht="121" customHeight="1">
      <c r="A291" s="38" t="inlineStr">
        <is>
          <t>B14_0</t>
        </is>
      </c>
      <c r="B291" s="38" t="inlineStr">
        <is>
          <t>B14</t>
        </is>
      </c>
      <c r="C291" s="49" t="n">
        <v>0</v>
      </c>
      <c r="D291" s="38" t="inlineStr">
        <is>
          <t>We use these tools without a clear review or approval process.</t>
        </is>
      </c>
      <c r="E291" s="38" t="inlineStr">
        <is>
          <t>Keep responsibility for technology-assisted people decisions</t>
        </is>
      </c>
      <c r="F291" s="38" t="inlineStr">
        <is>
          <t>The selected response reports a missing or unestablished element. Confirm the affected arrangements before drawing a conclusion about any actual breach or harm.</t>
        </is>
      </c>
      <c r="G291" s="38" t="inlineStr">
        <is>
          <t>Unchecked outputs can affect applicants or employees without an adequate basis, appropriate data handling or a meaningful review route.</t>
        </is>
      </c>
      <c r="H291" s="38" t="inlineStr">
        <is>
          <t>Technology-assisted people decisions</t>
        </is>
      </c>
      <c r="I291" s="49" t="n">
        <v>3</v>
      </c>
      <c r="J291" s="49" t="n">
        <v>3</v>
      </c>
      <c r="K291" s="49" t="n">
        <v>3</v>
      </c>
      <c r="L291" s="38" t="inlineStr">
        <is>
          <t>High provisional concern: an essential element remains unresolved. Unchecked outputs can affect applicants or employees without an adequate basis, appropriate data handling or a meaningful review route.</t>
        </is>
      </c>
      <c r="M291" s="38" t="inlineStr">
        <is>
          <t>List the tools, decisions and personal information involved. Review human oversight, provider access and applicable privacy-policy disclosures before the relevant deadline.</t>
        </is>
      </c>
      <c r="N291" s="38" t="inlineStr">
        <is>
          <t>Record the tool, purpose, data and decisions affected. Test meaningful human review, relevant bias and applicable transparency requirements.</t>
        </is>
      </c>
      <c r="O291" s="38" t="inlineStr">
        <is>
          <t>Review a sample decision and test whether an error can be challenged and corrected without relying on the same output again.</t>
        </is>
      </c>
      <c r="P291" s="38" t="inlineStr">
        <is>
          <t>Review or verify within two business days and before the next affected event if earlier. Do not wait where a duty or current harm requires earlier action.</t>
        </is>
      </c>
      <c r="Q291"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 Confirm that the change works in practice, not only that a document exists.</t>
        </is>
      </c>
      <c r="R291"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S291" s="38" t="inlineStr">
        <is>
          <t>A new tool, changed use, material error or applicable law change.</t>
        </is>
      </c>
      <c r="T291" s="38" t="inlineStr">
        <is>
          <t>Payroll / systems lead</t>
        </is>
      </c>
      <c r="U291" s="38" t="inlineStr">
        <is>
          <t>Employment-record process review and coordination with privacy/cyber specialists where necessary.</t>
        </is>
      </c>
      <c r="V291" s="38" t="inlineStr">
        <is>
          <t>INFORMATION</t>
        </is>
      </c>
      <c r="W291" s="38" t="inlineStr">
        <is>
          <t>A_B14</t>
        </is>
      </c>
      <c r="X291" s="38" t="inlineStr">
        <is>
          <t>S15;S16;S17;DESIGN</t>
        </is>
      </c>
      <c r="Y291"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291" s="38" t="inlineStr">
        <is>
          <t>Treating a human clicking approve as evidence of meaningful oversight.</t>
        </is>
      </c>
    </row>
    <row r="292" ht="121" customHeight="1">
      <c r="A292" s="37" t="inlineStr">
        <is>
          <t>B14_1</t>
        </is>
      </c>
      <c r="B292" s="37" t="inlineStr">
        <is>
          <t>B14</t>
        </is>
      </c>
      <c r="C292" s="48" t="n">
        <v>1</v>
      </c>
      <c r="D292" s="37" t="inlineStr">
        <is>
          <t>We rely on the supplier's assurances and do not check how outputs affect decisions.</t>
        </is>
      </c>
      <c r="E292" s="37" t="inlineStr">
        <is>
          <t>Keep responsibility for technology-assisted people decisions</t>
        </is>
      </c>
      <c r="F292" s="37" t="inlineStr">
        <is>
          <t>The selected response relies on assumptions, informal decisions or an inconsistent process. The action is to make the relevant check reliable in routine work.</t>
        </is>
      </c>
      <c r="G292" s="37" t="inlineStr">
        <is>
          <t>Unchecked outputs can affect applicants or employees without an adequate basis, appropriate data handling or a meaningful review route.</t>
        </is>
      </c>
      <c r="H292" s="37" t="inlineStr">
        <is>
          <t>Technology-assisted people decisions</t>
        </is>
      </c>
      <c r="I292" s="48" t="n">
        <v>3</v>
      </c>
      <c r="J292" s="48" t="n">
        <v>3</v>
      </c>
      <c r="K292" s="48" t="n">
        <v>3</v>
      </c>
      <c r="L292" s="37" t="inlineStr">
        <is>
          <t>High provisional concern: an essential element remains unresolved. Unchecked outputs can affect applicants or employees without an adequate basis, appropriate data handling or a meaningful review route.</t>
        </is>
      </c>
      <c r="M292" s="37" t="inlineStr">
        <is>
          <t>Replace the assumption with a current check. List the tools, decisions and personal information involved. Review human oversight, provider access and applicable privacy-policy disclosures before the relevant deadline.</t>
        </is>
      </c>
      <c r="N292" s="37" t="inlineStr">
        <is>
          <t>Record the tool, purpose, data and decisions affected. Test meaningful human review, relevant bias and applicable transparency requirements.</t>
        </is>
      </c>
      <c r="O292" s="37" t="inlineStr">
        <is>
          <t>Review a sample decision and test whether an error can be challenged and corrected without relying on the same output again.</t>
        </is>
      </c>
      <c r="P292" s="37" t="inlineStr">
        <is>
          <t>Review or verify within two business days and before the next affected event if earlier. Do not wait where a duty or current harm requires earlier action.</t>
        </is>
      </c>
      <c r="Q292" s="37"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 Confirm that the change works in practice, not only that a document exists.</t>
        </is>
      </c>
      <c r="R292" s="37"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S292" s="37" t="inlineStr">
        <is>
          <t>A new tool, changed use, material error or applicable law change.</t>
        </is>
      </c>
      <c r="T292" s="37" t="inlineStr">
        <is>
          <t>Payroll / systems lead</t>
        </is>
      </c>
      <c r="U292" s="37" t="inlineStr">
        <is>
          <t>Employment-record process review and coordination with privacy/cyber specialists where necessary.</t>
        </is>
      </c>
      <c r="V292" s="37" t="inlineStr">
        <is>
          <t>INFORMATION</t>
        </is>
      </c>
      <c r="W292" s="37" t="inlineStr">
        <is>
          <t>A_B14</t>
        </is>
      </c>
      <c r="X292" s="37" t="inlineStr">
        <is>
          <t>S15;S16;S17;DESIGN</t>
        </is>
      </c>
      <c r="Y292"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292" s="37" t="inlineStr">
        <is>
          <t>Treating a human clicking approve as evidence of meaningful oversight.</t>
        </is>
      </c>
    </row>
    <row r="293" ht="121" customHeight="1">
      <c r="A293" s="38" t="inlineStr">
        <is>
          <t>B14_2</t>
        </is>
      </c>
      <c r="B293" s="38" t="inlineStr">
        <is>
          <t>B14</t>
        </is>
      </c>
      <c r="C293" s="49" t="n">
        <v>2</v>
      </c>
      <c r="D293" s="38" t="inlineStr">
        <is>
          <t>We have some human review or data rules, but coverage, bias or transparency needs checking.</t>
        </is>
      </c>
      <c r="E293" s="38" t="inlineStr">
        <is>
          <t>Complete the remaining check: keep responsibility for technology-assisted people decisions</t>
        </is>
      </c>
      <c r="F293" s="38" t="inlineStr">
        <is>
          <t>The selected response identifies an incomplete element within an existing practice. Keep what works and target the unresolved part; the stronger elements do not cancel the gap.</t>
        </is>
      </c>
      <c r="G293" s="38" t="inlineStr">
        <is>
          <t>Unchecked outputs can affect applicants or employees without an adequate basis, appropriate data handling or a meaningful review route.</t>
        </is>
      </c>
      <c r="H293" s="38" t="inlineStr">
        <is>
          <t>Technology-assisted people decisions</t>
        </is>
      </c>
      <c r="I293" s="49" t="n">
        <v>3</v>
      </c>
      <c r="J293" s="49" t="n">
        <v>2</v>
      </c>
      <c r="K293" s="49" t="n">
        <v>2</v>
      </c>
      <c r="L293" s="38" t="inlineStr">
        <is>
          <t>Medium provisional concern: a material practice needs improvement. Unchecked outputs can affect applicants or employees without an adequate basis, appropriate data handling or a meaningful review route.</t>
        </is>
      </c>
      <c r="M293" s="38" t="inlineStr">
        <is>
          <t>Focus on the unresolved arrangements or exceptions. List the tools, decisions and personal information involved. Review human oversight, provider access and applicable privacy-policy disclosures before the relevant deadline.</t>
        </is>
      </c>
      <c r="N293" s="38" t="inlineStr">
        <is>
          <t>Record the tool, purpose, data and decisions affected. Test meaningful human review, relevant bias and applicable transparency requirements.</t>
        </is>
      </c>
      <c r="O293" s="38" t="inlineStr">
        <is>
          <t>Review a sample decision and test whether an error can be challenged and corrected without relying on the same output again.</t>
        </is>
      </c>
      <c r="P293" s="38" t="inlineStr">
        <is>
          <t>Agree an owner and plan within 30 days, or before the next affected event if earlier.</t>
        </is>
      </c>
      <c r="Q293"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 Confirm that the change works in practice, not only that a document exists.</t>
        </is>
      </c>
      <c r="R293"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S293" s="38" t="inlineStr">
        <is>
          <t>A new tool, changed use, material error or applicable law change.</t>
        </is>
      </c>
      <c r="T293" s="38" t="inlineStr">
        <is>
          <t>Payroll / systems lead</t>
        </is>
      </c>
      <c r="U293" s="38" t="inlineStr">
        <is>
          <t>Employment-record process review and coordination with privacy/cyber specialists where necessary.</t>
        </is>
      </c>
      <c r="V293" s="38" t="inlineStr">
        <is>
          <t>INFORMATION</t>
        </is>
      </c>
      <c r="W293" s="38" t="inlineStr">
        <is>
          <t>A_B14</t>
        </is>
      </c>
      <c r="X293" s="38" t="inlineStr">
        <is>
          <t>S15;S16;S17;DESIGN</t>
        </is>
      </c>
      <c r="Y293"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293" s="38" t="inlineStr">
        <is>
          <t>Treating a human clicking approve as evidence of meaningful oversight.</t>
        </is>
      </c>
    </row>
    <row r="294" ht="121" customHeight="1">
      <c r="A294" s="37" t="inlineStr">
        <is>
          <t>B14_3</t>
        </is>
      </c>
      <c r="B294" s="37" t="inlineStr">
        <is>
          <t>B14</t>
        </is>
      </c>
      <c r="C294" s="48" t="n">
        <v>3</v>
      </c>
      <c r="D294" s="37" t="inlineStr">
        <is>
          <t>We assess the tool's purpose and data use, retain meaningful human oversight, test relevant risks and maintain the required transparency.</t>
        </is>
      </c>
      <c r="E294" s="37" t="inlineStr">
        <is>
          <t>Maintain and test: keep responsibility for technology-assisted people decisions</t>
        </is>
      </c>
      <c r="F294" s="37" t="inlineStr">
        <is>
          <t>The selected response reports an established and checked practice. The tool has not inspected the evidence and cannot certify the absence of risk.</t>
        </is>
      </c>
      <c r="G294" s="37" t="inlineStr">
        <is>
          <t>Unchecked outputs can affect applicants or employees without an adequate basis, appropriate data handling or a meaningful review route.</t>
        </is>
      </c>
      <c r="H294" s="37" t="inlineStr">
        <is>
          <t>Technology-assisted people decisions</t>
        </is>
      </c>
      <c r="I294" s="48" t="n">
        <v>3</v>
      </c>
      <c r="J294" s="48" t="n">
        <v>1</v>
      </c>
      <c r="K294" s="48" t="n">
        <v>1</v>
      </c>
      <c r="L294" s="37" t="inlineStr">
        <is>
          <t>Lower reported concern, not a finding of no risk. The assumed controls are self-reported; a current incident, contrary evidence or failed control takes precedence.</t>
        </is>
      </c>
      <c r="M294" s="37" t="inlineStr">
        <is>
          <t>Maintain the practice described. At the next relevant review, review a sample decision and test whether an error can be challenged and corrected without relying on the same output again.</t>
        </is>
      </c>
      <c r="N294" s="37" t="inlineStr">
        <is>
          <t>Check whether changes in work, people or applicable requirements have made the original process less reliable.</t>
        </is>
      </c>
      <c r="O294" s="37" t="inlineStr">
        <is>
          <t>Retain the review outcome and act on any new exception. An unresolved live issue overrides this maintenance pathway.</t>
        </is>
      </c>
      <c r="P294" s="37" t="inlineStr">
        <is>
          <t>Maintain at the stated trigger; for a new low-priority improvement, plan within 90 days.</t>
        </is>
      </c>
      <c r="Q294" s="37" t="inlineStr">
        <is>
          <t>A current example of the practice and a proportionate recheck record. 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R294" s="37"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S294" s="37" t="inlineStr">
        <is>
          <t>A new tool, changed use, material error or applicable law change.</t>
        </is>
      </c>
      <c r="T294" s="37" t="inlineStr">
        <is>
          <t>Payroll / systems lead</t>
        </is>
      </c>
      <c r="U294" s="37" t="inlineStr">
        <is>
          <t>No further purchase is implied by this result. Seek support only for a material change, unresolved exception or chosen improvement.</t>
        </is>
      </c>
      <c r="V294" s="37" t="inlineStr">
        <is>
          <t>INFORMATION</t>
        </is>
      </c>
      <c r="W294" s="37" t="inlineStr">
        <is>
          <t>A_B14</t>
        </is>
      </c>
      <c r="X294" s="37" t="inlineStr">
        <is>
          <t>S15;S16;S17;DESIGN</t>
        </is>
      </c>
      <c r="Y294" s="37"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294" s="37" t="inlineStr">
        <is>
          <t>Treating a human clicking approve as evidence of meaningful oversight.</t>
        </is>
      </c>
    </row>
    <row r="295" ht="121" customHeight="1">
      <c r="A295" s="38" t="inlineStr">
        <is>
          <t>B14_DK</t>
        </is>
      </c>
      <c r="B295" s="38" t="inlineStr">
        <is>
          <t>B14</t>
        </is>
      </c>
      <c r="C295" s="38" t="inlineStr">
        <is>
          <t>DK</t>
        </is>
      </c>
      <c r="D295" s="38" t="inlineStr">
        <is>
          <t>I need to confirm this.</t>
        </is>
      </c>
      <c r="E295" s="38" t="inlineStr">
        <is>
          <t>Verify: keep responsibility for technology-assisted people decisions</t>
        </is>
      </c>
      <c r="F295" s="38" t="inlineStr">
        <is>
          <t>This answer identifies a knowledge gap. It does not establish that the practice is missing, that harm has occurred or that a legal duty has been breached.</t>
        </is>
      </c>
      <c r="G295" s="38" t="inlineStr">
        <is>
          <t>Unchecked outputs can affect applicants or employees without an adequate basis, appropriate data handling or a meaningful review route.</t>
        </is>
      </c>
      <c r="H295" s="38" t="inlineStr">
        <is>
          <t>Technology-assisted people decisions</t>
        </is>
      </c>
      <c r="I295" s="49" t="n">
        <v>3</v>
      </c>
      <c r="J295" s="49" t="n">
        <v>0</v>
      </c>
      <c r="K295" s="49" t="n">
        <v>3</v>
      </c>
      <c r="L295" s="38" t="inlineStr">
        <is>
          <t>The risk is not rated from an unknown answer. Verification is High priority because: Unchecked outputs can affect applicants or employees without an adequate basis, appropriate data handling or a meaningful review route.</t>
        </is>
      </c>
      <c r="M295" s="38" t="inlineStr">
        <is>
          <t>Ask the payroll / systems lead to show a current example of the process and the evidence listed below. Confirm the answer before deciding what must be repaired.</t>
        </is>
      </c>
      <c r="N295" s="38" t="inlineStr">
        <is>
          <t>Compare the example with the established-practice description: We assess the tool's purpose and data use, retain meaningful human oversight, test relevant risks and maintain the required transparency.</t>
        </is>
      </c>
      <c r="O295" s="38" t="inlineStr">
        <is>
          <t>Record what was checked, by whom and when. If it remains unclear, keep the verification task open and agree any proportionate interim safeguard.</t>
        </is>
      </c>
      <c r="P295" s="38" t="inlineStr">
        <is>
          <t>Review or verify within two business days and before the next affected event if earlier. Do not wait where a duty or current harm requires earlier action.</t>
        </is>
      </c>
      <c r="Q295" s="38" t="inlineStr">
        <is>
          <t>A dated verification record, the supporting example, an updated answer and any remaining action. No automatic compliance conclusion.</t>
        </is>
      </c>
      <c r="R295" s="38" t="inlineStr">
        <is>
          <t>The people-technology review is complete, relevant data and decision safeguards are implemented, and accountable humans can explain and review affected decisions. Applicable transparency duties have been met by their actual due date; future requirements stay on the dated plan.</t>
        </is>
      </c>
      <c r="S295" s="38" t="inlineStr">
        <is>
          <t>A new tool, changed use, material error or applicable law change.</t>
        </is>
      </c>
      <c r="T295" s="38" t="inlineStr">
        <is>
          <t>Payroll / systems lead</t>
        </is>
      </c>
      <c r="U295" s="38" t="inlineStr">
        <is>
          <t>Employment-record process review and coordination with privacy/cyber specialists where necessary.</t>
        </is>
      </c>
      <c r="V295" s="38" t="inlineStr">
        <is>
          <t>INFORMATION</t>
        </is>
      </c>
      <c r="W295" s="38" t="inlineStr">
        <is>
          <t>A_B14</t>
        </is>
      </c>
      <c r="X295" s="38" t="inlineStr">
        <is>
          <t>S15;S16;S17;DESIGN</t>
        </is>
      </c>
      <c r="Y295" s="38"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c r="Z295" s="38" t="inlineStr">
        <is>
          <t>Treating a human clicking approve as evidence of meaningful oversight.</t>
        </is>
      </c>
    </row>
    <row r="296" ht="106" customHeight="1">
      <c r="A296" s="37" t="inlineStr">
        <is>
          <t>B15_0</t>
        </is>
      </c>
      <c r="B296" s="37" t="inlineStr">
        <is>
          <t>B15</t>
        </is>
      </c>
      <c r="C296" s="48" t="n">
        <v>0</v>
      </c>
      <c r="D296" s="37" t="inlineStr">
        <is>
          <t>These work settings are not covered by our safety process.</t>
        </is>
      </c>
      <c r="E296" s="37" t="inlineStr">
        <is>
          <t>Extend safety checks beyond the main workplace</t>
        </is>
      </c>
      <c r="F296" s="37" t="inlineStr">
        <is>
          <t>The selected response reports a missing or unestablished element. Confirm the affected arrangements before drawing a conclusion about any actual breach or harm.</t>
        </is>
      </c>
      <c r="G296" s="37" t="inlineStr">
        <is>
          <t>Reliance on the worker or another site can leave foreseeable isolation, travel, aggression or communication risks unmanaged.</t>
        </is>
      </c>
      <c r="H296" s="37" t="inlineStr">
        <is>
          <t>Safety away from the main workplace</t>
        </is>
      </c>
      <c r="I296" s="48" t="n">
        <v>3</v>
      </c>
      <c r="J296" s="48" t="n">
        <v>3</v>
      </c>
      <c r="K296" s="48" t="n">
        <v>3</v>
      </c>
      <c r="L296" s="37" t="inlineStr">
        <is>
          <t>High provisional concern: an essential element remains unresolved. Reliance on the worker or another site can leave foreseeable isolation, travel, aggression or communication risks unmanaged.</t>
        </is>
      </c>
      <c r="M296" s="37" t="inlineStr">
        <is>
          <t>Review one representative remote, isolated or client-site arrangement with the worker and any other duty holder. Confirm risks, contacts and controls.</t>
        </is>
      </c>
      <c r="N296" s="37" t="inlineStr">
        <is>
          <t>Agree site-specific controls, responsibilities and communication with relevant workers and other duty holders.</t>
        </is>
      </c>
      <c r="O296" s="37" t="inlineStr">
        <is>
          <t>Test the check-in or emergency arrangement and reassess tasks or settings not yet covered.</t>
        </is>
      </c>
      <c r="P296" s="37" t="inlineStr">
        <is>
          <t>Review or verify within two business days and before the next affected event if earlier. Do not wait where a duty or current harm requires earlier action.</t>
        </is>
      </c>
      <c r="Q296" s="37" t="inlineStr">
        <is>
          <t>A documented work-setting review and tested communication/escalation arrangement. Confirm that the change works in practice, not only that a document exists.</t>
        </is>
      </c>
      <c r="R296" s="37" t="inlineStr">
        <is>
          <t>A documented work-setting review and tested communication/escalation arrangement.</t>
        </is>
      </c>
      <c r="S296" s="37" t="inlineStr">
        <is>
          <t>New work settings, host arrangements or a failed contact procedure.</t>
        </is>
      </c>
      <c r="T296" s="37" t="inlineStr">
        <is>
          <t>Safety lead / owner</t>
        </is>
      </c>
      <c r="U296" s="37" t="inlineStr">
        <is>
          <t>HR/return-to-work coordination and referral to a competent WHS or insurance specialist where needed.</t>
        </is>
      </c>
      <c r="V296" s="37" t="inlineStr">
        <is>
          <t>SAFETY</t>
        </is>
      </c>
      <c r="W296" s="37" t="inlineStr">
        <is>
          <t>A_B15</t>
        </is>
      </c>
      <c r="X296" s="37" t="inlineStr">
        <is>
          <t>S13;S11;DESIGN</t>
        </is>
      </c>
      <c r="Y296" s="37" t="inlineStr">
        <is>
          <t>https://www.safeworkaustralia.gov.au/safety-topic/managing-health-and-safety/identify-assess-and-control-hazards/managing-risks
https://www.safeworkaustralia.gov.au/safety-topic/managing-health-and-safety/mental-health/managing-risks/identifying-assessing-controlling-and-reviewing</t>
        </is>
      </c>
      <c r="Z296" s="37" t="inlineStr">
        <is>
          <t>Assuming the host workplace automatically manages every duty for the employer.</t>
        </is>
      </c>
    </row>
    <row r="297" ht="106" customHeight="1">
      <c r="A297" s="38" t="inlineStr">
        <is>
          <t>B15_1</t>
        </is>
      </c>
      <c r="B297" s="38" t="inlineStr">
        <is>
          <t>B15</t>
        </is>
      </c>
      <c r="C297" s="49" t="n">
        <v>1</v>
      </c>
      <c r="D297" s="38" t="inlineStr">
        <is>
          <t>We rely mainly on the employee or the host location to manage risks.</t>
        </is>
      </c>
      <c r="E297" s="38" t="inlineStr">
        <is>
          <t>Extend safety checks beyond the main workplace</t>
        </is>
      </c>
      <c r="F297" s="38" t="inlineStr">
        <is>
          <t>The selected response relies on assumptions, informal decisions or an inconsistent process. The action is to make the relevant check reliable in routine work.</t>
        </is>
      </c>
      <c r="G297" s="38" t="inlineStr">
        <is>
          <t>Reliance on the worker or another site can leave foreseeable isolation, travel, aggression or communication risks unmanaged.</t>
        </is>
      </c>
      <c r="H297" s="38" t="inlineStr">
        <is>
          <t>Safety away from the main workplace</t>
        </is>
      </c>
      <c r="I297" s="49" t="n">
        <v>3</v>
      </c>
      <c r="J297" s="49" t="n">
        <v>3</v>
      </c>
      <c r="K297" s="49" t="n">
        <v>3</v>
      </c>
      <c r="L297" s="38" t="inlineStr">
        <is>
          <t>High provisional concern: an essential element remains unresolved. Reliance on the worker or another site can leave foreseeable isolation, travel, aggression or communication risks unmanaged.</t>
        </is>
      </c>
      <c r="M297" s="38" t="inlineStr">
        <is>
          <t>Replace the assumption with a current check. Review one representative remote, isolated or client-site arrangement with the worker and any other duty holder. Confirm risks, contacts and controls.</t>
        </is>
      </c>
      <c r="N297" s="38" t="inlineStr">
        <is>
          <t>Agree site-specific controls, responsibilities and communication with relevant workers and other duty holders.</t>
        </is>
      </c>
      <c r="O297" s="38" t="inlineStr">
        <is>
          <t>Test the check-in or emergency arrangement and reassess tasks or settings not yet covered.</t>
        </is>
      </c>
      <c r="P297" s="38" t="inlineStr">
        <is>
          <t>Review or verify within two business days and before the next affected event if earlier. Do not wait where a duty or current harm requires earlier action.</t>
        </is>
      </c>
      <c r="Q297" s="38" t="inlineStr">
        <is>
          <t>A documented work-setting review and tested communication/escalation arrangement. Confirm that the change works in practice, not only that a document exists.</t>
        </is>
      </c>
      <c r="R297" s="38" t="inlineStr">
        <is>
          <t>A documented work-setting review and tested communication/escalation arrangement.</t>
        </is>
      </c>
      <c r="S297" s="38" t="inlineStr">
        <is>
          <t>New work settings, host arrangements or a failed contact procedure.</t>
        </is>
      </c>
      <c r="T297" s="38" t="inlineStr">
        <is>
          <t>Safety lead / owner</t>
        </is>
      </c>
      <c r="U297" s="38" t="inlineStr">
        <is>
          <t>HR/return-to-work coordination and referral to a competent WHS or insurance specialist where needed.</t>
        </is>
      </c>
      <c r="V297" s="38" t="inlineStr">
        <is>
          <t>SAFETY</t>
        </is>
      </c>
      <c r="W297" s="38" t="inlineStr">
        <is>
          <t>A_B15</t>
        </is>
      </c>
      <c r="X297" s="38" t="inlineStr">
        <is>
          <t>S13;S11;DESIGN</t>
        </is>
      </c>
      <c r="Y297" s="38" t="inlineStr">
        <is>
          <t>https://www.safeworkaustralia.gov.au/safety-topic/managing-health-and-safety/identify-assess-and-control-hazards/managing-risks
https://www.safeworkaustralia.gov.au/safety-topic/managing-health-and-safety/mental-health/managing-risks/identifying-assessing-controlling-and-reviewing</t>
        </is>
      </c>
      <c r="Z297" s="38" t="inlineStr">
        <is>
          <t>Assuming the host workplace automatically manages every duty for the employer.</t>
        </is>
      </c>
    </row>
    <row r="298" ht="106" customHeight="1">
      <c r="A298" s="37" t="inlineStr">
        <is>
          <t>B15_2</t>
        </is>
      </c>
      <c r="B298" s="37" t="inlineStr">
        <is>
          <t>B15</t>
        </is>
      </c>
      <c r="C298" s="48" t="n">
        <v>2</v>
      </c>
      <c r="D298" s="37" t="inlineStr">
        <is>
          <t>Some settings have been reviewed, but communication, controls or shared responsibilities are unclear.</t>
        </is>
      </c>
      <c r="E298" s="37" t="inlineStr">
        <is>
          <t>Complete the remaining check: extend safety checks beyond the main workplace</t>
        </is>
      </c>
      <c r="F298" s="37" t="inlineStr">
        <is>
          <t>The selected response identifies an incomplete element within an existing practice. Keep what works and target the unresolved part; the stronger elements do not cancel the gap.</t>
        </is>
      </c>
      <c r="G298" s="37" t="inlineStr">
        <is>
          <t>Reliance on the worker or another site can leave foreseeable isolation, travel, aggression or communication risks unmanaged.</t>
        </is>
      </c>
      <c r="H298" s="37" t="inlineStr">
        <is>
          <t>Safety away from the main workplace</t>
        </is>
      </c>
      <c r="I298" s="48" t="n">
        <v>3</v>
      </c>
      <c r="J298" s="48" t="n">
        <v>3</v>
      </c>
      <c r="K298" s="48" t="n">
        <v>3</v>
      </c>
      <c r="L298" s="37" t="inlineStr">
        <is>
          <t>High provisional concern: an essential element remains unresolved. Reliance on the worker or another site can leave foreseeable isolation, travel, aggression or communication risks unmanaged.</t>
        </is>
      </c>
      <c r="M298" s="37" t="inlineStr">
        <is>
          <t>Focus on the unresolved arrangements or exceptions. Review one representative remote, isolated or client-site arrangement with the worker and any other duty holder. Confirm risks, contacts and controls.</t>
        </is>
      </c>
      <c r="N298" s="37" t="inlineStr">
        <is>
          <t>Agree site-specific controls, responsibilities and communication with relevant workers and other duty holders.</t>
        </is>
      </c>
      <c r="O298" s="37" t="inlineStr">
        <is>
          <t>Test the check-in or emergency arrangement and reassess tasks or settings not yet covered.</t>
        </is>
      </c>
      <c r="P298" s="37" t="inlineStr">
        <is>
          <t>Review or verify within two business days and before the next affected event if earlier. Do not wait where a duty or current harm requires earlier action.</t>
        </is>
      </c>
      <c r="Q298" s="37" t="inlineStr">
        <is>
          <t>A documented work-setting review and tested communication/escalation arrangement. Confirm that the change works in practice, not only that a document exists.</t>
        </is>
      </c>
      <c r="R298" s="37" t="inlineStr">
        <is>
          <t>A documented work-setting review and tested communication/escalation arrangement.</t>
        </is>
      </c>
      <c r="S298" s="37" t="inlineStr">
        <is>
          <t>New work settings, host arrangements or a failed contact procedure.</t>
        </is>
      </c>
      <c r="T298" s="37" t="inlineStr">
        <is>
          <t>Safety lead / owner</t>
        </is>
      </c>
      <c r="U298" s="37" t="inlineStr">
        <is>
          <t>HR/return-to-work coordination and referral to a competent WHS or insurance specialist where needed.</t>
        </is>
      </c>
      <c r="V298" s="37" t="inlineStr">
        <is>
          <t>SAFETY</t>
        </is>
      </c>
      <c r="W298" s="37" t="inlineStr">
        <is>
          <t>A_B15</t>
        </is>
      </c>
      <c r="X298" s="37" t="inlineStr">
        <is>
          <t>S13;S11;DESIGN</t>
        </is>
      </c>
      <c r="Y298" s="37" t="inlineStr">
        <is>
          <t>https://www.safeworkaustralia.gov.au/safety-topic/managing-health-and-safety/identify-assess-and-control-hazards/managing-risks
https://www.safeworkaustralia.gov.au/safety-topic/managing-health-and-safety/mental-health/managing-risks/identifying-assessing-controlling-and-reviewing</t>
        </is>
      </c>
      <c r="Z298" s="37" t="inlineStr">
        <is>
          <t>Assuming the host workplace automatically manages every duty for the employer.</t>
        </is>
      </c>
    </row>
    <row r="299" ht="106" customHeight="1">
      <c r="A299" s="38" t="inlineStr">
        <is>
          <t>B15_3</t>
        </is>
      </c>
      <c r="B299" s="38" t="inlineStr">
        <is>
          <t>B15</t>
        </is>
      </c>
      <c r="C299" s="49" t="n">
        <v>3</v>
      </c>
      <c r="D299" s="38" t="inlineStr">
        <is>
          <t>We assess the actual work setting, agree responsibilities and test appropriate controls and communication.</t>
        </is>
      </c>
      <c r="E299" s="38" t="inlineStr">
        <is>
          <t>Maintain and test: extend safety checks beyond the main workplace</t>
        </is>
      </c>
      <c r="F299" s="38" t="inlineStr">
        <is>
          <t>The selected response reports an established and checked practice. The tool has not inspected the evidence and cannot certify the absence of risk.</t>
        </is>
      </c>
      <c r="G299" s="38" t="inlineStr">
        <is>
          <t>Reliance on the worker or another site can leave foreseeable isolation, travel, aggression or communication risks unmanaged.</t>
        </is>
      </c>
      <c r="H299" s="38" t="inlineStr">
        <is>
          <t>Safety away from the main workplace</t>
        </is>
      </c>
      <c r="I299" s="49" t="n">
        <v>3</v>
      </c>
      <c r="J299" s="49" t="n">
        <v>1</v>
      </c>
      <c r="K299" s="49" t="n">
        <v>1</v>
      </c>
      <c r="L299" s="38" t="inlineStr">
        <is>
          <t>Lower reported concern, not a finding of no risk. The assumed controls are self-reported; a current incident, contrary evidence or failed control takes precedence.</t>
        </is>
      </c>
      <c r="M299" s="38" t="inlineStr">
        <is>
          <t>Maintain the practice described. At the next relevant review, test the check-in or emergency arrangement and reassess tasks or settings not yet covered.</t>
        </is>
      </c>
      <c r="N299" s="38" t="inlineStr">
        <is>
          <t>Check whether changes in work, people or applicable requirements have made the original process less reliable.</t>
        </is>
      </c>
      <c r="O299" s="38" t="inlineStr">
        <is>
          <t>Retain the review outcome and act on any new exception. An unresolved live issue overrides this maintenance pathway.</t>
        </is>
      </c>
      <c r="P299" s="38" t="inlineStr">
        <is>
          <t>Maintain at the stated trigger; for a new low-priority improvement, plan within 90 days.</t>
        </is>
      </c>
      <c r="Q299" s="38" t="inlineStr">
        <is>
          <t>A current example of the practice and a proportionate recheck record. A documented work-setting review and tested communication/escalation arrangement.</t>
        </is>
      </c>
      <c r="R299" s="38" t="inlineStr">
        <is>
          <t>A documented work-setting review and tested communication/escalation arrangement.</t>
        </is>
      </c>
      <c r="S299" s="38" t="inlineStr">
        <is>
          <t>New work settings, host arrangements or a failed contact procedure.</t>
        </is>
      </c>
      <c r="T299" s="38" t="inlineStr">
        <is>
          <t>Safety lead / owner</t>
        </is>
      </c>
      <c r="U299" s="38" t="inlineStr">
        <is>
          <t>No further purchase is implied by this result. Seek support only for a material change, unresolved exception or chosen improvement.</t>
        </is>
      </c>
      <c r="V299" s="38" t="inlineStr">
        <is>
          <t>SAFETY</t>
        </is>
      </c>
      <c r="W299" s="38" t="inlineStr">
        <is>
          <t>A_B15</t>
        </is>
      </c>
      <c r="X299" s="38" t="inlineStr">
        <is>
          <t>S13;S11;DESIGN</t>
        </is>
      </c>
      <c r="Y299" s="38" t="inlineStr">
        <is>
          <t>https://www.safeworkaustralia.gov.au/safety-topic/managing-health-and-safety/identify-assess-and-control-hazards/managing-risks
https://www.safeworkaustralia.gov.au/safety-topic/managing-health-and-safety/mental-health/managing-risks/identifying-assessing-controlling-and-reviewing</t>
        </is>
      </c>
      <c r="Z299" s="38" t="inlineStr">
        <is>
          <t>Assuming the host workplace automatically manages every duty for the employer.</t>
        </is>
      </c>
    </row>
    <row r="300" ht="106" customHeight="1">
      <c r="A300" s="37" t="inlineStr">
        <is>
          <t>B15_DK</t>
        </is>
      </c>
      <c r="B300" s="37" t="inlineStr">
        <is>
          <t>B15</t>
        </is>
      </c>
      <c r="C300" s="37" t="inlineStr">
        <is>
          <t>DK</t>
        </is>
      </c>
      <c r="D300" s="37" t="inlineStr">
        <is>
          <t>I need to confirm this.</t>
        </is>
      </c>
      <c r="E300" s="37" t="inlineStr">
        <is>
          <t>Verify: extend safety checks beyond the main workplace</t>
        </is>
      </c>
      <c r="F300" s="37" t="inlineStr">
        <is>
          <t>This answer identifies a knowledge gap. It does not establish that the practice is missing, that harm has occurred or that a legal duty has been breached.</t>
        </is>
      </c>
      <c r="G300" s="37" t="inlineStr">
        <is>
          <t>Reliance on the worker or another site can leave foreseeable isolation, travel, aggression or communication risks unmanaged.</t>
        </is>
      </c>
      <c r="H300" s="37" t="inlineStr">
        <is>
          <t>Safety away from the main workplace</t>
        </is>
      </c>
      <c r="I300" s="48" t="n">
        <v>3</v>
      </c>
      <c r="J300" s="48" t="n">
        <v>0</v>
      </c>
      <c r="K300" s="48" t="n">
        <v>3</v>
      </c>
      <c r="L300" s="37" t="inlineStr">
        <is>
          <t>The risk is not rated from an unknown answer. Verification is High priority because: Reliance on the worker or another site can leave foreseeable isolation, travel, aggression or communication risks unmanaged.</t>
        </is>
      </c>
      <c r="M300" s="37" t="inlineStr">
        <is>
          <t>Ask the safety lead / owner to show a current example of the process and the evidence listed below. Confirm the answer before deciding what must be repaired.</t>
        </is>
      </c>
      <c r="N300" s="37" t="inlineStr">
        <is>
          <t>Compare the example with the established-practice description: We assess the actual work setting, agree responsibilities and test appropriate controls and communication.</t>
        </is>
      </c>
      <c r="O300" s="37" t="inlineStr">
        <is>
          <t>Record what was checked, by whom and when. If it remains unclear, keep the verification task open and agree any proportionate interim safeguard.</t>
        </is>
      </c>
      <c r="P300" s="37" t="inlineStr">
        <is>
          <t>Review or verify within two business days and before the next affected event if earlier. Do not wait where a duty or current harm requires earlier action.</t>
        </is>
      </c>
      <c r="Q300" s="37" t="inlineStr">
        <is>
          <t>A dated verification record, the supporting example, an updated answer and any remaining action. No automatic compliance conclusion.</t>
        </is>
      </c>
      <c r="R300" s="37" t="inlineStr">
        <is>
          <t>A documented work-setting review and tested communication/escalation arrangement.</t>
        </is>
      </c>
      <c r="S300" s="37" t="inlineStr">
        <is>
          <t>New work settings, host arrangements or a failed contact procedure.</t>
        </is>
      </c>
      <c r="T300" s="37" t="inlineStr">
        <is>
          <t>Safety lead / owner</t>
        </is>
      </c>
      <c r="U300" s="37" t="inlineStr">
        <is>
          <t>HR/return-to-work coordination and referral to a competent WHS or insurance specialist where needed.</t>
        </is>
      </c>
      <c r="V300" s="37" t="inlineStr">
        <is>
          <t>SAFETY</t>
        </is>
      </c>
      <c r="W300" s="37" t="inlineStr">
        <is>
          <t>A_B15</t>
        </is>
      </c>
      <c r="X300" s="37" t="inlineStr">
        <is>
          <t>S13;S11;DESIGN</t>
        </is>
      </c>
      <c r="Y300" s="37" t="inlineStr">
        <is>
          <t>https://www.safeworkaustralia.gov.au/safety-topic/managing-health-and-safety/identify-assess-and-control-hazards/managing-risks
https://www.safeworkaustralia.gov.au/safety-topic/managing-health-and-safety/mental-health/managing-risks/identifying-assessing-controlling-and-reviewing</t>
        </is>
      </c>
      <c r="Z300" s="37" t="inlineStr">
        <is>
          <t>Assuming the host workplace automatically manages every duty for the employer.</t>
        </is>
      </c>
    </row>
    <row r="301" ht="76" customHeight="1">
      <c r="A301" s="38" t="inlineStr">
        <is>
          <t>B16_0</t>
        </is>
      </c>
      <c r="B301" s="38" t="inlineStr">
        <is>
          <t>B16</t>
        </is>
      </c>
      <c r="C301" s="49" t="n">
        <v>0</v>
      </c>
      <c r="D301" s="38" t="inlineStr">
        <is>
          <t>We have not checked whether reporting is required.</t>
        </is>
      </c>
      <c r="E301" s="38" t="inlineStr">
        <is>
          <t>Check the reporting scope at organisation and group level</t>
        </is>
      </c>
      <c r="F301" s="38" t="inlineStr">
        <is>
          <t>The selected response reports a missing or unestablished element. Confirm the affected arrangements before drawing a conclusion about any actual breach or harm.</t>
        </is>
      </c>
      <c r="G301" s="38" t="inlineStr">
        <is>
          <t>An incorrect group or eligibility assumption can leave a reporting obligation without a responsible owner.</t>
        </is>
      </c>
      <c r="H301" s="38" t="inlineStr">
        <is>
          <t>Reporting and governance</t>
        </is>
      </c>
      <c r="I301" s="49" t="n">
        <v>2</v>
      </c>
      <c r="J301" s="49" t="n">
        <v>2</v>
      </c>
      <c r="K301" s="49" t="n">
        <v>2</v>
      </c>
      <c r="L301" s="38" t="inlineStr">
        <is>
          <t>Medium provisional concern: a material practice needs improvement. An incorrect group or eligibility assumption can leave a reporting obligation without a responsible owner.</t>
        </is>
      </c>
      <c r="M301" s="38" t="inlineStr">
        <is>
          <t>Confirm eligibility, past reporting status and relevant group structure with current WGEA guidance. Allocate reporting responsibilities and key dates.</t>
        </is>
      </c>
      <c r="N301" s="38" t="inlineStr">
        <is>
          <t>Confirm the organisation and group scope using the relevant reporting rules and history.</t>
        </is>
      </c>
      <c r="O301" s="38" t="inlineStr">
        <is>
          <t>Allocate required submissions and follow-up actions and retain evidence of completion.</t>
        </is>
      </c>
      <c r="P301" s="38" t="inlineStr">
        <is>
          <t>Agree an owner and plan within 30 days, or before the next affected event if earlier.</t>
        </is>
      </c>
      <c r="Q301" s="38" t="inlineStr">
        <is>
          <t>An eligibility and reporting-scope record, with evidence of any required lodgement and follow-up. Confirm that the change works in practice, not only that a document exists.</t>
        </is>
      </c>
      <c r="R301" s="38" t="inlineStr">
        <is>
          <t>An eligibility and reporting-scope record, with evidence of any required lodgement and follow-up.</t>
        </is>
      </c>
      <c r="S301" s="38" t="inlineStr">
        <is>
          <t>Changed headcount, corporate structure, reporting history or reporting rules.</t>
        </is>
      </c>
      <c r="T301" s="38" t="inlineStr">
        <is>
          <t>Business leader</t>
        </is>
      </c>
      <c r="U301" s="38" t="inlineStr">
        <is>
          <t>Employee listening, retention diagnosis and accountable leadership practices.</t>
        </is>
      </c>
      <c r="V301" s="38" t="inlineStr">
        <is>
          <t>GOVERNANCE</t>
        </is>
      </c>
      <c r="W301" s="38" t="inlineStr">
        <is>
          <t>A_B16</t>
        </is>
      </c>
      <c r="X301" s="38" t="inlineStr">
        <is>
          <t>S18;S19;DESIGN</t>
        </is>
      </c>
      <c r="Y301" s="38" t="inlineStr">
        <is>
          <t>https://www.wgea.gov.au/reporting/reporting-guide/eligibility
https://www.wgea.gov.au/reporting/reporting-guide/corporate-structures</t>
        </is>
      </c>
      <c r="Z301" s="38" t="inlineStr">
        <is>
          <t>Using the Fair Work small-business count as the reporting eligibility test.</t>
        </is>
      </c>
    </row>
    <row r="302" ht="76" customHeight="1">
      <c r="A302" s="37" t="inlineStr">
        <is>
          <t>B16_1</t>
        </is>
      </c>
      <c r="B302" s="37" t="inlineStr">
        <is>
          <t>B16</t>
        </is>
      </c>
      <c r="C302" s="48" t="n">
        <v>1</v>
      </c>
      <c r="D302" s="37" t="inlineStr">
        <is>
          <t>We assume the individual business is too small or that another entity manages it.</t>
        </is>
      </c>
      <c r="E302" s="37" t="inlineStr">
        <is>
          <t>Check the reporting scope at organisation and group level</t>
        </is>
      </c>
      <c r="F302" s="37" t="inlineStr">
        <is>
          <t>The selected response relies on assumptions, informal decisions or an inconsistent process. The action is to make the relevant check reliable in routine work.</t>
        </is>
      </c>
      <c r="G302" s="37" t="inlineStr">
        <is>
          <t>An incorrect group or eligibility assumption can leave a reporting obligation without a responsible owner.</t>
        </is>
      </c>
      <c r="H302" s="37" t="inlineStr">
        <is>
          <t>Reporting and governance</t>
        </is>
      </c>
      <c r="I302" s="48" t="n">
        <v>2</v>
      </c>
      <c r="J302" s="48" t="n">
        <v>2</v>
      </c>
      <c r="K302" s="48" t="n">
        <v>2</v>
      </c>
      <c r="L302" s="37" t="inlineStr">
        <is>
          <t>Medium provisional concern: a material practice needs improvement. An incorrect group or eligibility assumption can leave a reporting obligation without a responsible owner.</t>
        </is>
      </c>
      <c r="M302" s="37" t="inlineStr">
        <is>
          <t>Replace the assumption with a current check. Confirm eligibility, past reporting status and relevant group structure with current WGEA guidance. Allocate reporting responsibilities and key dates.</t>
        </is>
      </c>
      <c r="N302" s="37" t="inlineStr">
        <is>
          <t>Confirm the organisation and group scope using the relevant reporting rules and history.</t>
        </is>
      </c>
      <c r="O302" s="37" t="inlineStr">
        <is>
          <t>Allocate required submissions and follow-up actions and retain evidence of completion.</t>
        </is>
      </c>
      <c r="P302" s="37" t="inlineStr">
        <is>
          <t>Agree an owner and plan within 30 days, or before the next affected event if earlier.</t>
        </is>
      </c>
      <c r="Q302" s="37" t="inlineStr">
        <is>
          <t>An eligibility and reporting-scope record, with evidence of any required lodgement and follow-up. Confirm that the change works in practice, not only that a document exists.</t>
        </is>
      </c>
      <c r="R302" s="37" t="inlineStr">
        <is>
          <t>An eligibility and reporting-scope record, with evidence of any required lodgement and follow-up.</t>
        </is>
      </c>
      <c r="S302" s="37" t="inlineStr">
        <is>
          <t>Changed headcount, corporate structure, reporting history or reporting rules.</t>
        </is>
      </c>
      <c r="T302" s="37" t="inlineStr">
        <is>
          <t>Business leader</t>
        </is>
      </c>
      <c r="U302" s="37" t="inlineStr">
        <is>
          <t>Employee listening, retention diagnosis and accountable leadership practices.</t>
        </is>
      </c>
      <c r="V302" s="37" t="inlineStr">
        <is>
          <t>GOVERNANCE</t>
        </is>
      </c>
      <c r="W302" s="37" t="inlineStr">
        <is>
          <t>A_B16</t>
        </is>
      </c>
      <c r="X302" s="37" t="inlineStr">
        <is>
          <t>S18;S19;DESIGN</t>
        </is>
      </c>
      <c r="Y302" s="37" t="inlineStr">
        <is>
          <t>https://www.wgea.gov.au/reporting/reporting-guide/eligibility
https://www.wgea.gov.au/reporting/reporting-guide/corporate-structures</t>
        </is>
      </c>
      <c r="Z302" s="37" t="inlineStr">
        <is>
          <t>Using the Fair Work small-business count as the reporting eligibility test.</t>
        </is>
      </c>
    </row>
    <row r="303" ht="76" customHeight="1">
      <c r="A303" s="38" t="inlineStr">
        <is>
          <t>B16_2</t>
        </is>
      </c>
      <c r="B303" s="38" t="inlineStr">
        <is>
          <t>B16</t>
        </is>
      </c>
      <c r="C303" s="49" t="n">
        <v>2</v>
      </c>
      <c r="D303" s="38" t="inlineStr">
        <is>
          <t>We have checked eligibility, but registration, reporting or follow-up responsibilities are unclear.</t>
        </is>
      </c>
      <c r="E303" s="38" t="inlineStr">
        <is>
          <t>Complete the remaining check: check the reporting scope at organisation and group level</t>
        </is>
      </c>
      <c r="F303" s="38" t="inlineStr">
        <is>
          <t>The selected response identifies an incomplete element within an existing practice. Keep what works and target the unresolved part; the stronger elements do not cancel the gap.</t>
        </is>
      </c>
      <c r="G303" s="38" t="inlineStr">
        <is>
          <t>An incorrect group or eligibility assumption can leave a reporting obligation without a responsible owner.</t>
        </is>
      </c>
      <c r="H303" s="38" t="inlineStr">
        <is>
          <t>Reporting and governance</t>
        </is>
      </c>
      <c r="I303" s="49" t="n">
        <v>2</v>
      </c>
      <c r="J303" s="49" t="n">
        <v>2</v>
      </c>
      <c r="K303" s="49" t="n">
        <v>2</v>
      </c>
      <c r="L303" s="38" t="inlineStr">
        <is>
          <t>Medium provisional concern: a material practice needs improvement. An incorrect group or eligibility assumption can leave a reporting obligation without a responsible owner.</t>
        </is>
      </c>
      <c r="M303" s="38" t="inlineStr">
        <is>
          <t>Focus on the unresolved arrangements or exceptions. Confirm eligibility, past reporting status and relevant group structure with current WGEA guidance. Allocate reporting responsibilities and key dates.</t>
        </is>
      </c>
      <c r="N303" s="38" t="inlineStr">
        <is>
          <t>Confirm the organisation and group scope using the relevant reporting rules and history.</t>
        </is>
      </c>
      <c r="O303" s="38" t="inlineStr">
        <is>
          <t>Allocate required submissions and follow-up actions and retain evidence of completion.</t>
        </is>
      </c>
      <c r="P303" s="38" t="inlineStr">
        <is>
          <t>Agree an owner and plan within 30 days, or before the next affected event if earlier.</t>
        </is>
      </c>
      <c r="Q303" s="38" t="inlineStr">
        <is>
          <t>An eligibility and reporting-scope record, with evidence of any required lodgement and follow-up. Confirm that the change works in practice, not only that a document exists.</t>
        </is>
      </c>
      <c r="R303" s="38" t="inlineStr">
        <is>
          <t>An eligibility and reporting-scope record, with evidence of any required lodgement and follow-up.</t>
        </is>
      </c>
      <c r="S303" s="38" t="inlineStr">
        <is>
          <t>Changed headcount, corporate structure, reporting history or reporting rules.</t>
        </is>
      </c>
      <c r="T303" s="38" t="inlineStr">
        <is>
          <t>Business leader</t>
        </is>
      </c>
      <c r="U303" s="38" t="inlineStr">
        <is>
          <t>Employee listening, retention diagnosis and accountable leadership practices.</t>
        </is>
      </c>
      <c r="V303" s="38" t="inlineStr">
        <is>
          <t>GOVERNANCE</t>
        </is>
      </c>
      <c r="W303" s="38" t="inlineStr">
        <is>
          <t>A_B16</t>
        </is>
      </c>
      <c r="X303" s="38" t="inlineStr">
        <is>
          <t>S18;S19;DESIGN</t>
        </is>
      </c>
      <c r="Y303" s="38" t="inlineStr">
        <is>
          <t>https://www.wgea.gov.au/reporting/reporting-guide/eligibility
https://www.wgea.gov.au/reporting/reporting-guide/corporate-structures</t>
        </is>
      </c>
      <c r="Z303" s="38" t="inlineStr">
        <is>
          <t>Using the Fair Work small-business count as the reporting eligibility test.</t>
        </is>
      </c>
    </row>
    <row r="304" ht="76" customHeight="1">
      <c r="A304" s="37" t="inlineStr">
        <is>
          <t>B16_3</t>
        </is>
      </c>
      <c r="B304" s="37" t="inlineStr">
        <is>
          <t>B16</t>
        </is>
      </c>
      <c r="C304" s="48" t="n">
        <v>3</v>
      </c>
      <c r="D304" s="37" t="inlineStr">
        <is>
          <t>We have documented eligibility and group scope, with clear responsibility for any required reporting and related actions.</t>
        </is>
      </c>
      <c r="E304" s="37" t="inlineStr">
        <is>
          <t>Maintain and test: check the reporting scope at organisation and group level</t>
        </is>
      </c>
      <c r="F304" s="37" t="inlineStr">
        <is>
          <t>The selected response reports an established and checked practice. The tool has not inspected the evidence and cannot certify the absence of risk.</t>
        </is>
      </c>
      <c r="G304" s="37" t="inlineStr">
        <is>
          <t>An incorrect group or eligibility assumption can leave a reporting obligation without a responsible owner.</t>
        </is>
      </c>
      <c r="H304" s="37" t="inlineStr">
        <is>
          <t>Reporting and governance</t>
        </is>
      </c>
      <c r="I304" s="48" t="n">
        <v>2</v>
      </c>
      <c r="J304" s="48" t="n">
        <v>1</v>
      </c>
      <c r="K304" s="48" t="n">
        <v>1</v>
      </c>
      <c r="L304" s="37" t="inlineStr">
        <is>
          <t>Lower reported concern, not a finding of no risk. The assumed controls are self-reported; a current incident, contrary evidence or failed control takes precedence.</t>
        </is>
      </c>
      <c r="M304" s="37" t="inlineStr">
        <is>
          <t>Maintain the practice described. At the next relevant review, allocate required submissions and follow-up actions and retain evidence of completion.</t>
        </is>
      </c>
      <c r="N304" s="37" t="inlineStr">
        <is>
          <t>Check whether changes in work, people or applicable requirements have made the original process less reliable.</t>
        </is>
      </c>
      <c r="O304" s="37" t="inlineStr">
        <is>
          <t>Retain the review outcome and act on any new exception. An unresolved live issue overrides this maintenance pathway.</t>
        </is>
      </c>
      <c r="P304" s="37" t="inlineStr">
        <is>
          <t>Maintain at the stated trigger; for a new low-priority improvement, plan within 90 days.</t>
        </is>
      </c>
      <c r="Q304" s="37" t="inlineStr">
        <is>
          <t>A current example of the practice and a proportionate recheck record. An eligibility and reporting-scope record, with evidence of any required lodgement and follow-up.</t>
        </is>
      </c>
      <c r="R304" s="37" t="inlineStr">
        <is>
          <t>An eligibility and reporting-scope record, with evidence of any required lodgement and follow-up.</t>
        </is>
      </c>
      <c r="S304" s="37" t="inlineStr">
        <is>
          <t>Changed headcount, corporate structure, reporting history or reporting rules.</t>
        </is>
      </c>
      <c r="T304" s="37" t="inlineStr">
        <is>
          <t>Business leader</t>
        </is>
      </c>
      <c r="U304" s="37" t="inlineStr">
        <is>
          <t>No further purchase is implied by this result. Seek support only for a material change, unresolved exception or chosen improvement.</t>
        </is>
      </c>
      <c r="V304" s="37" t="inlineStr">
        <is>
          <t>GOVERNANCE</t>
        </is>
      </c>
      <c r="W304" s="37" t="inlineStr">
        <is>
          <t>A_B16</t>
        </is>
      </c>
      <c r="X304" s="37" t="inlineStr">
        <is>
          <t>S18;S19;DESIGN</t>
        </is>
      </c>
      <c r="Y304" s="37" t="inlineStr">
        <is>
          <t>https://www.wgea.gov.au/reporting/reporting-guide/eligibility
https://www.wgea.gov.au/reporting/reporting-guide/corporate-structures</t>
        </is>
      </c>
      <c r="Z304" s="37" t="inlineStr">
        <is>
          <t>Using the Fair Work small-business count as the reporting eligibility test.</t>
        </is>
      </c>
    </row>
    <row r="305" ht="76" customHeight="1">
      <c r="A305" s="38" t="inlineStr">
        <is>
          <t>B16_DK</t>
        </is>
      </c>
      <c r="B305" s="38" t="inlineStr">
        <is>
          <t>B16</t>
        </is>
      </c>
      <c r="C305" s="38" t="inlineStr">
        <is>
          <t>DK</t>
        </is>
      </c>
      <c r="D305" s="38" t="inlineStr">
        <is>
          <t>I need to confirm this.</t>
        </is>
      </c>
      <c r="E305" s="38" t="inlineStr">
        <is>
          <t>Verify: check the reporting scope at organisation and group level</t>
        </is>
      </c>
      <c r="F305" s="38" t="inlineStr">
        <is>
          <t>This answer identifies a knowledge gap. It does not establish that the practice is missing, that harm has occurred or that a legal duty has been breached.</t>
        </is>
      </c>
      <c r="G305" s="38" t="inlineStr">
        <is>
          <t>An incorrect group or eligibility assumption can leave a reporting obligation without a responsible owner.</t>
        </is>
      </c>
      <c r="H305" s="38" t="inlineStr">
        <is>
          <t>Reporting and governance</t>
        </is>
      </c>
      <c r="I305" s="49" t="n">
        <v>2</v>
      </c>
      <c r="J305" s="49" t="n">
        <v>0</v>
      </c>
      <c r="K305" s="49" t="n">
        <v>2</v>
      </c>
      <c r="L305" s="38" t="inlineStr">
        <is>
          <t>The risk is not rated from an unknown answer. Verification is Medium priority because: An incorrect group or eligibility assumption can leave a reporting obligation without a responsible owner.</t>
        </is>
      </c>
      <c r="M305" s="38" t="inlineStr">
        <is>
          <t>Ask the business leader to show a current example of the process and the evidence listed below. Confirm the answer before deciding what must be repaired.</t>
        </is>
      </c>
      <c r="N305" s="38" t="inlineStr">
        <is>
          <t>Compare the example with the established-practice description: We have documented eligibility and group scope, with clear responsibility for any required reporting and related actions.</t>
        </is>
      </c>
      <c r="O305" s="38" t="inlineStr">
        <is>
          <t>Record what was checked, by whom and when. If it remains unclear, keep the verification task open and agree any proportionate interim safeguard.</t>
        </is>
      </c>
      <c r="P305" s="38" t="inlineStr">
        <is>
          <t>Agree an owner and plan within 30 days, or before the next affected event if earlier.</t>
        </is>
      </c>
      <c r="Q305" s="38" t="inlineStr">
        <is>
          <t>A dated verification record, the supporting example, an updated answer and any remaining action. No automatic compliance conclusion.</t>
        </is>
      </c>
      <c r="R305" s="38" t="inlineStr">
        <is>
          <t>An eligibility and reporting-scope record, with evidence of any required lodgement and follow-up.</t>
        </is>
      </c>
      <c r="S305" s="38" t="inlineStr">
        <is>
          <t>Changed headcount, corporate structure, reporting history or reporting rules.</t>
        </is>
      </c>
      <c r="T305" s="38" t="inlineStr">
        <is>
          <t>Business leader</t>
        </is>
      </c>
      <c r="U305" s="38" t="inlineStr">
        <is>
          <t>Employee listening, retention diagnosis and accountable leadership practices.</t>
        </is>
      </c>
      <c r="V305" s="38" t="inlineStr">
        <is>
          <t>GOVERNANCE</t>
        </is>
      </c>
      <c r="W305" s="38" t="inlineStr">
        <is>
          <t>A_B16</t>
        </is>
      </c>
      <c r="X305" s="38" t="inlineStr">
        <is>
          <t>S18;S19;DESIGN</t>
        </is>
      </c>
      <c r="Y305" s="38" t="inlineStr">
        <is>
          <t>https://www.wgea.gov.au/reporting/reporting-guide/eligibility
https://www.wgea.gov.au/reporting/reporting-guide/corporate-structures</t>
        </is>
      </c>
      <c r="Z305" s="38" t="inlineStr">
        <is>
          <t>Using the Fair Work small-business count as the reporting eligibility test.</t>
        </is>
      </c>
    </row>
    <row r="306" ht="91" customHeight="1">
      <c r="A306" s="37" t="inlineStr">
        <is>
          <t>B17_0</t>
        </is>
      </c>
      <c r="B306" s="37" t="inlineStr">
        <is>
          <t>B17</t>
        </is>
      </c>
      <c r="C306" s="48" t="n">
        <v>0</v>
      </c>
      <c r="D306" s="37" t="inlineStr">
        <is>
          <t>We treat redundancy as a straightforward way to remove a role or person.</t>
        </is>
      </c>
      <c r="E306" s="37" t="inlineStr">
        <is>
          <t>Test the redundancy process, not only the payment</t>
        </is>
      </c>
      <c r="F306" s="37" t="inlineStr">
        <is>
          <t>The selected response reports a missing or unestablished element. Confirm the affected arrangements before drawing a conclusion about any actual breach or harm.</t>
        </is>
      </c>
      <c r="G306" s="37" t="inlineStr">
        <is>
          <t>A payment calculation does not establish a genuine redundancy or a sound selection, consultation and redeployment process.</t>
        </is>
      </c>
      <c r="H306" s="37" t="inlineStr">
        <is>
          <t>Restructure and redundancy decisions</t>
        </is>
      </c>
      <c r="I306" s="48" t="n">
        <v>3</v>
      </c>
      <c r="J306" s="48" t="n">
        <v>3</v>
      </c>
      <c r="K306" s="48" t="n">
        <v>3</v>
      </c>
      <c r="L306" s="37" t="inlineStr">
        <is>
          <t>High provisional concern: an essential element remains unresolved. A payment calculation does not establish a genuine redundancy or a sound selection, consultation and redeployment process.</t>
        </is>
      </c>
      <c r="M306" s="37" t="inlineStr">
        <is>
          <t>Obtain a pre-decision review of the proposed structure, rationale, consultation and redeployment steps, and applicable payments.</t>
        </is>
      </c>
      <c r="N306" s="37" t="inlineStr">
        <is>
          <t>Document the operational proposal and check the relevant consultation, selection, redeployment and entitlement requirements.</t>
        </is>
      </c>
      <c r="O306" s="37" t="inlineStr">
        <is>
          <t>Review the decision trail and unresolved alternatives before communicating an employment-ending decision.</t>
        </is>
      </c>
      <c r="P306" s="37" t="inlineStr">
        <is>
          <t>Review or verify within two business days and before the next affected event if earlier. Do not wait where a duty or current harm requires earlier action.</t>
        </is>
      </c>
      <c r="Q306" s="37" t="inlineStr">
        <is>
          <t>A supported redundancy plan and decision record prepared at the appropriate stage of the process. Confirm that the change works in practice, not only that a document exists.</t>
        </is>
      </c>
      <c r="R306" s="37" t="inlineStr">
        <is>
          <t>A supported redundancy plan and decision record prepared at the appropriate stage of the process.</t>
        </is>
      </c>
      <c r="S306" s="37" t="inlineStr">
        <is>
          <t>Any proposed role removal or material restructure.</t>
        </is>
      </c>
      <c r="T306" s="37" t="inlineStr">
        <is>
          <t>Owner / HR lead</t>
        </is>
      </c>
      <c r="U306" s="37" t="inlineStr">
        <is>
          <t>Pre-decision HR review, final-pay coordination and legal referral where the matter requires it.</t>
        </is>
      </c>
      <c r="V306" s="37" t="inlineStr">
        <is>
          <t>FAIR_DECISIONS</t>
        </is>
      </c>
      <c r="W306" s="37" t="inlineStr">
        <is>
          <t>A_B17</t>
        </is>
      </c>
      <c r="X306" s="37" t="inlineStr">
        <is>
          <t>S02;S25;S26;DESIGN</t>
        </is>
      </c>
      <c r="Y306" s="37" t="inlineStr">
        <is>
          <t>https://www.fairwork.gov.au/taxonomy/term/527
https://www.fairwork.gov.au/tools-and-resources/best-practice-guides/consultation-and-cooperation-in-the-workplace
https://www.fairwork.gov.au/tools-and-resources/fact-sheets/minimum-workplace-entitlements/ending-employment</t>
        </is>
      </c>
      <c r="Z306" s="37" t="inlineStr">
        <is>
          <t>Using redundancy as a substitute for addressing a performance or conduct concern.</t>
        </is>
      </c>
    </row>
    <row r="307" ht="91" customHeight="1">
      <c r="A307" s="38" t="inlineStr">
        <is>
          <t>B17_1</t>
        </is>
      </c>
      <c r="B307" s="38" t="inlineStr">
        <is>
          <t>B17</t>
        </is>
      </c>
      <c r="C307" s="49" t="n">
        <v>1</v>
      </c>
      <c r="D307" s="38" t="inlineStr">
        <is>
          <t>We check the payment, but not all the operational and procedural requirements.</t>
        </is>
      </c>
      <c r="E307" s="38" t="inlineStr">
        <is>
          <t>Test the redundancy process, not only the payment</t>
        </is>
      </c>
      <c r="F307" s="38" t="inlineStr">
        <is>
          <t>The selected response relies on assumptions, informal decisions or an inconsistent process. The action is to make the relevant check reliable in routine work.</t>
        </is>
      </c>
      <c r="G307" s="38" t="inlineStr">
        <is>
          <t>A payment calculation does not establish a genuine redundancy or a sound selection, consultation and redeployment process.</t>
        </is>
      </c>
      <c r="H307" s="38" t="inlineStr">
        <is>
          <t>Restructure and redundancy decisions</t>
        </is>
      </c>
      <c r="I307" s="49" t="n">
        <v>3</v>
      </c>
      <c r="J307" s="49" t="n">
        <v>3</v>
      </c>
      <c r="K307" s="49" t="n">
        <v>3</v>
      </c>
      <c r="L307" s="38" t="inlineStr">
        <is>
          <t>High provisional concern: an essential element remains unresolved. A payment calculation does not establish a genuine redundancy or a sound selection, consultation and redeployment process.</t>
        </is>
      </c>
      <c r="M307" s="38" t="inlineStr">
        <is>
          <t>Replace the assumption with a current check. Obtain a pre-decision review of the proposed structure, rationale, consultation and redeployment steps, and applicable payments.</t>
        </is>
      </c>
      <c r="N307" s="38" t="inlineStr">
        <is>
          <t>Document the operational proposal and check the relevant consultation, selection, redeployment and entitlement requirements.</t>
        </is>
      </c>
      <c r="O307" s="38" t="inlineStr">
        <is>
          <t>Review the decision trail and unresolved alternatives before communicating an employment-ending decision.</t>
        </is>
      </c>
      <c r="P307" s="38" t="inlineStr">
        <is>
          <t>Review or verify within two business days and before the next affected event if earlier. Do not wait where a duty or current harm requires earlier action.</t>
        </is>
      </c>
      <c r="Q307" s="38" t="inlineStr">
        <is>
          <t>A supported redundancy plan and decision record prepared at the appropriate stage of the process. Confirm that the change works in practice, not only that a document exists.</t>
        </is>
      </c>
      <c r="R307" s="38" t="inlineStr">
        <is>
          <t>A supported redundancy plan and decision record prepared at the appropriate stage of the process.</t>
        </is>
      </c>
      <c r="S307" s="38" t="inlineStr">
        <is>
          <t>Any proposed role removal or material restructure.</t>
        </is>
      </c>
      <c r="T307" s="38" t="inlineStr">
        <is>
          <t>Owner / HR lead</t>
        </is>
      </c>
      <c r="U307" s="38" t="inlineStr">
        <is>
          <t>Pre-decision HR review, final-pay coordination and legal referral where the matter requires it.</t>
        </is>
      </c>
      <c r="V307" s="38" t="inlineStr">
        <is>
          <t>FAIR_DECISIONS</t>
        </is>
      </c>
      <c r="W307" s="38" t="inlineStr">
        <is>
          <t>A_B17</t>
        </is>
      </c>
      <c r="X307" s="38" t="inlineStr">
        <is>
          <t>S02;S25;S26;DESIGN</t>
        </is>
      </c>
      <c r="Y307" s="38" t="inlineStr">
        <is>
          <t>https://www.fairwork.gov.au/taxonomy/term/527
https://www.fairwork.gov.au/tools-and-resources/best-practice-guides/consultation-and-cooperation-in-the-workplace
https://www.fairwork.gov.au/tools-and-resources/fact-sheets/minimum-workplace-entitlements/ending-employment</t>
        </is>
      </c>
      <c r="Z307" s="38" t="inlineStr">
        <is>
          <t>Using redundancy as a substitute for addressing a performance or conduct concern.</t>
        </is>
      </c>
    </row>
    <row r="308" ht="91" customHeight="1">
      <c r="A308" s="37" t="inlineStr">
        <is>
          <t>B17_2</t>
        </is>
      </c>
      <c r="B308" s="37" t="inlineStr">
        <is>
          <t>B17</t>
        </is>
      </c>
      <c r="C308" s="48" t="n">
        <v>2</v>
      </c>
      <c r="D308" s="37" t="inlineStr">
        <is>
          <t>We review some requirements, but consultation, redeployment or decision evidence needs work.</t>
        </is>
      </c>
      <c r="E308" s="37" t="inlineStr">
        <is>
          <t>Complete the remaining check: test the redundancy process, not only the payment</t>
        </is>
      </c>
      <c r="F308" s="37" t="inlineStr">
        <is>
          <t>The selected response identifies an incomplete element within an existing practice. Keep what works and target the unresolved part; the stronger elements do not cancel the gap.</t>
        </is>
      </c>
      <c r="G308" s="37" t="inlineStr">
        <is>
          <t>A payment calculation does not establish a genuine redundancy or a sound selection, consultation and redeployment process.</t>
        </is>
      </c>
      <c r="H308" s="37" t="inlineStr">
        <is>
          <t>Restructure and redundancy decisions</t>
        </is>
      </c>
      <c r="I308" s="48" t="n">
        <v>3</v>
      </c>
      <c r="J308" s="48" t="n">
        <v>3</v>
      </c>
      <c r="K308" s="48" t="n">
        <v>3</v>
      </c>
      <c r="L308" s="37" t="inlineStr">
        <is>
          <t>High provisional concern: an essential element remains unresolved. A payment calculation does not establish a genuine redundancy or a sound selection, consultation and redeployment process.</t>
        </is>
      </c>
      <c r="M308" s="37" t="inlineStr">
        <is>
          <t>Focus on the unresolved arrangements or exceptions. Obtain a pre-decision review of the proposed structure, rationale, consultation and redeployment steps, and applicable payments.</t>
        </is>
      </c>
      <c r="N308" s="37" t="inlineStr">
        <is>
          <t>Document the operational proposal and check the relevant consultation, selection, redeployment and entitlement requirements.</t>
        </is>
      </c>
      <c r="O308" s="37" t="inlineStr">
        <is>
          <t>Review the decision trail and unresolved alternatives before communicating an employment-ending decision.</t>
        </is>
      </c>
      <c r="P308" s="37" t="inlineStr">
        <is>
          <t>Review or verify within two business days and before the next affected event if earlier. Do not wait where a duty or current harm requires earlier action.</t>
        </is>
      </c>
      <c r="Q308" s="37" t="inlineStr">
        <is>
          <t>A supported redundancy plan and decision record prepared at the appropriate stage of the process. Confirm that the change works in practice, not only that a document exists.</t>
        </is>
      </c>
      <c r="R308" s="37" t="inlineStr">
        <is>
          <t>A supported redundancy plan and decision record prepared at the appropriate stage of the process.</t>
        </is>
      </c>
      <c r="S308" s="37" t="inlineStr">
        <is>
          <t>Any proposed role removal or material restructure.</t>
        </is>
      </c>
      <c r="T308" s="37" t="inlineStr">
        <is>
          <t>Owner / HR lead</t>
        </is>
      </c>
      <c r="U308" s="37" t="inlineStr">
        <is>
          <t>Pre-decision HR review, final-pay coordination and legal referral where the matter requires it.</t>
        </is>
      </c>
      <c r="V308" s="37" t="inlineStr">
        <is>
          <t>FAIR_DECISIONS</t>
        </is>
      </c>
      <c r="W308" s="37" t="inlineStr">
        <is>
          <t>A_B17</t>
        </is>
      </c>
      <c r="X308" s="37" t="inlineStr">
        <is>
          <t>S02;S25;S26;DESIGN</t>
        </is>
      </c>
      <c r="Y308" s="37" t="inlineStr">
        <is>
          <t>https://www.fairwork.gov.au/taxonomy/term/527
https://www.fairwork.gov.au/tools-and-resources/best-practice-guides/consultation-and-cooperation-in-the-workplace
https://www.fairwork.gov.au/tools-and-resources/fact-sheets/minimum-workplace-entitlements/ending-employment</t>
        </is>
      </c>
      <c r="Z308" s="37" t="inlineStr">
        <is>
          <t>Using redundancy as a substitute for addressing a performance or conduct concern.</t>
        </is>
      </c>
    </row>
    <row r="309" ht="91" customHeight="1">
      <c r="A309" s="38" t="inlineStr">
        <is>
          <t>B17_3</t>
        </is>
      </c>
      <c r="B309" s="38" t="inlineStr">
        <is>
          <t>B17</t>
        </is>
      </c>
      <c r="C309" s="49" t="n">
        <v>3</v>
      </c>
      <c r="D309" s="38" t="inlineStr">
        <is>
          <t>We document the genuine change and check consultation, redeployment, selection and entitlements before proceeding.</t>
        </is>
      </c>
      <c r="E309" s="38" t="inlineStr">
        <is>
          <t>Maintain and test: test the redundancy process, not only the payment</t>
        </is>
      </c>
      <c r="F309" s="38" t="inlineStr">
        <is>
          <t>The selected response reports an established and checked practice. The tool has not inspected the evidence and cannot certify the absence of risk.</t>
        </is>
      </c>
      <c r="G309" s="38" t="inlineStr">
        <is>
          <t>A payment calculation does not establish a genuine redundancy or a sound selection, consultation and redeployment process.</t>
        </is>
      </c>
      <c r="H309" s="38" t="inlineStr">
        <is>
          <t>Restructure and redundancy decisions</t>
        </is>
      </c>
      <c r="I309" s="49" t="n">
        <v>3</v>
      </c>
      <c r="J309" s="49" t="n">
        <v>1</v>
      </c>
      <c r="K309" s="49" t="n">
        <v>1</v>
      </c>
      <c r="L309" s="38" t="inlineStr">
        <is>
          <t>Lower reported concern, not a finding of no risk. The assumed controls are self-reported; a current incident, contrary evidence or failed control takes precedence.</t>
        </is>
      </c>
      <c r="M309" s="38" t="inlineStr">
        <is>
          <t>Maintain the practice described. At the next relevant review, review the decision trail and unresolved alternatives before communicating an employment-ending decision.</t>
        </is>
      </c>
      <c r="N309" s="38" t="inlineStr">
        <is>
          <t>Check whether changes in work, people or applicable requirements have made the original process less reliable.</t>
        </is>
      </c>
      <c r="O309" s="38" t="inlineStr">
        <is>
          <t>Retain the review outcome and act on any new exception. An unresolved live issue overrides this maintenance pathway.</t>
        </is>
      </c>
      <c r="P309" s="38" t="inlineStr">
        <is>
          <t>Maintain at the stated trigger; for a new low-priority improvement, plan within 90 days.</t>
        </is>
      </c>
      <c r="Q309" s="38" t="inlineStr">
        <is>
          <t>A current example of the practice and a proportionate recheck record. A supported redundancy plan and decision record prepared at the appropriate stage of the process.</t>
        </is>
      </c>
      <c r="R309" s="38" t="inlineStr">
        <is>
          <t>A supported redundancy plan and decision record prepared at the appropriate stage of the process.</t>
        </is>
      </c>
      <c r="S309" s="38" t="inlineStr">
        <is>
          <t>Any proposed role removal or material restructure.</t>
        </is>
      </c>
      <c r="T309" s="38" t="inlineStr">
        <is>
          <t>Owner / HR lead</t>
        </is>
      </c>
      <c r="U309" s="38" t="inlineStr">
        <is>
          <t>No further purchase is implied by this result. Seek support only for a material change, unresolved exception or chosen improvement.</t>
        </is>
      </c>
      <c r="V309" s="38" t="inlineStr">
        <is>
          <t>FAIR_DECISIONS</t>
        </is>
      </c>
      <c r="W309" s="38" t="inlineStr">
        <is>
          <t>A_B17</t>
        </is>
      </c>
      <c r="X309" s="38" t="inlineStr">
        <is>
          <t>S02;S25;S26;DESIGN</t>
        </is>
      </c>
      <c r="Y309" s="38" t="inlineStr">
        <is>
          <t>https://www.fairwork.gov.au/taxonomy/term/527
https://www.fairwork.gov.au/tools-and-resources/best-practice-guides/consultation-and-cooperation-in-the-workplace
https://www.fairwork.gov.au/tools-and-resources/fact-sheets/minimum-workplace-entitlements/ending-employment</t>
        </is>
      </c>
      <c r="Z309" s="38" t="inlineStr">
        <is>
          <t>Using redundancy as a substitute for addressing a performance or conduct concern.</t>
        </is>
      </c>
    </row>
    <row r="310" ht="91" customHeight="1">
      <c r="A310" s="37" t="inlineStr">
        <is>
          <t>B17_DK</t>
        </is>
      </c>
      <c r="B310" s="37" t="inlineStr">
        <is>
          <t>B17</t>
        </is>
      </c>
      <c r="C310" s="37" t="inlineStr">
        <is>
          <t>DK</t>
        </is>
      </c>
      <c r="D310" s="37" t="inlineStr">
        <is>
          <t>I need to confirm this.</t>
        </is>
      </c>
      <c r="E310" s="37" t="inlineStr">
        <is>
          <t>Verify: test the redundancy process, not only the payment</t>
        </is>
      </c>
      <c r="F310" s="37" t="inlineStr">
        <is>
          <t>This answer identifies a knowledge gap. It does not establish that the practice is missing, that harm has occurred or that a legal duty has been breached.</t>
        </is>
      </c>
      <c r="G310" s="37" t="inlineStr">
        <is>
          <t>A payment calculation does not establish a genuine redundancy or a sound selection, consultation and redeployment process.</t>
        </is>
      </c>
      <c r="H310" s="37" t="inlineStr">
        <is>
          <t>Restructure and redundancy decisions</t>
        </is>
      </c>
      <c r="I310" s="48" t="n">
        <v>3</v>
      </c>
      <c r="J310" s="48" t="n">
        <v>0</v>
      </c>
      <c r="K310" s="48" t="n">
        <v>3</v>
      </c>
      <c r="L310" s="37" t="inlineStr">
        <is>
          <t>The risk is not rated from an unknown answer. Verification is High priority because: A payment calculation does not establish a genuine redundancy or a sound selection, consultation and redeployment process.</t>
        </is>
      </c>
      <c r="M310" s="37" t="inlineStr">
        <is>
          <t>Ask the owner / hr lead to show a current example of the process and the evidence listed below. Confirm the answer before deciding what must be repaired.</t>
        </is>
      </c>
      <c r="N310" s="37" t="inlineStr">
        <is>
          <t>Compare the example with the established-practice description: We document the genuine change and check consultation, redeployment, selection and entitlements before proceeding.</t>
        </is>
      </c>
      <c r="O310" s="37" t="inlineStr">
        <is>
          <t>Record what was checked, by whom and when. If it remains unclear, keep the verification task open and agree any proportionate interim safeguard.</t>
        </is>
      </c>
      <c r="P310" s="37" t="inlineStr">
        <is>
          <t>Review or verify within two business days and before the next affected event if earlier. Do not wait where a duty or current harm requires earlier action.</t>
        </is>
      </c>
      <c r="Q310" s="37" t="inlineStr">
        <is>
          <t>A dated verification record, the supporting example, an updated answer and any remaining action. No automatic compliance conclusion.</t>
        </is>
      </c>
      <c r="R310" s="37" t="inlineStr">
        <is>
          <t>A supported redundancy plan and decision record prepared at the appropriate stage of the process.</t>
        </is>
      </c>
      <c r="S310" s="37" t="inlineStr">
        <is>
          <t>Any proposed role removal or material restructure.</t>
        </is>
      </c>
      <c r="T310" s="37" t="inlineStr">
        <is>
          <t>Owner / HR lead</t>
        </is>
      </c>
      <c r="U310" s="37" t="inlineStr">
        <is>
          <t>Pre-decision HR review, final-pay coordination and legal referral where the matter requires it.</t>
        </is>
      </c>
      <c r="V310" s="37" t="inlineStr">
        <is>
          <t>FAIR_DECISIONS</t>
        </is>
      </c>
      <c r="W310" s="37" t="inlineStr">
        <is>
          <t>A_B17</t>
        </is>
      </c>
      <c r="X310" s="37" t="inlineStr">
        <is>
          <t>S02;S25;S26;DESIGN</t>
        </is>
      </c>
      <c r="Y310" s="37" t="inlineStr">
        <is>
          <t>https://www.fairwork.gov.au/taxonomy/term/527
https://www.fairwork.gov.au/tools-and-resources/best-practice-guides/consultation-and-cooperation-in-the-workplace
https://www.fairwork.gov.au/tools-and-resources/fact-sheets/minimum-workplace-entitlements/ending-employment</t>
        </is>
      </c>
      <c r="Z310" s="37" t="inlineStr">
        <is>
          <t>Using redundancy as a substitute for addressing a performance or conduct concern.</t>
        </is>
      </c>
    </row>
    <row r="311" ht="76" customHeight="1">
      <c r="A311" s="38" t="inlineStr">
        <is>
          <t>B18_0</t>
        </is>
      </c>
      <c r="B311" s="38" t="inlineStr">
        <is>
          <t>B18</t>
        </is>
      </c>
      <c r="C311" s="49" t="n">
        <v>0</v>
      </c>
      <c r="D311" s="38" t="inlineStr">
        <is>
          <t>Each manager or site largely uses its own approach.</t>
        </is>
      </c>
      <c r="E311" s="38" t="inlineStr">
        <is>
          <t>Test consistency where decisions are made</t>
        </is>
      </c>
      <c r="F311" s="38" t="inlineStr">
        <is>
          <t>The selected response reports a missing or unestablished element. Confirm the affected arrangements before drawing a conclusion about any actual breach or harm.</t>
        </is>
      </c>
      <c r="G311" s="38" t="inlineStr">
        <is>
          <t>A centrally issued policy may produce different decisions if managers interpret or apply it differently.</t>
        </is>
      </c>
      <c r="H311" s="38" t="inlineStr">
        <is>
          <t>Consistency across managers</t>
        </is>
      </c>
      <c r="I311" s="49" t="n">
        <v>2</v>
      </c>
      <c r="J311" s="49" t="n">
        <v>2</v>
      </c>
      <c r="K311" s="49" t="n">
        <v>2</v>
      </c>
      <c r="L311" s="38" t="inlineStr">
        <is>
          <t>Medium provisional concern: a material practice needs improvement. A centrally issued policy may produce different decisions if managers interpret or apply it differently.</t>
        </is>
      </c>
      <c r="M311" s="38" t="inlineStr">
        <is>
          <t>Compare recent decisions on one issue, such as probation or flexible work, across managers. Identify unexplained differences and provide targeted guidance.</t>
        </is>
      </c>
      <c r="N311" s="38" t="inlineStr">
        <is>
          <t>Compare a small sample of like decisions and distinguish justified differences from avoidable inconsistency.</t>
        </is>
      </c>
      <c r="O311" s="38" t="inlineStr">
        <is>
          <t>Give targeted guidance and recheck later decisions in the affected teams.</t>
        </is>
      </c>
      <c r="P311" s="38" t="inlineStr">
        <is>
          <t>Agree an owner and plan within 30 days, or before the next affected event if earlier.</t>
        </is>
      </c>
      <c r="Q311" s="38" t="inlineStr">
        <is>
          <t>A sample of comparable people decisions shows that the agreed criteria are used consistently, relevant differences are explained and identified errors or unfair inconsistencies have been addressed and checked. Confirm that the change works in practice, not only that a document exists.</t>
        </is>
      </c>
      <c r="R311" s="38" t="inlineStr">
        <is>
          <t>A sample of comparable people decisions shows that the agreed criteria are used consistently, relevant differences are explained and identified errors or unfair inconsistencies have been addressed and checked.</t>
        </is>
      </c>
      <c r="S311" s="38" t="inlineStr">
        <is>
          <t>New managers, a material policy change or repeated inconsistency.</t>
        </is>
      </c>
      <c r="T311" s="38" t="inlineStr">
        <is>
          <t>People manager</t>
        </is>
      </c>
      <c r="U311" s="38" t="inlineStr">
        <is>
          <t>Manager coaching and a fair performance or conduct process for the identified situation.</t>
        </is>
      </c>
      <c r="V311" s="38" t="inlineStr">
        <is>
          <t>LEADERSHIP</t>
        </is>
      </c>
      <c r="W311" s="38" t="inlineStr">
        <is>
          <t>A_B18</t>
        </is>
      </c>
      <c r="X311" s="38" t="inlineStr">
        <is>
          <t>S27;S25;DESIGN</t>
        </is>
      </c>
      <c r="Y311" s="38" t="inlineStr">
        <is>
          <t>https://www.fairwork.gov.au/sites/default/files/migration/711/managing-underperformance-best-practice-guide.pdf
https://www.fairwork.gov.au/tools-and-resources/best-practice-guides/consultation-and-cooperation-in-the-workplace</t>
        </is>
      </c>
      <c r="Z311" s="38" t="inlineStr">
        <is>
          <t>Assuming equal outcomes are always required despite different facts, or ignoring unexplained variation.</t>
        </is>
      </c>
    </row>
    <row r="312" ht="76" customHeight="1">
      <c r="A312" s="37" t="inlineStr">
        <is>
          <t>B18_1</t>
        </is>
      </c>
      <c r="B312" s="37" t="inlineStr">
        <is>
          <t>B18</t>
        </is>
      </c>
      <c r="C312" s="48" t="n">
        <v>1</v>
      </c>
      <c r="D312" s="37" t="inlineStr">
        <is>
          <t>We circulate policies, but rarely review how decisions are made.</t>
        </is>
      </c>
      <c r="E312" s="37" t="inlineStr">
        <is>
          <t>Test consistency where decisions are made</t>
        </is>
      </c>
      <c r="F312" s="37" t="inlineStr">
        <is>
          <t>The selected response relies on assumptions, informal decisions or an inconsistent process. The action is to make the relevant check reliable in routine work.</t>
        </is>
      </c>
      <c r="G312" s="37" t="inlineStr">
        <is>
          <t>A centrally issued policy may produce different decisions if managers interpret or apply it differently.</t>
        </is>
      </c>
      <c r="H312" s="37" t="inlineStr">
        <is>
          <t>Consistency across managers</t>
        </is>
      </c>
      <c r="I312" s="48" t="n">
        <v>2</v>
      </c>
      <c r="J312" s="48" t="n">
        <v>2</v>
      </c>
      <c r="K312" s="48" t="n">
        <v>2</v>
      </c>
      <c r="L312" s="37" t="inlineStr">
        <is>
          <t>Medium provisional concern: a material practice needs improvement. A centrally issued policy may produce different decisions if managers interpret or apply it differently.</t>
        </is>
      </c>
      <c r="M312" s="37" t="inlineStr">
        <is>
          <t>Replace the assumption with a current check. Compare recent decisions on one issue, such as probation or flexible work, across managers. Identify unexplained differences and provide targeted guidance.</t>
        </is>
      </c>
      <c r="N312" s="37" t="inlineStr">
        <is>
          <t>Compare a small sample of like decisions and distinguish justified differences from avoidable inconsistency.</t>
        </is>
      </c>
      <c r="O312" s="37" t="inlineStr">
        <is>
          <t>Give targeted guidance and recheck later decisions in the affected teams.</t>
        </is>
      </c>
      <c r="P312" s="37" t="inlineStr">
        <is>
          <t>Agree an owner and plan within 30 days, or before the next affected event if earlier.</t>
        </is>
      </c>
      <c r="Q312" s="37" t="inlineStr">
        <is>
          <t>A sample of comparable people decisions shows that the agreed criteria are used consistently, relevant differences are explained and identified errors or unfair inconsistencies have been addressed and checked. Confirm that the change works in practice, not only that a document exists.</t>
        </is>
      </c>
      <c r="R312" s="37" t="inlineStr">
        <is>
          <t>A sample of comparable people decisions shows that the agreed criteria are used consistently, relevant differences are explained and identified errors or unfair inconsistencies have been addressed and checked.</t>
        </is>
      </c>
      <c r="S312" s="37" t="inlineStr">
        <is>
          <t>New managers, a material policy change or repeated inconsistency.</t>
        </is>
      </c>
      <c r="T312" s="37" t="inlineStr">
        <is>
          <t>People manager</t>
        </is>
      </c>
      <c r="U312" s="37" t="inlineStr">
        <is>
          <t>Manager coaching and a fair performance or conduct process for the identified situation.</t>
        </is>
      </c>
      <c r="V312" s="37" t="inlineStr">
        <is>
          <t>LEADERSHIP</t>
        </is>
      </c>
      <c r="W312" s="37" t="inlineStr">
        <is>
          <t>A_B18</t>
        </is>
      </c>
      <c r="X312" s="37" t="inlineStr">
        <is>
          <t>S27;S25;DESIGN</t>
        </is>
      </c>
      <c r="Y312" s="37" t="inlineStr">
        <is>
          <t>https://www.fairwork.gov.au/sites/default/files/migration/711/managing-underperformance-best-practice-guide.pdf
https://www.fairwork.gov.au/tools-and-resources/best-practice-guides/consultation-and-cooperation-in-the-workplace</t>
        </is>
      </c>
      <c r="Z312" s="37" t="inlineStr">
        <is>
          <t>Assuming equal outcomes are always required despite different facts, or ignoring unexplained variation.</t>
        </is>
      </c>
    </row>
    <row r="313" ht="76" customHeight="1">
      <c r="A313" s="38" t="inlineStr">
        <is>
          <t>B18_2</t>
        </is>
      </c>
      <c r="B313" s="38" t="inlineStr">
        <is>
          <t>B18</t>
        </is>
      </c>
      <c r="C313" s="49" t="n">
        <v>2</v>
      </c>
      <c r="D313" s="38" t="inlineStr">
        <is>
          <t>Managers have guidance, but exceptions or variations are not consistently reviewed.</t>
        </is>
      </c>
      <c r="E313" s="38" t="inlineStr">
        <is>
          <t>Complete the remaining check: test consistency where decisions are made</t>
        </is>
      </c>
      <c r="F313" s="38" t="inlineStr">
        <is>
          <t>The selected response identifies an incomplete element within an existing practice. Keep what works and target the unresolved part; the stronger elements do not cancel the gap.</t>
        </is>
      </c>
      <c r="G313" s="38" t="inlineStr">
        <is>
          <t>A centrally issued policy may produce different decisions if managers interpret or apply it differently.</t>
        </is>
      </c>
      <c r="H313" s="38" t="inlineStr">
        <is>
          <t>Consistency across managers</t>
        </is>
      </c>
      <c r="I313" s="49" t="n">
        <v>2</v>
      </c>
      <c r="J313" s="49" t="n">
        <v>2</v>
      </c>
      <c r="K313" s="49" t="n">
        <v>2</v>
      </c>
      <c r="L313" s="38" t="inlineStr">
        <is>
          <t>Medium provisional concern: a material practice needs improvement. A centrally issued policy may produce different decisions if managers interpret or apply it differently.</t>
        </is>
      </c>
      <c r="M313" s="38" t="inlineStr">
        <is>
          <t>Focus on the unresolved arrangements or exceptions. Compare recent decisions on one issue, such as probation or flexible work, across managers. Identify unexplained differences and provide targeted guidance.</t>
        </is>
      </c>
      <c r="N313" s="38" t="inlineStr">
        <is>
          <t>Compare a small sample of like decisions and distinguish justified differences from avoidable inconsistency.</t>
        </is>
      </c>
      <c r="O313" s="38" t="inlineStr">
        <is>
          <t>Give targeted guidance and recheck later decisions in the affected teams.</t>
        </is>
      </c>
      <c r="P313" s="38" t="inlineStr">
        <is>
          <t>Agree an owner and plan within 30 days, or before the next affected event if earlier.</t>
        </is>
      </c>
      <c r="Q313" s="38" t="inlineStr">
        <is>
          <t>A sample of comparable people decisions shows that the agreed criteria are used consistently, relevant differences are explained and identified errors or unfair inconsistencies have been addressed and checked. Confirm that the change works in practice, not only that a document exists.</t>
        </is>
      </c>
      <c r="R313" s="38" t="inlineStr">
        <is>
          <t>A sample of comparable people decisions shows that the agreed criteria are used consistently, relevant differences are explained and identified errors or unfair inconsistencies have been addressed and checked.</t>
        </is>
      </c>
      <c r="S313" s="38" t="inlineStr">
        <is>
          <t>New managers, a material policy change or repeated inconsistency.</t>
        </is>
      </c>
      <c r="T313" s="38" t="inlineStr">
        <is>
          <t>People manager</t>
        </is>
      </c>
      <c r="U313" s="38" t="inlineStr">
        <is>
          <t>Manager coaching and a fair performance or conduct process for the identified situation.</t>
        </is>
      </c>
      <c r="V313" s="38" t="inlineStr">
        <is>
          <t>LEADERSHIP</t>
        </is>
      </c>
      <c r="W313" s="38" t="inlineStr">
        <is>
          <t>A_B18</t>
        </is>
      </c>
      <c r="X313" s="38" t="inlineStr">
        <is>
          <t>S27;S25;DESIGN</t>
        </is>
      </c>
      <c r="Y313" s="38" t="inlineStr">
        <is>
          <t>https://www.fairwork.gov.au/sites/default/files/migration/711/managing-underperformance-best-practice-guide.pdf
https://www.fairwork.gov.au/tools-and-resources/best-practice-guides/consultation-and-cooperation-in-the-workplace</t>
        </is>
      </c>
      <c r="Z313" s="38" t="inlineStr">
        <is>
          <t>Assuming equal outcomes are always required despite different facts, or ignoring unexplained variation.</t>
        </is>
      </c>
    </row>
    <row r="314" ht="76" customHeight="1">
      <c r="A314" s="37" t="inlineStr">
        <is>
          <t>B18_3</t>
        </is>
      </c>
      <c r="B314" s="37" t="inlineStr">
        <is>
          <t>B18</t>
        </is>
      </c>
      <c r="C314" s="48" t="n">
        <v>3</v>
      </c>
      <c r="D314" s="37" t="inlineStr">
        <is>
          <t>We review comparable decisions, discuss justified differences and address inconsistent practice or capability gaps.</t>
        </is>
      </c>
      <c r="E314" s="37" t="inlineStr">
        <is>
          <t>Maintain and test: test consistency where decisions are made</t>
        </is>
      </c>
      <c r="F314" s="37" t="inlineStr">
        <is>
          <t>The selected response reports an established and checked practice. The tool has not inspected the evidence and cannot certify the absence of risk.</t>
        </is>
      </c>
      <c r="G314" s="37" t="inlineStr">
        <is>
          <t>A centrally issued policy may produce different decisions if managers interpret or apply it differently.</t>
        </is>
      </c>
      <c r="H314" s="37" t="inlineStr">
        <is>
          <t>Consistency across managers</t>
        </is>
      </c>
      <c r="I314" s="48" t="n">
        <v>2</v>
      </c>
      <c r="J314" s="48" t="n">
        <v>1</v>
      </c>
      <c r="K314" s="48" t="n">
        <v>1</v>
      </c>
      <c r="L314" s="37" t="inlineStr">
        <is>
          <t>Lower reported concern, not a finding of no risk. The assumed controls are self-reported; a current incident, contrary evidence or failed control takes precedence.</t>
        </is>
      </c>
      <c r="M314" s="37" t="inlineStr">
        <is>
          <t>Maintain the practice described. At the next relevant review, give targeted guidance and recheck later decisions in the affected teams.</t>
        </is>
      </c>
      <c r="N314" s="37" t="inlineStr">
        <is>
          <t>Check whether changes in work, people or applicable requirements have made the original process less reliable.</t>
        </is>
      </c>
      <c r="O314" s="37" t="inlineStr">
        <is>
          <t>Retain the review outcome and act on any new exception. An unresolved live issue overrides this maintenance pathway.</t>
        </is>
      </c>
      <c r="P314" s="37" t="inlineStr">
        <is>
          <t>Maintain at the stated trigger; for a new low-priority improvement, plan within 90 days.</t>
        </is>
      </c>
      <c r="Q314" s="37" t="inlineStr">
        <is>
          <t>A current example of the practice and a proportionate recheck record. A sample of comparable people decisions shows that the agreed criteria are used consistently, relevant differences are explained and identified errors or unfair inconsistencies have been addressed and checked.</t>
        </is>
      </c>
      <c r="R314" s="37" t="inlineStr">
        <is>
          <t>A sample of comparable people decisions shows that the agreed criteria are used consistently, relevant differences are explained and identified errors or unfair inconsistencies have been addressed and checked.</t>
        </is>
      </c>
      <c r="S314" s="37" t="inlineStr">
        <is>
          <t>New managers, a material policy change or repeated inconsistency.</t>
        </is>
      </c>
      <c r="T314" s="37" t="inlineStr">
        <is>
          <t>People manager</t>
        </is>
      </c>
      <c r="U314" s="37" t="inlineStr">
        <is>
          <t>No further purchase is implied by this result. Seek support only for a material change, unresolved exception or chosen improvement.</t>
        </is>
      </c>
      <c r="V314" s="37" t="inlineStr">
        <is>
          <t>LEADERSHIP</t>
        </is>
      </c>
      <c r="W314" s="37" t="inlineStr">
        <is>
          <t>A_B18</t>
        </is>
      </c>
      <c r="X314" s="37" t="inlineStr">
        <is>
          <t>S27;S25;DESIGN</t>
        </is>
      </c>
      <c r="Y314" s="37" t="inlineStr">
        <is>
          <t>https://www.fairwork.gov.au/sites/default/files/migration/711/managing-underperformance-best-practice-guide.pdf
https://www.fairwork.gov.au/tools-and-resources/best-practice-guides/consultation-and-cooperation-in-the-workplace</t>
        </is>
      </c>
      <c r="Z314" s="37" t="inlineStr">
        <is>
          <t>Assuming equal outcomes are always required despite different facts, or ignoring unexplained variation.</t>
        </is>
      </c>
    </row>
    <row r="315" ht="76" customHeight="1">
      <c r="A315" s="38" t="inlineStr">
        <is>
          <t>B18_DK</t>
        </is>
      </c>
      <c r="B315" s="38" t="inlineStr">
        <is>
          <t>B18</t>
        </is>
      </c>
      <c r="C315" s="38" t="inlineStr">
        <is>
          <t>DK</t>
        </is>
      </c>
      <c r="D315" s="38" t="inlineStr">
        <is>
          <t>I need to confirm this.</t>
        </is>
      </c>
      <c r="E315" s="38" t="inlineStr">
        <is>
          <t>Verify: test consistency where decisions are made</t>
        </is>
      </c>
      <c r="F315" s="38" t="inlineStr">
        <is>
          <t>This answer identifies a knowledge gap. It does not establish that the practice is missing, that harm has occurred or that a legal duty has been breached.</t>
        </is>
      </c>
      <c r="G315" s="38" t="inlineStr">
        <is>
          <t>A centrally issued policy may produce different decisions if managers interpret or apply it differently.</t>
        </is>
      </c>
      <c r="H315" s="38" t="inlineStr">
        <is>
          <t>Consistency across managers</t>
        </is>
      </c>
      <c r="I315" s="49" t="n">
        <v>2</v>
      </c>
      <c r="J315" s="49" t="n">
        <v>0</v>
      </c>
      <c r="K315" s="49" t="n">
        <v>2</v>
      </c>
      <c r="L315" s="38" t="inlineStr">
        <is>
          <t>The risk is not rated from an unknown answer. Verification is Medium priority because: A centrally issued policy may produce different decisions if managers interpret or apply it differently.</t>
        </is>
      </c>
      <c r="M315" s="38" t="inlineStr">
        <is>
          <t>Ask the people manager to show a current example of the process and the evidence listed below. Confirm the answer before deciding what must be repaired.</t>
        </is>
      </c>
      <c r="N315" s="38" t="inlineStr">
        <is>
          <t>Compare the example with the established-practice description: We review comparable decisions, discuss justified differences and address inconsistent practice or capability gaps.</t>
        </is>
      </c>
      <c r="O315" s="38" t="inlineStr">
        <is>
          <t>Record what was checked, by whom and when. If it remains unclear, keep the verification task open and agree any proportionate interim safeguard.</t>
        </is>
      </c>
      <c r="P315" s="38" t="inlineStr">
        <is>
          <t>Agree an owner and plan within 30 days, or before the next affected event if earlier.</t>
        </is>
      </c>
      <c r="Q315" s="38" t="inlineStr">
        <is>
          <t>A dated verification record, the supporting example, an updated answer and any remaining action. No automatic compliance conclusion.</t>
        </is>
      </c>
      <c r="R315" s="38" t="inlineStr">
        <is>
          <t>A sample of comparable people decisions shows that the agreed criteria are used consistently, relevant differences are explained and identified errors or unfair inconsistencies have been addressed and checked.</t>
        </is>
      </c>
      <c r="S315" s="38" t="inlineStr">
        <is>
          <t>New managers, a material policy change or repeated inconsistency.</t>
        </is>
      </c>
      <c r="T315" s="38" t="inlineStr">
        <is>
          <t>People manager</t>
        </is>
      </c>
      <c r="U315" s="38" t="inlineStr">
        <is>
          <t>Manager coaching and a fair performance or conduct process for the identified situation.</t>
        </is>
      </c>
      <c r="V315" s="38" t="inlineStr">
        <is>
          <t>LEADERSHIP</t>
        </is>
      </c>
      <c r="W315" s="38" t="inlineStr">
        <is>
          <t>A_B18</t>
        </is>
      </c>
      <c r="X315" s="38" t="inlineStr">
        <is>
          <t>S27;S25;DESIGN</t>
        </is>
      </c>
      <c r="Y315" s="38" t="inlineStr">
        <is>
          <t>https://www.fairwork.gov.au/sites/default/files/migration/711/managing-underperformance-best-practice-guide.pdf
https://www.fairwork.gov.au/tools-and-resources/best-practice-guides/consultation-and-cooperation-in-the-workplace</t>
        </is>
      </c>
      <c r="Z315" s="38" t="inlineStr">
        <is>
          <t>Assuming equal outcomes are always required despite different facts, or ignoring unexplained variation.</t>
        </is>
      </c>
    </row>
    <row r="316" ht="121" customHeight="1">
      <c r="A316" s="37" t="inlineStr">
        <is>
          <t>B19_0</t>
        </is>
      </c>
      <c r="B316" s="37" t="inlineStr">
        <is>
          <t>B19</t>
        </is>
      </c>
      <c r="C316" s="48" t="n">
        <v>0</v>
      </c>
      <c r="D316" s="37" t="inlineStr">
        <is>
          <t>Staff are expected to remain available without clear limits.</t>
        </is>
      </c>
      <c r="E316" s="37" t="inlineStr">
        <is>
          <t>Make after-hours expectations explicit</t>
        </is>
      </c>
      <c r="F316" s="37" t="inlineStr">
        <is>
          <t>The selected response reports a missing or unestablished element. Confirm the affected arrangements before drawing a conclusion about any actual breach or harm.</t>
        </is>
      </c>
      <c r="G316" s="37" t="inlineStr">
        <is>
          <t>Unclear availability expectations can create disputes about contact, rest, personal circumstances and payment.</t>
        </is>
      </c>
      <c r="H316" s="37" t="inlineStr">
        <is>
          <t>After-hours contact and work boundaries</t>
        </is>
      </c>
      <c r="I316" s="48" t="n">
        <v>2</v>
      </c>
      <c r="J316" s="48" t="n">
        <v>2</v>
      </c>
      <c r="K316" s="48" t="n">
        <v>2</v>
      </c>
      <c r="L316" s="37" t="inlineStr">
        <is>
          <t>Medium provisional concern: a material practice needs improvement. Unclear availability expectations can create disputes about contact, rest, personal circumstances and payment.</t>
        </is>
      </c>
      <c r="M316" s="37" t="inlineStr">
        <is>
          <t>Agree which situations genuinely require contact, who is available and how availability is recognised. Check the arrangement against applicable rights and pay rules.</t>
        </is>
      </c>
      <c r="N316" s="37" t="inlineStr">
        <is>
          <t>Discuss necessary contact, the relevant circumstances, any on-call or payment arrangement and how refusal will be assessed.</t>
        </is>
      </c>
      <c r="O316" s="37" t="inlineStr">
        <is>
          <t>Check what happens in practice and correct pressure to remain available beyond the agreed and lawful arrangement.</t>
        </is>
      </c>
      <c r="P316" s="37" t="inlineStr">
        <is>
          <t>Agree an owner and plan within 30 days, or before the next affected event if earlier.</t>
        </is>
      </c>
      <c r="Q316" s="37" t="inlineStr">
        <is>
          <t>Out-of-hours expectations and any work/payment arrangements are clear. The business has tested how it will assess a refusal to monitor, read or respond unless that refusal is unreasonable, and has addressed any current concern using the relevant circumstances. Confirm that the change works in practice, not only that a document exists.</t>
        </is>
      </c>
      <c r="R316"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S316" s="37" t="inlineStr">
        <is>
          <t>Changed contact expectations, duties or an after-hours dispute.</t>
        </is>
      </c>
      <c r="T316" s="37" t="inlineStr">
        <is>
          <t>Owner / HR lead</t>
        </is>
      </c>
      <c r="U316" s="37" t="inlineStr">
        <is>
          <t>Proportionate policy review and manager implementation support.</t>
        </is>
      </c>
      <c r="V316" s="37" t="inlineStr">
        <is>
          <t>FLEXIBILITY</t>
        </is>
      </c>
      <c r="W316" s="37" t="inlineStr">
        <is>
          <t>A_B19</t>
        </is>
      </c>
      <c r="X316" s="37" t="inlineStr">
        <is>
          <t>S43;S20;S11;DESIGN</t>
        </is>
      </c>
      <c r="Y316" s="37"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Z316" s="37" t="inlineStr">
        <is>
          <t>Treating the right as a total contact ban, or assuming a managerial title removes it.</t>
        </is>
      </c>
    </row>
    <row r="317" ht="121" customHeight="1">
      <c r="A317" s="38" t="inlineStr">
        <is>
          <t>B19_1</t>
        </is>
      </c>
      <c r="B317" s="38" t="inlineStr">
        <is>
          <t>B19</t>
        </is>
      </c>
      <c r="C317" s="49" t="n">
        <v>1</v>
      </c>
      <c r="D317" s="38" t="inlineStr">
        <is>
          <t>Managers decide expectations informally and employees may feel unable to decline contact.</t>
        </is>
      </c>
      <c r="E317" s="38" t="inlineStr">
        <is>
          <t>Make after-hours expectations explicit</t>
        </is>
      </c>
      <c r="F317" s="38" t="inlineStr">
        <is>
          <t>The selected response relies on assumptions, informal decisions or an inconsistent process. The action is to make the relevant check reliable in routine work.</t>
        </is>
      </c>
      <c r="G317" s="38" t="inlineStr">
        <is>
          <t>Unclear availability expectations can create disputes about contact, rest, personal circumstances and payment.</t>
        </is>
      </c>
      <c r="H317" s="38" t="inlineStr">
        <is>
          <t>After-hours contact and work boundaries</t>
        </is>
      </c>
      <c r="I317" s="49" t="n">
        <v>2</v>
      </c>
      <c r="J317" s="49" t="n">
        <v>2</v>
      </c>
      <c r="K317" s="49" t="n">
        <v>2</v>
      </c>
      <c r="L317" s="38" t="inlineStr">
        <is>
          <t>Medium provisional concern: a material practice needs improvement. Unclear availability expectations can create disputes about contact, rest, personal circumstances and payment.</t>
        </is>
      </c>
      <c r="M317" s="38" t="inlineStr">
        <is>
          <t>Replace the assumption with a current check. Agree which situations genuinely require contact, who is available and how availability is recognised. Check the arrangement against applicable rights and pay rules.</t>
        </is>
      </c>
      <c r="N317" s="38" t="inlineStr">
        <is>
          <t>Discuss necessary contact, the relevant circumstances, any on-call or payment arrangement and how refusal will be assessed.</t>
        </is>
      </c>
      <c r="O317" s="38" t="inlineStr">
        <is>
          <t>Check what happens in practice and correct pressure to remain available beyond the agreed and lawful arrangement.</t>
        </is>
      </c>
      <c r="P317" s="38" t="inlineStr">
        <is>
          <t>Agree an owner and plan within 30 days, or before the next affected event if earlier.</t>
        </is>
      </c>
      <c r="Q317" s="38" t="inlineStr">
        <is>
          <t>Out-of-hours expectations and any work/payment arrangements are clear. The business has tested how it will assess a refusal to monitor, read or respond unless that refusal is unreasonable, and has addressed any current concern using the relevant circumstances. Confirm that the change works in practice, not only that a document exists.</t>
        </is>
      </c>
      <c r="R317" s="38" t="inlineStr">
        <is>
          <t>Out-of-hours expectations and any work/payment arrangements are clear. The business has tested how it will assess a refusal to monitor, read or respond unless that refusal is unreasonable, and has addressed any current concern using the relevant circumstances.</t>
        </is>
      </c>
      <c r="S317" s="38" t="inlineStr">
        <is>
          <t>Changed contact expectations, duties or an after-hours dispute.</t>
        </is>
      </c>
      <c r="T317" s="38" t="inlineStr">
        <is>
          <t>Owner / HR lead</t>
        </is>
      </c>
      <c r="U317" s="38" t="inlineStr">
        <is>
          <t>Proportionate policy review and manager implementation support.</t>
        </is>
      </c>
      <c r="V317" s="38" t="inlineStr">
        <is>
          <t>FLEXIBILITY</t>
        </is>
      </c>
      <c r="W317" s="38" t="inlineStr">
        <is>
          <t>A_B19</t>
        </is>
      </c>
      <c r="X317" s="38" t="inlineStr">
        <is>
          <t>S43;S20;S11;DESIGN</t>
        </is>
      </c>
      <c r="Y317" s="38"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Z317" s="38" t="inlineStr">
        <is>
          <t>Treating the right as a total contact ban, or assuming a managerial title removes it.</t>
        </is>
      </c>
    </row>
    <row r="318" ht="121" customHeight="1">
      <c r="A318" s="37" t="inlineStr">
        <is>
          <t>B19_2</t>
        </is>
      </c>
      <c r="B318" s="37" t="inlineStr">
        <is>
          <t>B19</t>
        </is>
      </c>
      <c r="C318" s="48" t="n">
        <v>2</v>
      </c>
      <c r="D318" s="37" t="inlineStr">
        <is>
          <t>Expectations are partly documented, but reasonableness or payment arrangements need review.</t>
        </is>
      </c>
      <c r="E318" s="37" t="inlineStr">
        <is>
          <t>Complete the remaining check: make after-hours expectations explicit</t>
        </is>
      </c>
      <c r="F318" s="37" t="inlineStr">
        <is>
          <t>The selected response identifies an incomplete element within an existing practice. Keep what works and target the unresolved part; the stronger elements do not cancel the gap.</t>
        </is>
      </c>
      <c r="G318" s="37" t="inlineStr">
        <is>
          <t>Unclear availability expectations can create disputes about contact, rest, personal circumstances and payment.</t>
        </is>
      </c>
      <c r="H318" s="37" t="inlineStr">
        <is>
          <t>After-hours contact and work boundaries</t>
        </is>
      </c>
      <c r="I318" s="48" t="n">
        <v>2</v>
      </c>
      <c r="J318" s="48" t="n">
        <v>2</v>
      </c>
      <c r="K318" s="48" t="n">
        <v>2</v>
      </c>
      <c r="L318" s="37" t="inlineStr">
        <is>
          <t>Medium provisional concern: a material practice needs improvement. Unclear availability expectations can create disputes about contact, rest, personal circumstances and payment.</t>
        </is>
      </c>
      <c r="M318" s="37" t="inlineStr">
        <is>
          <t>Focus on the unresolved arrangements or exceptions. Agree which situations genuinely require contact, who is available and how availability is recognised. Check the arrangement against applicable rights and pay rules.</t>
        </is>
      </c>
      <c r="N318" s="37" t="inlineStr">
        <is>
          <t>Discuss necessary contact, the relevant circumstances, any on-call or payment arrangement and how refusal will be assessed.</t>
        </is>
      </c>
      <c r="O318" s="37" t="inlineStr">
        <is>
          <t>Check what happens in practice and correct pressure to remain available beyond the agreed and lawful arrangement.</t>
        </is>
      </c>
      <c r="P318" s="37" t="inlineStr">
        <is>
          <t>Agree an owner and plan within 30 days, or before the next affected event if earlier.</t>
        </is>
      </c>
      <c r="Q318" s="37" t="inlineStr">
        <is>
          <t>Out-of-hours expectations and any work/payment arrangements are clear. The business has tested how it will assess a refusal to monitor, read or respond unless that refusal is unreasonable, and has addressed any current concern using the relevant circumstances. Confirm that the change works in practice, not only that a document exists.</t>
        </is>
      </c>
      <c r="R318"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S318" s="37" t="inlineStr">
        <is>
          <t>Changed contact expectations, duties or an after-hours dispute.</t>
        </is>
      </c>
      <c r="T318" s="37" t="inlineStr">
        <is>
          <t>Owner / HR lead</t>
        </is>
      </c>
      <c r="U318" s="37" t="inlineStr">
        <is>
          <t>Proportionate policy review and manager implementation support.</t>
        </is>
      </c>
      <c r="V318" s="37" t="inlineStr">
        <is>
          <t>FLEXIBILITY</t>
        </is>
      </c>
      <c r="W318" s="37" t="inlineStr">
        <is>
          <t>A_B19</t>
        </is>
      </c>
      <c r="X318" s="37" t="inlineStr">
        <is>
          <t>S43;S20;S11;DESIGN</t>
        </is>
      </c>
      <c r="Y318" s="37"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Z318" s="37" t="inlineStr">
        <is>
          <t>Treating the right as a total contact ban, or assuming a managerial title removes it.</t>
        </is>
      </c>
    </row>
    <row r="319" ht="121" customHeight="1">
      <c r="A319" s="38" t="inlineStr">
        <is>
          <t>B19_3</t>
        </is>
      </c>
      <c r="B319" s="38" t="inlineStr">
        <is>
          <t>B19</t>
        </is>
      </c>
      <c r="C319" s="49" t="n">
        <v>3</v>
      </c>
      <c r="D319" s="38" t="inlineStr">
        <is>
          <t>We clarify necessary contact and availability, check applicable payment rules and respect the right to disconnect in practice.</t>
        </is>
      </c>
      <c r="E319" s="38" t="inlineStr">
        <is>
          <t>Maintain and test: make after-hours expectations explicit</t>
        </is>
      </c>
      <c r="F319" s="38" t="inlineStr">
        <is>
          <t>The selected response reports an established and checked practice. The tool has not inspected the evidence and cannot certify the absence of risk.</t>
        </is>
      </c>
      <c r="G319" s="38" t="inlineStr">
        <is>
          <t>Unclear availability expectations can create disputes about contact, rest, personal circumstances and payment.</t>
        </is>
      </c>
      <c r="H319" s="38" t="inlineStr">
        <is>
          <t>After-hours contact and work boundaries</t>
        </is>
      </c>
      <c r="I319" s="49" t="n">
        <v>2</v>
      </c>
      <c r="J319" s="49" t="n">
        <v>1</v>
      </c>
      <c r="K319" s="49" t="n">
        <v>1</v>
      </c>
      <c r="L319" s="38" t="inlineStr">
        <is>
          <t>Lower reported concern, not a finding of no risk. The assumed controls are self-reported; a current incident, contrary evidence or failed control takes precedence.</t>
        </is>
      </c>
      <c r="M319" s="38" t="inlineStr">
        <is>
          <t>Maintain the practice described. At the next relevant review, check what happens in practice and correct pressure to remain available beyond the agreed and lawful arrangement.</t>
        </is>
      </c>
      <c r="N319" s="38" t="inlineStr">
        <is>
          <t>Check whether changes in work, people or applicable requirements have made the original process less reliable.</t>
        </is>
      </c>
      <c r="O319" s="38" t="inlineStr">
        <is>
          <t>Retain the review outcome and act on any new exception. An unresolved live issue overrides this maintenance pathway.</t>
        </is>
      </c>
      <c r="P319" s="38" t="inlineStr">
        <is>
          <t>Maintain at the stated trigger; for a new low-priority improvement, plan within 90 days.</t>
        </is>
      </c>
      <c r="Q319" s="38" t="inlineStr">
        <is>
          <t>A current example of the practice and a proportionate recheck record. Out-of-hours expectations and any work/payment arrangements are clear. The business has tested how it will assess a refusal to monitor, read or respond unless that refusal is unreasonable, and has addressed any current concern using the relevant circumstances.</t>
        </is>
      </c>
      <c r="R319" s="38" t="inlineStr">
        <is>
          <t>Out-of-hours expectations and any work/payment arrangements are clear. The business has tested how it will assess a refusal to monitor, read or respond unless that refusal is unreasonable, and has addressed any current concern using the relevant circumstances.</t>
        </is>
      </c>
      <c r="S319" s="38" t="inlineStr">
        <is>
          <t>Changed contact expectations, duties or an after-hours dispute.</t>
        </is>
      </c>
      <c r="T319" s="38" t="inlineStr">
        <is>
          <t>Owner / HR lead</t>
        </is>
      </c>
      <c r="U319" s="38" t="inlineStr">
        <is>
          <t>No further purchase is implied by this result. Seek support only for a material change, unresolved exception or chosen improvement.</t>
        </is>
      </c>
      <c r="V319" s="38" t="inlineStr">
        <is>
          <t>FLEXIBILITY</t>
        </is>
      </c>
      <c r="W319" s="38" t="inlineStr">
        <is>
          <t>A_B19</t>
        </is>
      </c>
      <c r="X319" s="38" t="inlineStr">
        <is>
          <t>S43;S20;S11;DESIGN</t>
        </is>
      </c>
      <c r="Y319" s="38"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Z319" s="38" t="inlineStr">
        <is>
          <t>Treating the right as a total contact ban, or assuming a managerial title removes it.</t>
        </is>
      </c>
    </row>
    <row r="320" ht="121" customHeight="1">
      <c r="A320" s="37" t="inlineStr">
        <is>
          <t>B19_DK</t>
        </is>
      </c>
      <c r="B320" s="37" t="inlineStr">
        <is>
          <t>B19</t>
        </is>
      </c>
      <c r="C320" s="37" t="inlineStr">
        <is>
          <t>DK</t>
        </is>
      </c>
      <c r="D320" s="37" t="inlineStr">
        <is>
          <t>I need to confirm this.</t>
        </is>
      </c>
      <c r="E320" s="37" t="inlineStr">
        <is>
          <t>Verify: make after-hours expectations explicit</t>
        </is>
      </c>
      <c r="F320" s="37" t="inlineStr">
        <is>
          <t>This answer identifies a knowledge gap. It does not establish that the practice is missing, that harm has occurred or that a legal duty has been breached.</t>
        </is>
      </c>
      <c r="G320" s="37" t="inlineStr">
        <is>
          <t>Unclear availability expectations can create disputes about contact, rest, personal circumstances and payment.</t>
        </is>
      </c>
      <c r="H320" s="37" t="inlineStr">
        <is>
          <t>After-hours contact and work boundaries</t>
        </is>
      </c>
      <c r="I320" s="48" t="n">
        <v>2</v>
      </c>
      <c r="J320" s="48" t="n">
        <v>0</v>
      </c>
      <c r="K320" s="48" t="n">
        <v>2</v>
      </c>
      <c r="L320" s="37" t="inlineStr">
        <is>
          <t>The risk is not rated from an unknown answer. Verification is Medium priority because: Unclear availability expectations can create disputes about contact, rest, personal circumstances and payment.</t>
        </is>
      </c>
      <c r="M320" s="37" t="inlineStr">
        <is>
          <t>Ask the owner / hr lead to show a current example of the process and the evidence listed below. Confirm the answer before deciding what must be repaired.</t>
        </is>
      </c>
      <c r="N320" s="37" t="inlineStr">
        <is>
          <t>Compare the example with the established-practice description: We clarify necessary contact and availability, check applicable payment rules and respect the right to disconnect in practice.</t>
        </is>
      </c>
      <c r="O320" s="37" t="inlineStr">
        <is>
          <t>Record what was checked, by whom and when. If it remains unclear, keep the verification task open and agree any proportionate interim safeguard.</t>
        </is>
      </c>
      <c r="P320" s="37" t="inlineStr">
        <is>
          <t>Agree an owner and plan within 30 days, or before the next affected event if earlier.</t>
        </is>
      </c>
      <c r="Q320" s="37" t="inlineStr">
        <is>
          <t>A dated verification record, the supporting example, an updated answer and any remaining action. No automatic compliance conclusion.</t>
        </is>
      </c>
      <c r="R320" s="37" t="inlineStr">
        <is>
          <t>Out-of-hours expectations and any work/payment arrangements are clear. The business has tested how it will assess a refusal to monitor, read or respond unless that refusal is unreasonable, and has addressed any current concern using the relevant circumstances.</t>
        </is>
      </c>
      <c r="S320" s="37" t="inlineStr">
        <is>
          <t>Changed contact expectations, duties or an after-hours dispute.</t>
        </is>
      </c>
      <c r="T320" s="37" t="inlineStr">
        <is>
          <t>Owner / HR lead</t>
        </is>
      </c>
      <c r="U320" s="37" t="inlineStr">
        <is>
          <t>Proportionate policy review and manager implementation support.</t>
        </is>
      </c>
      <c r="V320" s="37" t="inlineStr">
        <is>
          <t>FLEXIBILITY</t>
        </is>
      </c>
      <c r="W320" s="37" t="inlineStr">
        <is>
          <t>A_B19</t>
        </is>
      </c>
      <c r="X320" s="37" t="inlineStr">
        <is>
          <t>S43;S20;S11;DESIGN</t>
        </is>
      </c>
      <c r="Y320" s="37" t="inlineStr">
        <is>
          <t>https://www.fairwork.gov.au/employment-conditions/right-to-disconnect
https://www.fairwork.gov.au/newsroom/news/start-right-disconnect-and-casual-changes-small-businesses
https://www.safeworkaustralia.gov.au/safety-topic/managing-health-and-safety/mental-health/managing-risks/identifying-assessing-controlling-and-reviewing</t>
        </is>
      </c>
      <c r="Z320" s="37" t="inlineStr">
        <is>
          <t>Treating the right as a total contact ban, or assuming a managerial title removes it.</t>
        </is>
      </c>
    </row>
    <row r="321" ht="91" customHeight="1">
      <c r="A321" s="38" t="inlineStr">
        <is>
          <t>B20_0</t>
        </is>
      </c>
      <c r="B321" s="38" t="inlineStr">
        <is>
          <t>B20</t>
        </is>
      </c>
      <c r="C321" s="49" t="n">
        <v>0</v>
      </c>
      <c r="D321" s="38" t="inlineStr">
        <is>
          <t>We are unsure which agreement or version applies.</t>
        </is>
      </c>
      <c r="E321" s="38" t="inlineStr">
        <is>
          <t>Use the actual agreement, not a generic award checklist</t>
        </is>
      </c>
      <c r="F321" s="38" t="inlineStr">
        <is>
          <t>The selected response reports a missing or unestablished element. Confirm the affected arrangements before drawing a conclusion about any actual breach or harm.</t>
        </is>
      </c>
      <c r="G321" s="38" t="inlineStr">
        <is>
          <t>Maintaining headline rates alone can miss agreement rules governing classifications, allowances and employment decisions.</t>
        </is>
      </c>
      <c r="H321" s="38" t="inlineStr">
        <is>
          <t>Enterprise agreement application</t>
        </is>
      </c>
      <c r="I321" s="49" t="n">
        <v>3</v>
      </c>
      <c r="J321" s="49" t="n">
        <v>3</v>
      </c>
      <c r="K321" s="49" t="n">
        <v>3</v>
      </c>
      <c r="L321" s="38" t="inlineStr">
        <is>
          <t>High provisional concern: an essential element remains unresolved. Maintaining headline rates alone can miss agreement rules governing classifications, allowances and employment decisions.</t>
        </is>
      </c>
      <c r="M321" s="38" t="inlineStr">
        <is>
          <t>Map the applicable agreement and coverage to affected roles, then check key payroll and employment processes against its current operation.</t>
        </is>
      </c>
      <c r="N321" s="38" t="inlineStr">
        <is>
          <t>Map the applicable agreement and current obligations to payroll and relevant people processes.</t>
        </is>
      </c>
      <c r="O321" s="38" t="inlineStr">
        <is>
          <t>Check a changed rate and an exception scenario, including how updates reach each responsible person.</t>
        </is>
      </c>
      <c r="P321" s="38" t="inlineStr">
        <is>
          <t>Review or verify within two business days and before the next affected event if earlier. Do not wait where a duty or current harm requires earlier action.</t>
        </is>
      </c>
      <c r="Q321" s="38" t="inlineStr">
        <is>
          <t>Applicable agreement obligations are mapped to actual processes, identified differences have been corrected and the affected pay, hours or decision process has been checked again. Confirm that the change works in practice, not only that a document exists.</t>
        </is>
      </c>
      <c r="R321" s="38" t="inlineStr">
        <is>
          <t>Applicable agreement obligations are mapped to actual processes, identified differences have been corrected and the affected pay, hours or decision process has been checked again.</t>
        </is>
      </c>
      <c r="S321" s="38" t="inlineStr">
        <is>
          <t>Agreement variation, replacement, termination or an operational change.</t>
        </is>
      </c>
      <c r="T321" s="38" t="inlineStr">
        <is>
          <t>Payroll lead / owner</t>
        </is>
      </c>
      <c r="U321" s="38" t="inlineStr">
        <is>
          <t>Targeted payroll, award/classification or salary-arrangement review, scoped to the flagged population.</t>
        </is>
      </c>
      <c r="V321" s="38" t="inlineStr">
        <is>
          <t>PAY_ASSURANCE</t>
        </is>
      </c>
      <c r="W321" s="38" t="inlineStr">
        <is>
          <t>A_B20</t>
        </is>
      </c>
      <c r="X321" s="38" t="inlineStr">
        <is>
          <t>S06;S25;S37;DESIGN</t>
        </is>
      </c>
      <c r="Y321" s="38" t="inlineStr">
        <is>
          <t>https://www.fairwork.gov.au/pay-and-wages/minimum-wages/annualised-salaries
https://www.fairwork.gov.au/tools-and-resources/best-practice-guides/consultation-and-cooperation-in-the-workplace
https://www.fwc.gov.au/what-enterprise-agreement</t>
        </is>
      </c>
      <c r="Z321" s="38" t="inlineStr">
        <is>
          <t>Assuming nominal expiry automatically ends the agreement.</t>
        </is>
      </c>
    </row>
    <row r="322" ht="91" customHeight="1">
      <c r="A322" s="37" t="inlineStr">
        <is>
          <t>B20_1</t>
        </is>
      </c>
      <c r="B322" s="37" t="inlineStr">
        <is>
          <t>B20</t>
        </is>
      </c>
      <c r="C322" s="48" t="n">
        <v>1</v>
      </c>
      <c r="D322" s="37" t="inlineStr">
        <is>
          <t>We have the agreement, but rely on historical payroll settings.</t>
        </is>
      </c>
      <c r="E322" s="37" t="inlineStr">
        <is>
          <t>Use the actual agreement, not a generic award checklist</t>
        </is>
      </c>
      <c r="F322" s="37" t="inlineStr">
        <is>
          <t>The selected response relies on assumptions, informal decisions or an inconsistent process. The action is to make the relevant check reliable in routine work.</t>
        </is>
      </c>
      <c r="G322" s="37" t="inlineStr">
        <is>
          <t>Maintaining headline rates alone can miss agreement rules governing classifications, allowances and employment decisions.</t>
        </is>
      </c>
      <c r="H322" s="37" t="inlineStr">
        <is>
          <t>Enterprise agreement application</t>
        </is>
      </c>
      <c r="I322" s="48" t="n">
        <v>3</v>
      </c>
      <c r="J322" s="48" t="n">
        <v>3</v>
      </c>
      <c r="K322" s="48" t="n">
        <v>3</v>
      </c>
      <c r="L322" s="37" t="inlineStr">
        <is>
          <t>High provisional concern: an essential element remains unresolved. Maintaining headline rates alone can miss agreement rules governing classifications, allowances and employment decisions.</t>
        </is>
      </c>
      <c r="M322" s="37" t="inlineStr">
        <is>
          <t>Replace the assumption with a current check. Map the applicable agreement and coverage to affected roles, then check key payroll and employment processes against its current operation.</t>
        </is>
      </c>
      <c r="N322" s="37" t="inlineStr">
        <is>
          <t>Map the applicable agreement and current obligations to payroll and relevant people processes.</t>
        </is>
      </c>
      <c r="O322" s="37" t="inlineStr">
        <is>
          <t>Check a changed rate and an exception scenario, including how updates reach each responsible person.</t>
        </is>
      </c>
      <c r="P322" s="37" t="inlineStr">
        <is>
          <t>Review or verify within two business days and before the next affected event if earlier. Do not wait where a duty or current harm requires earlier action.</t>
        </is>
      </c>
      <c r="Q322" s="37" t="inlineStr">
        <is>
          <t>Applicable agreement obligations are mapped to actual processes, identified differences have been corrected and the affected pay, hours or decision process has been checked again. Confirm that the change works in practice, not only that a document exists.</t>
        </is>
      </c>
      <c r="R322" s="37" t="inlineStr">
        <is>
          <t>Applicable agreement obligations are mapped to actual processes, identified differences have been corrected and the affected pay, hours or decision process has been checked again.</t>
        </is>
      </c>
      <c r="S322" s="37" t="inlineStr">
        <is>
          <t>Agreement variation, replacement, termination or an operational change.</t>
        </is>
      </c>
      <c r="T322" s="37" t="inlineStr">
        <is>
          <t>Payroll lead / owner</t>
        </is>
      </c>
      <c r="U322" s="37" t="inlineStr">
        <is>
          <t>Targeted payroll, award/classification or salary-arrangement review, scoped to the flagged population.</t>
        </is>
      </c>
      <c r="V322" s="37" t="inlineStr">
        <is>
          <t>PAY_ASSURANCE</t>
        </is>
      </c>
      <c r="W322" s="37" t="inlineStr">
        <is>
          <t>A_B20</t>
        </is>
      </c>
      <c r="X322" s="37" t="inlineStr">
        <is>
          <t>S06;S25;S37;DESIGN</t>
        </is>
      </c>
      <c r="Y322" s="37" t="inlineStr">
        <is>
          <t>https://www.fairwork.gov.au/pay-and-wages/minimum-wages/annualised-salaries
https://www.fairwork.gov.au/tools-and-resources/best-practice-guides/consultation-and-cooperation-in-the-workplace
https://www.fwc.gov.au/what-enterprise-agreement</t>
        </is>
      </c>
      <c r="Z322" s="37" t="inlineStr">
        <is>
          <t>Assuming nominal expiry automatically ends the agreement.</t>
        </is>
      </c>
    </row>
    <row r="323" ht="91" customHeight="1">
      <c r="A323" s="38" t="inlineStr">
        <is>
          <t>B20_2</t>
        </is>
      </c>
      <c r="B323" s="38" t="inlineStr">
        <is>
          <t>B20</t>
        </is>
      </c>
      <c r="C323" s="49" t="n">
        <v>2</v>
      </c>
      <c r="D323" s="38" t="inlineStr">
        <is>
          <t>Key rates are maintained, but classifications, allowances, consultation or other terms need review.</t>
        </is>
      </c>
      <c r="E323" s="38" t="inlineStr">
        <is>
          <t>Complete the remaining check: use the actual agreement, not a generic award checklist</t>
        </is>
      </c>
      <c r="F323" s="38" t="inlineStr">
        <is>
          <t>The selected response identifies an incomplete element within an existing practice. Keep what works and target the unresolved part; the stronger elements do not cancel the gap.</t>
        </is>
      </c>
      <c r="G323" s="38" t="inlineStr">
        <is>
          <t>Maintaining headline rates alone can miss agreement rules governing classifications, allowances and employment decisions.</t>
        </is>
      </c>
      <c r="H323" s="38" t="inlineStr">
        <is>
          <t>Enterprise agreement application</t>
        </is>
      </c>
      <c r="I323" s="49" t="n">
        <v>3</v>
      </c>
      <c r="J323" s="49" t="n">
        <v>3</v>
      </c>
      <c r="K323" s="49" t="n">
        <v>3</v>
      </c>
      <c r="L323" s="38" t="inlineStr">
        <is>
          <t>High provisional concern: an essential element remains unresolved. Maintaining headline rates alone can miss agreement rules governing classifications, allowances and employment decisions.</t>
        </is>
      </c>
      <c r="M323" s="38" t="inlineStr">
        <is>
          <t>Focus on the unresolved arrangements or exceptions. Map the applicable agreement and coverage to affected roles, then check key payroll and employment processes against its current operation.</t>
        </is>
      </c>
      <c r="N323" s="38" t="inlineStr">
        <is>
          <t>Map the applicable agreement and current obligations to payroll and relevant people processes.</t>
        </is>
      </c>
      <c r="O323" s="38" t="inlineStr">
        <is>
          <t>Check a changed rate and an exception scenario, including how updates reach each responsible person.</t>
        </is>
      </c>
      <c r="P323" s="38" t="inlineStr">
        <is>
          <t>Review or verify within two business days and before the next affected event if earlier. Do not wait where a duty or current harm requires earlier action.</t>
        </is>
      </c>
      <c r="Q323" s="38" t="inlineStr">
        <is>
          <t>Applicable agreement obligations are mapped to actual processes, identified differences have been corrected and the affected pay, hours or decision process has been checked again. Confirm that the change works in practice, not only that a document exists.</t>
        </is>
      </c>
      <c r="R323" s="38" t="inlineStr">
        <is>
          <t>Applicable agreement obligations are mapped to actual processes, identified differences have been corrected and the affected pay, hours or decision process has been checked again.</t>
        </is>
      </c>
      <c r="S323" s="38" t="inlineStr">
        <is>
          <t>Agreement variation, replacement, termination or an operational change.</t>
        </is>
      </c>
      <c r="T323" s="38" t="inlineStr">
        <is>
          <t>Payroll lead / owner</t>
        </is>
      </c>
      <c r="U323" s="38" t="inlineStr">
        <is>
          <t>Targeted payroll, award/classification or salary-arrangement review, scoped to the flagged population.</t>
        </is>
      </c>
      <c r="V323" s="38" t="inlineStr">
        <is>
          <t>PAY_ASSURANCE</t>
        </is>
      </c>
      <c r="W323" s="38" t="inlineStr">
        <is>
          <t>A_B20</t>
        </is>
      </c>
      <c r="X323" s="38" t="inlineStr">
        <is>
          <t>S06;S25;S37;DESIGN</t>
        </is>
      </c>
      <c r="Y323" s="38" t="inlineStr">
        <is>
          <t>https://www.fairwork.gov.au/pay-and-wages/minimum-wages/annualised-salaries
https://www.fairwork.gov.au/tools-and-resources/best-practice-guides/consultation-and-cooperation-in-the-workplace
https://www.fwc.gov.au/what-enterprise-agreement</t>
        </is>
      </c>
      <c r="Z323" s="38" t="inlineStr">
        <is>
          <t>Assuming nominal expiry automatically ends the agreement.</t>
        </is>
      </c>
    </row>
    <row r="324" ht="91" customHeight="1">
      <c r="A324" s="37" t="inlineStr">
        <is>
          <t>B20_3</t>
        </is>
      </c>
      <c r="B324" s="37" t="inlineStr">
        <is>
          <t>B20</t>
        </is>
      </c>
      <c r="C324" s="48" t="n">
        <v>3</v>
      </c>
      <c r="D324" s="37" t="inlineStr">
        <is>
          <t>We maintain the applicable agreement rules, check changes and apply them consistently to payroll and relevant employment decisions.</t>
        </is>
      </c>
      <c r="E324" s="37" t="inlineStr">
        <is>
          <t>Maintain and test: use the actual agreement, not a generic award checklist</t>
        </is>
      </c>
      <c r="F324" s="37" t="inlineStr">
        <is>
          <t>The selected response reports an established and checked practice. The tool has not inspected the evidence and cannot certify the absence of risk.</t>
        </is>
      </c>
      <c r="G324" s="37" t="inlineStr">
        <is>
          <t>Maintaining headline rates alone can miss agreement rules governing classifications, allowances and employment decisions.</t>
        </is>
      </c>
      <c r="H324" s="37" t="inlineStr">
        <is>
          <t>Enterprise agreement application</t>
        </is>
      </c>
      <c r="I324" s="48" t="n">
        <v>3</v>
      </c>
      <c r="J324" s="48" t="n">
        <v>1</v>
      </c>
      <c r="K324" s="48" t="n">
        <v>1</v>
      </c>
      <c r="L324" s="37" t="inlineStr">
        <is>
          <t>Lower reported concern, not a finding of no risk. The assumed controls are self-reported; a current incident, contrary evidence or failed control takes precedence.</t>
        </is>
      </c>
      <c r="M324" s="37" t="inlineStr">
        <is>
          <t>Maintain the practice described. At the next relevant review, check a changed rate and an exception scenario, including how updates reach each responsible person.</t>
        </is>
      </c>
      <c r="N324" s="37" t="inlineStr">
        <is>
          <t>Check whether changes in work, people or applicable requirements have made the original process less reliable.</t>
        </is>
      </c>
      <c r="O324" s="37" t="inlineStr">
        <is>
          <t>Retain the review outcome and act on any new exception. An unresolved live issue overrides this maintenance pathway.</t>
        </is>
      </c>
      <c r="P324" s="37" t="inlineStr">
        <is>
          <t>Maintain at the stated trigger; for a new low-priority improvement, plan within 90 days.</t>
        </is>
      </c>
      <c r="Q324" s="37" t="inlineStr">
        <is>
          <t>A current example of the practice and a proportionate recheck record. Applicable agreement obligations are mapped to actual processes, identified differences have been corrected and the affected pay, hours or decision process has been checked again.</t>
        </is>
      </c>
      <c r="R324" s="37" t="inlineStr">
        <is>
          <t>Applicable agreement obligations are mapped to actual processes, identified differences have been corrected and the affected pay, hours or decision process has been checked again.</t>
        </is>
      </c>
      <c r="S324" s="37" t="inlineStr">
        <is>
          <t>Agreement variation, replacement, termination or an operational change.</t>
        </is>
      </c>
      <c r="T324" s="37" t="inlineStr">
        <is>
          <t>Payroll lead / owner</t>
        </is>
      </c>
      <c r="U324" s="37" t="inlineStr">
        <is>
          <t>No further purchase is implied by this result. Seek support only for a material change, unresolved exception or chosen improvement.</t>
        </is>
      </c>
      <c r="V324" s="37" t="inlineStr">
        <is>
          <t>PAY_ASSURANCE</t>
        </is>
      </c>
      <c r="W324" s="37" t="inlineStr">
        <is>
          <t>A_B20</t>
        </is>
      </c>
      <c r="X324" s="37" t="inlineStr">
        <is>
          <t>S06;S25;S37;DESIGN</t>
        </is>
      </c>
      <c r="Y324" s="37" t="inlineStr">
        <is>
          <t>https://www.fairwork.gov.au/pay-and-wages/minimum-wages/annualised-salaries
https://www.fairwork.gov.au/tools-and-resources/best-practice-guides/consultation-and-cooperation-in-the-workplace
https://www.fwc.gov.au/what-enterprise-agreement</t>
        </is>
      </c>
      <c r="Z324" s="37" t="inlineStr">
        <is>
          <t>Assuming nominal expiry automatically ends the agreement.</t>
        </is>
      </c>
    </row>
    <row r="325" ht="91" customHeight="1">
      <c r="A325" s="38" t="inlineStr">
        <is>
          <t>B20_DK</t>
        </is>
      </c>
      <c r="B325" s="38" t="inlineStr">
        <is>
          <t>B20</t>
        </is>
      </c>
      <c r="C325" s="38" t="inlineStr">
        <is>
          <t>DK</t>
        </is>
      </c>
      <c r="D325" s="38" t="inlineStr">
        <is>
          <t>I need to confirm this.</t>
        </is>
      </c>
      <c r="E325" s="38" t="inlineStr">
        <is>
          <t>Verify: use the actual agreement, not a generic award checklist</t>
        </is>
      </c>
      <c r="F325" s="38" t="inlineStr">
        <is>
          <t>This answer identifies a knowledge gap. It does not establish that the practice is missing, that harm has occurred or that a legal duty has been breached.</t>
        </is>
      </c>
      <c r="G325" s="38" t="inlineStr">
        <is>
          <t>Maintaining headline rates alone can miss agreement rules governing classifications, allowances and employment decisions.</t>
        </is>
      </c>
      <c r="H325" s="38" t="inlineStr">
        <is>
          <t>Enterprise agreement application</t>
        </is>
      </c>
      <c r="I325" s="49" t="n">
        <v>3</v>
      </c>
      <c r="J325" s="49" t="n">
        <v>0</v>
      </c>
      <c r="K325" s="49" t="n">
        <v>3</v>
      </c>
      <c r="L325" s="38" t="inlineStr">
        <is>
          <t>The risk is not rated from an unknown answer. Verification is High priority because: Maintaining headline rates alone can miss agreement rules governing classifications, allowances and employment decisions.</t>
        </is>
      </c>
      <c r="M325" s="38" t="inlineStr">
        <is>
          <t>Ask the payroll lead / owner to show a current example of the process and the evidence listed below. Confirm the answer before deciding what must be repaired.</t>
        </is>
      </c>
      <c r="N325" s="38" t="inlineStr">
        <is>
          <t>Compare the example with the established-practice description: We maintain the applicable agreement rules, check changes and apply them consistently to payroll and relevant employment decisions.</t>
        </is>
      </c>
      <c r="O325" s="38" t="inlineStr">
        <is>
          <t>Record what was checked, by whom and when. If it remains unclear, keep the verification task open and agree any proportionate interim safeguard.</t>
        </is>
      </c>
      <c r="P325" s="38" t="inlineStr">
        <is>
          <t>Review or verify within two business days and before the next affected event if earlier. Do not wait where a duty or current harm requires earlier action.</t>
        </is>
      </c>
      <c r="Q325" s="38" t="inlineStr">
        <is>
          <t>A dated verification record, the supporting example, an updated answer and any remaining action. No automatic compliance conclusion.</t>
        </is>
      </c>
      <c r="R325" s="38" t="inlineStr">
        <is>
          <t>Applicable agreement obligations are mapped to actual processes, identified differences have been corrected and the affected pay, hours or decision process has been checked again.</t>
        </is>
      </c>
      <c r="S325" s="38" t="inlineStr">
        <is>
          <t>Agreement variation, replacement, termination or an operational change.</t>
        </is>
      </c>
      <c r="T325" s="38" t="inlineStr">
        <is>
          <t>Payroll lead / owner</t>
        </is>
      </c>
      <c r="U325" s="38" t="inlineStr">
        <is>
          <t>Targeted payroll, award/classification or salary-arrangement review, scoped to the flagged population.</t>
        </is>
      </c>
      <c r="V325" s="38" t="inlineStr">
        <is>
          <t>PAY_ASSURANCE</t>
        </is>
      </c>
      <c r="W325" s="38" t="inlineStr">
        <is>
          <t>A_B20</t>
        </is>
      </c>
      <c r="X325" s="38" t="inlineStr">
        <is>
          <t>S06;S25;S37;DESIGN</t>
        </is>
      </c>
      <c r="Y325" s="38" t="inlineStr">
        <is>
          <t>https://www.fairwork.gov.au/pay-and-wages/minimum-wages/annualised-salaries
https://www.fairwork.gov.au/tools-and-resources/best-practice-guides/consultation-and-cooperation-in-the-workplace
https://www.fwc.gov.au/what-enterprise-agreement</t>
        </is>
      </c>
      <c r="Z325" s="38" t="inlineStr">
        <is>
          <t>Assuming nominal expiry automatically ends the agreement.</t>
        </is>
      </c>
    </row>
    <row r="326" ht="91" customHeight="1">
      <c r="A326" s="37" t="inlineStr">
        <is>
          <t>B21_0</t>
        </is>
      </c>
      <c r="B326" s="37" t="inlineStr">
        <is>
          <t>B21</t>
        </is>
      </c>
      <c r="C326" s="48" t="n">
        <v>0</v>
      </c>
      <c r="D326" s="37" t="inlineStr">
        <is>
          <t>We generally announce changes after the arrangements are final.</t>
        </is>
      </c>
      <c r="E326" s="37" t="inlineStr">
        <is>
          <t>Build consultation into the change plan</t>
        </is>
      </c>
      <c r="F326" s="37" t="inlineStr">
        <is>
          <t>The selected response reports a missing or unestablished element. Confirm the affected arrangements before drawing a conclusion about any actual breach or harm.</t>
        </is>
      </c>
      <c r="G326" s="37" t="inlineStr">
        <is>
          <t>Late consultation can prevent genuine consideration of employee views and leave required process steps uncompleted.</t>
        </is>
      </c>
      <c r="H326" s="37" t="inlineStr">
        <is>
          <t>Consultation and organisational change</t>
        </is>
      </c>
      <c r="I326" s="48" t="n">
        <v>3</v>
      </c>
      <c r="J326" s="48" t="n">
        <v>3</v>
      </c>
      <c r="K326" s="48" t="n">
        <v>3</v>
      </c>
      <c r="L326" s="37" t="inlineStr">
        <is>
          <t>High provisional concern: an essential element remains unresolved. Late consultation can prevent genuine consideration of employee views and leave required process steps uncompleted.</t>
        </is>
      </c>
      <c r="M326" s="37" t="inlineStr">
        <is>
          <t>For the next material change, identify affected workers and representatives, required information and consultation timing before implementation commitments are made.</t>
        </is>
      </c>
      <c r="N326" s="37" t="inlineStr">
        <is>
          <t>Identify the applicable trigger, timing and affected employees or representatives, then provide the necessary information and opportunity for input.</t>
        </is>
      </c>
      <c r="O326" s="37" t="inlineStr">
        <is>
          <t>Record how views were considered before the relevant step is finalised, and check any separate consent requirements.</t>
        </is>
      </c>
      <c r="P326" s="37" t="inlineStr">
        <is>
          <t>Review or verify within two business days and before the next affected event if earlier. Do not wait where a duty or current harm requires earlier action.</t>
        </is>
      </c>
      <c r="Q326" s="37" t="inlineStr">
        <is>
          <t>Required information and consultation occurred at the appropriate stage, employee views were genuinely considered, the outcome was communicated and resulting commitments were implemented and checked. Obtain any separately required agreement. Confirm that the change works in practice, not only that a document exists.</t>
        </is>
      </c>
      <c r="R326" s="37" t="inlineStr">
        <is>
          <t>Required information and consultation occurred at the appropriate stage, employee views were genuinely considered, the outcome was communicated and resulting commitments were implemented and checked. Obtain any separately required agreement.</t>
        </is>
      </c>
      <c r="S326" s="37" t="inlineStr">
        <is>
          <t>A material change to work, rosters, technology or structure.</t>
        </is>
      </c>
      <c r="T326" s="37" t="inlineStr">
        <is>
          <t>Owner / HR lead</t>
        </is>
      </c>
      <c r="U326" s="37" t="inlineStr">
        <is>
          <t>Proportionate policy review and manager implementation support.</t>
        </is>
      </c>
      <c r="V326" s="37" t="inlineStr">
        <is>
          <t>CHANGE</t>
        </is>
      </c>
      <c r="W326" s="37" t="inlineStr">
        <is>
          <t>A_B21</t>
        </is>
      </c>
      <c r="X326" s="37" t="inlineStr">
        <is>
          <t>S25;S11;DESIGN</t>
        </is>
      </c>
      <c r="Y326" s="37" t="inlineStr">
        <is>
          <t>https://www.fairwork.gov.au/tools-and-resources/best-practice-guides/consultation-and-cooperation-in-the-workplace
https://www.safeworkaustralia.gov.au/safety-topic/managing-health-and-safety/mental-health/managing-risks/identifying-assessing-controlling-and-reviewing</t>
        </is>
      </c>
      <c r="Z326" s="37" t="inlineStr">
        <is>
          <t>Calling a finished-decision announcement consultation, or assuming consultation always means negotiation.</t>
        </is>
      </c>
    </row>
    <row r="327" ht="91" customHeight="1">
      <c r="A327" s="38" t="inlineStr">
        <is>
          <t>B21_1</t>
        </is>
      </c>
      <c r="B327" s="38" t="inlineStr">
        <is>
          <t>B21</t>
        </is>
      </c>
      <c r="C327" s="49" t="n">
        <v>1</v>
      </c>
      <c r="D327" s="38" t="inlineStr">
        <is>
          <t>We discuss changes informally without checking required consultation.</t>
        </is>
      </c>
      <c r="E327" s="38" t="inlineStr">
        <is>
          <t>Build consultation into the change plan</t>
        </is>
      </c>
      <c r="F327" s="38" t="inlineStr">
        <is>
          <t>The selected response relies on assumptions, informal decisions or an inconsistent process. The action is to make the relevant check reliable in routine work.</t>
        </is>
      </c>
      <c r="G327" s="38" t="inlineStr">
        <is>
          <t>Late consultation can prevent genuine consideration of employee views and leave required process steps uncompleted.</t>
        </is>
      </c>
      <c r="H327" s="38" t="inlineStr">
        <is>
          <t>Consultation and organisational change</t>
        </is>
      </c>
      <c r="I327" s="49" t="n">
        <v>3</v>
      </c>
      <c r="J327" s="49" t="n">
        <v>3</v>
      </c>
      <c r="K327" s="49" t="n">
        <v>3</v>
      </c>
      <c r="L327" s="38" t="inlineStr">
        <is>
          <t>High provisional concern: an essential element remains unresolved. Late consultation can prevent genuine consideration of employee views and leave required process steps uncompleted.</t>
        </is>
      </c>
      <c r="M327" s="38" t="inlineStr">
        <is>
          <t>Replace the assumption with a current check. For the next material change, identify affected workers and representatives, required information and consultation timing before implementation commitments are made.</t>
        </is>
      </c>
      <c r="N327" s="38" t="inlineStr">
        <is>
          <t>Identify the applicable trigger, timing and affected employees or representatives, then provide the necessary information and opportunity for input.</t>
        </is>
      </c>
      <c r="O327" s="38" t="inlineStr">
        <is>
          <t>Record how views were considered before the relevant step is finalised, and check any separate consent requirements.</t>
        </is>
      </c>
      <c r="P327" s="38" t="inlineStr">
        <is>
          <t>Review or verify within two business days and before the next affected event if earlier. Do not wait where a duty or current harm requires earlier action.</t>
        </is>
      </c>
      <c r="Q327" s="38" t="inlineStr">
        <is>
          <t>Required information and consultation occurred at the appropriate stage, employee views were genuinely considered, the outcome was communicated and resulting commitments were implemented and checked. Obtain any separately required agreement. Confirm that the change works in practice, not only that a document exists.</t>
        </is>
      </c>
      <c r="R327" s="38" t="inlineStr">
        <is>
          <t>Required information and consultation occurred at the appropriate stage, employee views were genuinely considered, the outcome was communicated and resulting commitments were implemented and checked. Obtain any separately required agreement.</t>
        </is>
      </c>
      <c r="S327" s="38" t="inlineStr">
        <is>
          <t>A material change to work, rosters, technology or structure.</t>
        </is>
      </c>
      <c r="T327" s="38" t="inlineStr">
        <is>
          <t>Owner / HR lead</t>
        </is>
      </c>
      <c r="U327" s="38" t="inlineStr">
        <is>
          <t>Proportionate policy review and manager implementation support.</t>
        </is>
      </c>
      <c r="V327" s="38" t="inlineStr">
        <is>
          <t>CHANGE</t>
        </is>
      </c>
      <c r="W327" s="38" t="inlineStr">
        <is>
          <t>A_B21</t>
        </is>
      </c>
      <c r="X327" s="38" t="inlineStr">
        <is>
          <t>S25;S11;DESIGN</t>
        </is>
      </c>
      <c r="Y327" s="38" t="inlineStr">
        <is>
          <t>https://www.fairwork.gov.au/tools-and-resources/best-practice-guides/consultation-and-cooperation-in-the-workplace
https://www.safeworkaustralia.gov.au/safety-topic/managing-health-and-safety/mental-health/managing-risks/identifying-assessing-controlling-and-reviewing</t>
        </is>
      </c>
      <c r="Z327" s="38" t="inlineStr">
        <is>
          <t>Calling a finished-decision announcement consultation, or assuming consultation always means negotiation.</t>
        </is>
      </c>
    </row>
    <row r="328" ht="91" customHeight="1">
      <c r="A328" s="37" t="inlineStr">
        <is>
          <t>B21_2</t>
        </is>
      </c>
      <c r="B328" s="37" t="inlineStr">
        <is>
          <t>B21</t>
        </is>
      </c>
      <c r="C328" s="48" t="n">
        <v>2</v>
      </c>
      <c r="D328" s="37" t="inlineStr">
        <is>
          <t>We plan consultation, but timing, representation or consideration of feedback can be missed.</t>
        </is>
      </c>
      <c r="E328" s="37" t="inlineStr">
        <is>
          <t>Complete the remaining check: build consultation into the change plan</t>
        </is>
      </c>
      <c r="F328" s="37" t="inlineStr">
        <is>
          <t>The selected response identifies an incomplete element within an existing practice. Keep what works and target the unresolved part; the stronger elements do not cancel the gap.</t>
        </is>
      </c>
      <c r="G328" s="37" t="inlineStr">
        <is>
          <t>Late consultation can prevent genuine consideration of employee views and leave required process steps uncompleted.</t>
        </is>
      </c>
      <c r="H328" s="37" t="inlineStr">
        <is>
          <t>Consultation and organisational change</t>
        </is>
      </c>
      <c r="I328" s="48" t="n">
        <v>3</v>
      </c>
      <c r="J328" s="48" t="n">
        <v>2</v>
      </c>
      <c r="K328" s="48" t="n">
        <v>2</v>
      </c>
      <c r="L328" s="37" t="inlineStr">
        <is>
          <t>Medium provisional concern: a material practice needs improvement. Late consultation can prevent genuine consideration of employee views and leave required process steps uncompleted.</t>
        </is>
      </c>
      <c r="M328" s="37" t="inlineStr">
        <is>
          <t>Focus on the unresolved arrangements or exceptions. For the next material change, identify affected workers and representatives, required information and consultation timing before implementation commitments are made.</t>
        </is>
      </c>
      <c r="N328" s="37" t="inlineStr">
        <is>
          <t>Identify the applicable trigger, timing and affected employees or representatives, then provide the necessary information and opportunity for input.</t>
        </is>
      </c>
      <c r="O328" s="37" t="inlineStr">
        <is>
          <t>Record how views were considered before the relevant step is finalised, and check any separate consent requirements.</t>
        </is>
      </c>
      <c r="P328" s="37" t="inlineStr">
        <is>
          <t>Agree an owner and plan within 30 days, or before the next affected event if earlier.</t>
        </is>
      </c>
      <c r="Q328" s="37" t="inlineStr">
        <is>
          <t>Required information and consultation occurred at the appropriate stage, employee views were genuinely considered, the outcome was communicated and resulting commitments were implemented and checked. Obtain any separately required agreement. Confirm that the change works in practice, not only that a document exists.</t>
        </is>
      </c>
      <c r="R328" s="37" t="inlineStr">
        <is>
          <t>Required information and consultation occurred at the appropriate stage, employee views were genuinely considered, the outcome was communicated and resulting commitments were implemented and checked. Obtain any separately required agreement.</t>
        </is>
      </c>
      <c r="S328" s="37" t="inlineStr">
        <is>
          <t>A material change to work, rosters, technology or structure.</t>
        </is>
      </c>
      <c r="T328" s="37" t="inlineStr">
        <is>
          <t>Owner / HR lead</t>
        </is>
      </c>
      <c r="U328" s="37" t="inlineStr">
        <is>
          <t>Proportionate policy review and manager implementation support.</t>
        </is>
      </c>
      <c r="V328" s="37" t="inlineStr">
        <is>
          <t>CHANGE</t>
        </is>
      </c>
      <c r="W328" s="37" t="inlineStr">
        <is>
          <t>A_B21</t>
        </is>
      </c>
      <c r="X328" s="37" t="inlineStr">
        <is>
          <t>S25;S11;DESIGN</t>
        </is>
      </c>
      <c r="Y328" s="37" t="inlineStr">
        <is>
          <t>https://www.fairwork.gov.au/tools-and-resources/best-practice-guides/consultation-and-cooperation-in-the-workplace
https://www.safeworkaustralia.gov.au/safety-topic/managing-health-and-safety/mental-health/managing-risks/identifying-assessing-controlling-and-reviewing</t>
        </is>
      </c>
      <c r="Z328" s="37" t="inlineStr">
        <is>
          <t>Calling a finished-decision announcement consultation, or assuming consultation always means negotiation.</t>
        </is>
      </c>
    </row>
    <row r="329" ht="91" customHeight="1">
      <c r="A329" s="38" t="inlineStr">
        <is>
          <t>B21_3</t>
        </is>
      </c>
      <c r="B329" s="38" t="inlineStr">
        <is>
          <t>B21</t>
        </is>
      </c>
      <c r="C329" s="49" t="n">
        <v>3</v>
      </c>
      <c r="D329" s="38" t="inlineStr">
        <is>
          <t>We identify the applicable requirements, consult at the required stage and record how employee input was considered.</t>
        </is>
      </c>
      <c r="E329" s="38" t="inlineStr">
        <is>
          <t>Maintain and test: build consultation into the change plan</t>
        </is>
      </c>
      <c r="F329" s="38" t="inlineStr">
        <is>
          <t>The selected response reports an established and checked practice. The tool has not inspected the evidence and cannot certify the absence of risk.</t>
        </is>
      </c>
      <c r="G329" s="38" t="inlineStr">
        <is>
          <t>Late consultation can prevent genuine consideration of employee views and leave required process steps uncompleted.</t>
        </is>
      </c>
      <c r="H329" s="38" t="inlineStr">
        <is>
          <t>Consultation and organisational change</t>
        </is>
      </c>
      <c r="I329" s="49" t="n">
        <v>3</v>
      </c>
      <c r="J329" s="49" t="n">
        <v>1</v>
      </c>
      <c r="K329" s="49" t="n">
        <v>1</v>
      </c>
      <c r="L329" s="38" t="inlineStr">
        <is>
          <t>Lower reported concern, not a finding of no risk. The assumed controls are self-reported; a current incident, contrary evidence or failed control takes precedence.</t>
        </is>
      </c>
      <c r="M329" s="38" t="inlineStr">
        <is>
          <t>Maintain the practice described. At the next relevant review, record how views were considered before the relevant step is finalised, and check any separate consent requirements.</t>
        </is>
      </c>
      <c r="N329" s="38" t="inlineStr">
        <is>
          <t>Check whether changes in work, people or applicable requirements have made the original process less reliable.</t>
        </is>
      </c>
      <c r="O329" s="38" t="inlineStr">
        <is>
          <t>Retain the review outcome and act on any new exception. An unresolved live issue overrides this maintenance pathway.</t>
        </is>
      </c>
      <c r="P329" s="38" t="inlineStr">
        <is>
          <t>Maintain at the stated trigger; for a new low-priority improvement, plan within 90 days.</t>
        </is>
      </c>
      <c r="Q329" s="38" t="inlineStr">
        <is>
          <t>A current example of the practice and a proportionate recheck record. Required information and consultation occurred at the appropriate stage, employee views were genuinely considered, the outcome was communicated and resulting commitments were implemented and checked. Obtain any separately required agreement.</t>
        </is>
      </c>
      <c r="R329" s="38" t="inlineStr">
        <is>
          <t>Required information and consultation occurred at the appropriate stage, employee views were genuinely considered, the outcome was communicated and resulting commitments were implemented and checked. Obtain any separately required agreement.</t>
        </is>
      </c>
      <c r="S329" s="38" t="inlineStr">
        <is>
          <t>A material change to work, rosters, technology or structure.</t>
        </is>
      </c>
      <c r="T329" s="38" t="inlineStr">
        <is>
          <t>Owner / HR lead</t>
        </is>
      </c>
      <c r="U329" s="38" t="inlineStr">
        <is>
          <t>No further purchase is implied by this result. Seek support only for a material change, unresolved exception or chosen improvement.</t>
        </is>
      </c>
      <c r="V329" s="38" t="inlineStr">
        <is>
          <t>CHANGE</t>
        </is>
      </c>
      <c r="W329" s="38" t="inlineStr">
        <is>
          <t>A_B21</t>
        </is>
      </c>
      <c r="X329" s="38" t="inlineStr">
        <is>
          <t>S25;S11;DESIGN</t>
        </is>
      </c>
      <c r="Y329" s="38" t="inlineStr">
        <is>
          <t>https://www.fairwork.gov.au/tools-and-resources/best-practice-guides/consultation-and-cooperation-in-the-workplace
https://www.safeworkaustralia.gov.au/safety-topic/managing-health-and-safety/mental-health/managing-risks/identifying-assessing-controlling-and-reviewing</t>
        </is>
      </c>
      <c r="Z329" s="38" t="inlineStr">
        <is>
          <t>Calling a finished-decision announcement consultation, or assuming consultation always means negotiation.</t>
        </is>
      </c>
    </row>
    <row r="330" ht="91" customHeight="1">
      <c r="A330" s="37" t="inlineStr">
        <is>
          <t>B21_DK</t>
        </is>
      </c>
      <c r="B330" s="37" t="inlineStr">
        <is>
          <t>B21</t>
        </is>
      </c>
      <c r="C330" s="37" t="inlineStr">
        <is>
          <t>DK</t>
        </is>
      </c>
      <c r="D330" s="37" t="inlineStr">
        <is>
          <t>I need to confirm this.</t>
        </is>
      </c>
      <c r="E330" s="37" t="inlineStr">
        <is>
          <t>Verify: build consultation into the change plan</t>
        </is>
      </c>
      <c r="F330" s="37" t="inlineStr">
        <is>
          <t>This answer identifies a knowledge gap. It does not establish that the practice is missing, that harm has occurred or that a legal duty has been breached.</t>
        </is>
      </c>
      <c r="G330" s="37" t="inlineStr">
        <is>
          <t>Late consultation can prevent genuine consideration of employee views and leave required process steps uncompleted.</t>
        </is>
      </c>
      <c r="H330" s="37" t="inlineStr">
        <is>
          <t>Consultation and organisational change</t>
        </is>
      </c>
      <c r="I330" s="48" t="n">
        <v>3</v>
      </c>
      <c r="J330" s="48" t="n">
        <v>0</v>
      </c>
      <c r="K330" s="48" t="n">
        <v>3</v>
      </c>
      <c r="L330" s="37" t="inlineStr">
        <is>
          <t>The risk is not rated from an unknown answer. Verification is High priority because: Late consultation can prevent genuine consideration of employee views and leave required process steps uncompleted.</t>
        </is>
      </c>
      <c r="M330" s="37" t="inlineStr">
        <is>
          <t>Ask the owner / hr lead to show a current example of the process and the evidence listed below. Confirm the answer before deciding what must be repaired.</t>
        </is>
      </c>
      <c r="N330" s="37" t="inlineStr">
        <is>
          <t>Compare the example with the established-practice description: We identify the applicable requirements, consult at the required stage and record how employee input was considered.</t>
        </is>
      </c>
      <c r="O330" s="37" t="inlineStr">
        <is>
          <t>Record what was checked, by whom and when. If it remains unclear, keep the verification task open and agree any proportionate interim safeguard.</t>
        </is>
      </c>
      <c r="P330" s="37" t="inlineStr">
        <is>
          <t>Review or verify within two business days and before the next affected event if earlier. Do not wait where a duty or current harm requires earlier action.</t>
        </is>
      </c>
      <c r="Q330" s="37" t="inlineStr">
        <is>
          <t>A dated verification record, the supporting example, an updated answer and any remaining action. No automatic compliance conclusion.</t>
        </is>
      </c>
      <c r="R330" s="37" t="inlineStr">
        <is>
          <t>Required information and consultation occurred at the appropriate stage, employee views were genuinely considered, the outcome was communicated and resulting commitments were implemented and checked. Obtain any separately required agreement.</t>
        </is>
      </c>
      <c r="S330" s="37" t="inlineStr">
        <is>
          <t>A material change to work, rosters, technology or structure.</t>
        </is>
      </c>
      <c r="T330" s="37" t="inlineStr">
        <is>
          <t>Owner / HR lead</t>
        </is>
      </c>
      <c r="U330" s="37" t="inlineStr">
        <is>
          <t>Proportionate policy review and manager implementation support.</t>
        </is>
      </c>
      <c r="V330" s="37" t="inlineStr">
        <is>
          <t>CHANGE</t>
        </is>
      </c>
      <c r="W330" s="37" t="inlineStr">
        <is>
          <t>A_B21</t>
        </is>
      </c>
      <c r="X330" s="37" t="inlineStr">
        <is>
          <t>S25;S11;DESIGN</t>
        </is>
      </c>
      <c r="Y330" s="37" t="inlineStr">
        <is>
          <t>https://www.fairwork.gov.au/tools-and-resources/best-practice-guides/consultation-and-cooperation-in-the-workplace
https://www.safeworkaustralia.gov.au/safety-topic/managing-health-and-safety/mental-health/managing-risks/identifying-assessing-controlling-and-reviewing</t>
        </is>
      </c>
      <c r="Z330" s="37" t="inlineStr">
        <is>
          <t>Calling a finished-decision announcement consultation, or assuming consultation always means negotiation.</t>
        </is>
      </c>
    </row>
    <row r="331" ht="76" customHeight="1">
      <c r="A331" s="38" t="inlineStr">
        <is>
          <t>B22_0</t>
        </is>
      </c>
      <c r="B331" s="38" t="inlineStr">
        <is>
          <t>B22</t>
        </is>
      </c>
      <c r="C331" s="49" t="n">
        <v>0</v>
      </c>
      <c r="D331" s="38" t="inlineStr">
        <is>
          <t>We use reduced rates without checking the basis.</t>
        </is>
      </c>
      <c r="E331" s="38" t="inlineStr">
        <is>
          <t>Keep special-rate eligibility and progression current</t>
        </is>
      </c>
      <c r="F331" s="38" t="inlineStr">
        <is>
          <t>The selected response reports a missing or unestablished element. Confirm the affected arrangements before drawing a conclusion about any actual breach or harm.</t>
        </is>
      </c>
      <c r="G331" s="38" t="inlineStr">
        <is>
          <t>A reduced or starting rate may cease to be appropriate when age, duties, competency or training conditions change.</t>
        </is>
      </c>
      <c r="H331" s="38" t="inlineStr">
        <is>
          <t>Special rates and progression</t>
        </is>
      </c>
      <c r="I331" s="49" t="n">
        <v>3</v>
      </c>
      <c r="J331" s="49" t="n">
        <v>3</v>
      </c>
      <c r="K331" s="49" t="n">
        <v>3</v>
      </c>
      <c r="L331" s="38" t="inlineStr">
        <is>
          <t>High provisional concern: an essential element remains unresolved. A reduced or starting rate may cease to be appropriate when age, duties, competency or training conditions change.</t>
        </is>
      </c>
      <c r="M331" s="38" t="inlineStr">
        <is>
          <t>Check each affected employee's training arrangement, duties and progression dates against current requirements and payroll settings.</t>
        </is>
      </c>
      <c r="N331" s="38" t="inlineStr">
        <is>
          <t>Verify the applicable basis and progression triggers for each affected arrangement.</t>
        </is>
      </c>
      <c r="O331" s="38" t="inlineStr">
        <is>
          <t>Test a recent milestone and set responsibility for future changes in payroll and records.</t>
        </is>
      </c>
      <c r="P331" s="38" t="inlineStr">
        <is>
          <t>Review or verify within two business days and before the next affected event if earlier. Do not wait where a duty or current harm requires earlier action.</t>
        </is>
      </c>
      <c r="Q331" s="38" t="inlineStr">
        <is>
          <t>An eligibility and progression register with current evidence and payroll updates. Confirm that the change works in practice, not only that a document exists.</t>
        </is>
      </c>
      <c r="R331" s="38" t="inlineStr">
        <is>
          <t>An eligibility and progression register with current evidence and payroll updates.</t>
        </is>
      </c>
      <c r="S331" s="38" t="inlineStr">
        <is>
          <t>An age, competency, duties or training milestone.</t>
        </is>
      </c>
      <c r="T331" s="38" t="inlineStr">
        <is>
          <t>Payroll lead / owner</t>
        </is>
      </c>
      <c r="U331" s="38" t="inlineStr">
        <is>
          <t>Targeted payroll, award/classification or salary-arrangement review, scoped to the flagged population.</t>
        </is>
      </c>
      <c r="V331" s="38" t="inlineStr">
        <is>
          <t>PAY_ASSURANCE</t>
        </is>
      </c>
      <c r="W331" s="38" t="inlineStr">
        <is>
          <t>A_B22</t>
        </is>
      </c>
      <c r="X331" s="38" t="inlineStr">
        <is>
          <t>S33;S34;DESIGN</t>
        </is>
      </c>
      <c r="Y331" s="38" t="inlineStr">
        <is>
          <t>https://www.fairwork.gov.au/pay-and-wages/minimum-wages/apprentice-and-trainee-pay-rates
https://www.fairwork.gov.au/pay-and-wages/minimum-wages/junior-pay-rates</t>
        </is>
      </c>
      <c r="Z331" s="38" t="inlineStr">
        <is>
          <t>Using a lower rate solely because someone is young or learning a role.</t>
        </is>
      </c>
    </row>
    <row r="332" ht="76" customHeight="1">
      <c r="A332" s="37" t="inlineStr">
        <is>
          <t>B22_1</t>
        </is>
      </c>
      <c r="B332" s="37" t="inlineStr">
        <is>
          <t>B22</t>
        </is>
      </c>
      <c r="C332" s="48" t="n">
        <v>1</v>
      </c>
      <c r="D332" s="37" t="inlineStr">
        <is>
          <t>We rely on the starting rate and do not consistently track progression.</t>
        </is>
      </c>
      <c r="E332" s="37" t="inlineStr">
        <is>
          <t>Keep special-rate eligibility and progression current</t>
        </is>
      </c>
      <c r="F332" s="37" t="inlineStr">
        <is>
          <t>The selected response relies on assumptions, informal decisions or an inconsistent process. The action is to make the relevant check reliable in routine work.</t>
        </is>
      </c>
      <c r="G332" s="37" t="inlineStr">
        <is>
          <t>A reduced or starting rate may cease to be appropriate when age, duties, competency or training conditions change.</t>
        </is>
      </c>
      <c r="H332" s="37" t="inlineStr">
        <is>
          <t>Special rates and progression</t>
        </is>
      </c>
      <c r="I332" s="48" t="n">
        <v>3</v>
      </c>
      <c r="J332" s="48" t="n">
        <v>3</v>
      </c>
      <c r="K332" s="48" t="n">
        <v>3</v>
      </c>
      <c r="L332" s="37" t="inlineStr">
        <is>
          <t>High provisional concern: an essential element remains unresolved. A reduced or starting rate may cease to be appropriate when age, duties, competency or training conditions change.</t>
        </is>
      </c>
      <c r="M332" s="37" t="inlineStr">
        <is>
          <t>Replace the assumption with a current check. Check each affected employee's training arrangement, duties and progression dates against current requirements and payroll settings.</t>
        </is>
      </c>
      <c r="N332" s="37" t="inlineStr">
        <is>
          <t>Verify the applicable basis and progression triggers for each affected arrangement.</t>
        </is>
      </c>
      <c r="O332" s="37" t="inlineStr">
        <is>
          <t>Test a recent milestone and set responsibility for future changes in payroll and records.</t>
        </is>
      </c>
      <c r="P332" s="37" t="inlineStr">
        <is>
          <t>Review or verify within two business days and before the next affected event if earlier. Do not wait where a duty or current harm requires earlier action.</t>
        </is>
      </c>
      <c r="Q332" s="37" t="inlineStr">
        <is>
          <t>An eligibility and progression register with current evidence and payroll updates. Confirm that the change works in practice, not only that a document exists.</t>
        </is>
      </c>
      <c r="R332" s="37" t="inlineStr">
        <is>
          <t>An eligibility and progression register with current evidence and payroll updates.</t>
        </is>
      </c>
      <c r="S332" s="37" t="inlineStr">
        <is>
          <t>An age, competency, duties or training milestone.</t>
        </is>
      </c>
      <c r="T332" s="37" t="inlineStr">
        <is>
          <t>Payroll lead / owner</t>
        </is>
      </c>
      <c r="U332" s="37" t="inlineStr">
        <is>
          <t>Targeted payroll, award/classification or salary-arrangement review, scoped to the flagged population.</t>
        </is>
      </c>
      <c r="V332" s="37" t="inlineStr">
        <is>
          <t>PAY_ASSURANCE</t>
        </is>
      </c>
      <c r="W332" s="37" t="inlineStr">
        <is>
          <t>A_B22</t>
        </is>
      </c>
      <c r="X332" s="37" t="inlineStr">
        <is>
          <t>S33;S34;DESIGN</t>
        </is>
      </c>
      <c r="Y332" s="37" t="inlineStr">
        <is>
          <t>https://www.fairwork.gov.au/pay-and-wages/minimum-wages/apprentice-and-trainee-pay-rates
https://www.fairwork.gov.au/pay-and-wages/minimum-wages/junior-pay-rates</t>
        </is>
      </c>
      <c r="Z332" s="37" t="inlineStr">
        <is>
          <t>Using a lower rate solely because someone is young or learning a role.</t>
        </is>
      </c>
    </row>
    <row r="333" ht="76" customHeight="1">
      <c r="A333" s="38" t="inlineStr">
        <is>
          <t>B22_2</t>
        </is>
      </c>
      <c r="B333" s="38" t="inlineStr">
        <is>
          <t>B22</t>
        </is>
      </c>
      <c r="C333" s="49" t="n">
        <v>2</v>
      </c>
      <c r="D333" s="38" t="inlineStr">
        <is>
          <t>We check initial eligibility, but progression, duties or training conditions need review.</t>
        </is>
      </c>
      <c r="E333" s="38" t="inlineStr">
        <is>
          <t>Complete the remaining check: keep special-rate eligibility and progression current</t>
        </is>
      </c>
      <c r="F333" s="38" t="inlineStr">
        <is>
          <t>The selected response identifies an incomplete element within an existing practice. Keep what works and target the unresolved part; the stronger elements do not cancel the gap.</t>
        </is>
      </c>
      <c r="G333" s="38" t="inlineStr">
        <is>
          <t>A reduced or starting rate may cease to be appropriate when age, duties, competency or training conditions change.</t>
        </is>
      </c>
      <c r="H333" s="38" t="inlineStr">
        <is>
          <t>Special rates and progression</t>
        </is>
      </c>
      <c r="I333" s="49" t="n">
        <v>3</v>
      </c>
      <c r="J333" s="49" t="n">
        <v>2</v>
      </c>
      <c r="K333" s="49" t="n">
        <v>2</v>
      </c>
      <c r="L333" s="38" t="inlineStr">
        <is>
          <t>Medium provisional concern: a material practice needs improvement. A reduced or starting rate may cease to be appropriate when age, duties, competency or training conditions change.</t>
        </is>
      </c>
      <c r="M333" s="38" t="inlineStr">
        <is>
          <t>Focus on the unresolved arrangements or exceptions. Check each affected employee's training arrangement, duties and progression dates against current requirements and payroll settings.</t>
        </is>
      </c>
      <c r="N333" s="38" t="inlineStr">
        <is>
          <t>Verify the applicable basis and progression triggers for each affected arrangement.</t>
        </is>
      </c>
      <c r="O333" s="38" t="inlineStr">
        <is>
          <t>Test a recent milestone and set responsibility for future changes in payroll and records.</t>
        </is>
      </c>
      <c r="P333" s="38" t="inlineStr">
        <is>
          <t>Agree an owner and plan within 30 days, or before the next affected event if earlier.</t>
        </is>
      </c>
      <c r="Q333" s="38" t="inlineStr">
        <is>
          <t>An eligibility and progression register with current evidence and payroll updates. Confirm that the change works in practice, not only that a document exists.</t>
        </is>
      </c>
      <c r="R333" s="38" t="inlineStr">
        <is>
          <t>An eligibility and progression register with current evidence and payroll updates.</t>
        </is>
      </c>
      <c r="S333" s="38" t="inlineStr">
        <is>
          <t>An age, competency, duties or training milestone.</t>
        </is>
      </c>
      <c r="T333" s="38" t="inlineStr">
        <is>
          <t>Payroll lead / owner</t>
        </is>
      </c>
      <c r="U333" s="38" t="inlineStr">
        <is>
          <t>Targeted payroll, award/classification or salary-arrangement review, scoped to the flagged population.</t>
        </is>
      </c>
      <c r="V333" s="38" t="inlineStr">
        <is>
          <t>PAY_ASSURANCE</t>
        </is>
      </c>
      <c r="W333" s="38" t="inlineStr">
        <is>
          <t>A_B22</t>
        </is>
      </c>
      <c r="X333" s="38" t="inlineStr">
        <is>
          <t>S33;S34;DESIGN</t>
        </is>
      </c>
      <c r="Y333" s="38" t="inlineStr">
        <is>
          <t>https://www.fairwork.gov.au/pay-and-wages/minimum-wages/apprentice-and-trainee-pay-rates
https://www.fairwork.gov.au/pay-and-wages/minimum-wages/junior-pay-rates</t>
        </is>
      </c>
      <c r="Z333" s="38" t="inlineStr">
        <is>
          <t>Using a lower rate solely because someone is young or learning a role.</t>
        </is>
      </c>
    </row>
    <row r="334" ht="76" customHeight="1">
      <c r="A334" s="37" t="inlineStr">
        <is>
          <t>B22_3</t>
        </is>
      </c>
      <c r="B334" s="37" t="inlineStr">
        <is>
          <t>B22</t>
        </is>
      </c>
      <c r="C334" s="48" t="n">
        <v>3</v>
      </c>
      <c r="D334" s="37" t="inlineStr">
        <is>
          <t>We verify the applicable basis and track changes in age, competency, duties and training conditions that affect pay or employment.</t>
        </is>
      </c>
      <c r="E334" s="37" t="inlineStr">
        <is>
          <t>Maintain and test: keep special-rate eligibility and progression current</t>
        </is>
      </c>
      <c r="F334" s="37" t="inlineStr">
        <is>
          <t>The selected response reports an established and checked practice. The tool has not inspected the evidence and cannot certify the absence of risk.</t>
        </is>
      </c>
      <c r="G334" s="37" t="inlineStr">
        <is>
          <t>A reduced or starting rate may cease to be appropriate when age, duties, competency or training conditions change.</t>
        </is>
      </c>
      <c r="H334" s="37" t="inlineStr">
        <is>
          <t>Special rates and progression</t>
        </is>
      </c>
      <c r="I334" s="48" t="n">
        <v>3</v>
      </c>
      <c r="J334" s="48" t="n">
        <v>1</v>
      </c>
      <c r="K334" s="48" t="n">
        <v>1</v>
      </c>
      <c r="L334" s="37" t="inlineStr">
        <is>
          <t>Lower reported concern, not a finding of no risk. The assumed controls are self-reported; a current incident, contrary evidence or failed control takes precedence.</t>
        </is>
      </c>
      <c r="M334" s="37" t="inlineStr">
        <is>
          <t>Maintain the practice described. At the next relevant review, test a recent milestone and set responsibility for future changes in payroll and records.</t>
        </is>
      </c>
      <c r="N334" s="37" t="inlineStr">
        <is>
          <t>Check whether changes in work, people or applicable requirements have made the original process less reliable.</t>
        </is>
      </c>
      <c r="O334" s="37" t="inlineStr">
        <is>
          <t>Retain the review outcome and act on any new exception. An unresolved live issue overrides this maintenance pathway.</t>
        </is>
      </c>
      <c r="P334" s="37" t="inlineStr">
        <is>
          <t>Maintain at the stated trigger; for a new low-priority improvement, plan within 90 days.</t>
        </is>
      </c>
      <c r="Q334" s="37" t="inlineStr">
        <is>
          <t>A current example of the practice and a proportionate recheck record. An eligibility and progression register with current evidence and payroll updates.</t>
        </is>
      </c>
      <c r="R334" s="37" t="inlineStr">
        <is>
          <t>An eligibility and progression register with current evidence and payroll updates.</t>
        </is>
      </c>
      <c r="S334" s="37" t="inlineStr">
        <is>
          <t>An age, competency, duties or training milestone.</t>
        </is>
      </c>
      <c r="T334" s="37" t="inlineStr">
        <is>
          <t>Payroll lead / owner</t>
        </is>
      </c>
      <c r="U334" s="37" t="inlineStr">
        <is>
          <t>No further purchase is implied by this result. Seek support only for a material change, unresolved exception or chosen improvement.</t>
        </is>
      </c>
      <c r="V334" s="37" t="inlineStr">
        <is>
          <t>PAY_ASSURANCE</t>
        </is>
      </c>
      <c r="W334" s="37" t="inlineStr">
        <is>
          <t>A_B22</t>
        </is>
      </c>
      <c r="X334" s="37" t="inlineStr">
        <is>
          <t>S33;S34;DESIGN</t>
        </is>
      </c>
      <c r="Y334" s="37" t="inlineStr">
        <is>
          <t>https://www.fairwork.gov.au/pay-and-wages/minimum-wages/apprentice-and-trainee-pay-rates
https://www.fairwork.gov.au/pay-and-wages/minimum-wages/junior-pay-rates</t>
        </is>
      </c>
      <c r="Z334" s="37" t="inlineStr">
        <is>
          <t>Using a lower rate solely because someone is young or learning a role.</t>
        </is>
      </c>
    </row>
    <row r="335" ht="76" customHeight="1">
      <c r="A335" s="38" t="inlineStr">
        <is>
          <t>B22_DK</t>
        </is>
      </c>
      <c r="B335" s="38" t="inlineStr">
        <is>
          <t>B22</t>
        </is>
      </c>
      <c r="C335" s="38" t="inlineStr">
        <is>
          <t>DK</t>
        </is>
      </c>
      <c r="D335" s="38" t="inlineStr">
        <is>
          <t>I need to confirm this.</t>
        </is>
      </c>
      <c r="E335" s="38" t="inlineStr">
        <is>
          <t>Verify: keep special-rate eligibility and progression current</t>
        </is>
      </c>
      <c r="F335" s="38" t="inlineStr">
        <is>
          <t>This answer identifies a knowledge gap. It does not establish that the practice is missing, that harm has occurred or that a legal duty has been breached.</t>
        </is>
      </c>
      <c r="G335" s="38" t="inlineStr">
        <is>
          <t>A reduced or starting rate may cease to be appropriate when age, duties, competency or training conditions change.</t>
        </is>
      </c>
      <c r="H335" s="38" t="inlineStr">
        <is>
          <t>Special rates and progression</t>
        </is>
      </c>
      <c r="I335" s="49" t="n">
        <v>3</v>
      </c>
      <c r="J335" s="49" t="n">
        <v>0</v>
      </c>
      <c r="K335" s="49" t="n">
        <v>3</v>
      </c>
      <c r="L335" s="38" t="inlineStr">
        <is>
          <t>The risk is not rated from an unknown answer. Verification is High priority because: A reduced or starting rate may cease to be appropriate when age, duties, competency or training conditions change.</t>
        </is>
      </c>
      <c r="M335" s="38" t="inlineStr">
        <is>
          <t>Ask the payroll lead / owner to show a current example of the process and the evidence listed below. Confirm the answer before deciding what must be repaired.</t>
        </is>
      </c>
      <c r="N335" s="38" t="inlineStr">
        <is>
          <t>Compare the example with the established-practice description: We verify the applicable basis and track changes in age, competency, duties and training conditions that affect pay or employment.</t>
        </is>
      </c>
      <c r="O335" s="38" t="inlineStr">
        <is>
          <t>Record what was checked, by whom and when. If it remains unclear, keep the verification task open and agree any proportionate interim safeguard.</t>
        </is>
      </c>
      <c r="P335" s="38" t="inlineStr">
        <is>
          <t>Review or verify within two business days and before the next affected event if earlier. Do not wait where a duty or current harm requires earlier action.</t>
        </is>
      </c>
      <c r="Q335" s="38" t="inlineStr">
        <is>
          <t>A dated verification record, the supporting example, an updated answer and any remaining action. No automatic compliance conclusion.</t>
        </is>
      </c>
      <c r="R335" s="38" t="inlineStr">
        <is>
          <t>An eligibility and progression register with current evidence and payroll updates.</t>
        </is>
      </c>
      <c r="S335" s="38" t="inlineStr">
        <is>
          <t>An age, competency, duties or training milestone.</t>
        </is>
      </c>
      <c r="T335" s="38" t="inlineStr">
        <is>
          <t>Payroll lead / owner</t>
        </is>
      </c>
      <c r="U335" s="38" t="inlineStr">
        <is>
          <t>Targeted payroll, award/classification or salary-arrangement review, scoped to the flagged population.</t>
        </is>
      </c>
      <c r="V335" s="38" t="inlineStr">
        <is>
          <t>PAY_ASSURANCE</t>
        </is>
      </c>
      <c r="W335" s="38" t="inlineStr">
        <is>
          <t>A_B22</t>
        </is>
      </c>
      <c r="X335" s="38" t="inlineStr">
        <is>
          <t>S33;S34;DESIGN</t>
        </is>
      </c>
      <c r="Y335" s="38" t="inlineStr">
        <is>
          <t>https://www.fairwork.gov.au/pay-and-wages/minimum-wages/apprentice-and-trainee-pay-rates
https://www.fairwork.gov.au/pay-and-wages/minimum-wages/junior-pay-rates</t>
        </is>
      </c>
      <c r="Z335" s="38" t="inlineStr">
        <is>
          <t>Using a lower rate solely because someone is young or learning a role.</t>
        </is>
      </c>
    </row>
    <row r="336" ht="121" customHeight="1">
      <c r="A336" s="37" t="inlineStr">
        <is>
          <t>B23_0</t>
        </is>
      </c>
      <c r="B336" s="37" t="inlineStr">
        <is>
          <t>B23</t>
        </is>
      </c>
      <c r="C336" s="48" t="n">
        <v>0</v>
      </c>
      <c r="D336" s="37" t="inlineStr">
        <is>
          <t>A shortfall has been raised or identified, but no one owns a structured review.</t>
        </is>
      </c>
      <c r="E336" s="37" t="inlineStr">
        <is>
          <t>Resolve the shortfall and prevent its recurrence</t>
        </is>
      </c>
      <c r="F336" s="37" t="inlineStr">
        <is>
          <t>The selected response reports a missing or unestablished element. Confirm the affected arrangements before drawing a conclusion about any actual breach or harm.</t>
        </is>
      </c>
      <c r="G336" s="37" t="inlineStr">
        <is>
          <t>Fixing only the next payment can leave earlier entitlements unpaid or the same error affecting other people.</t>
        </is>
      </c>
      <c r="H336" s="37" t="inlineStr">
        <is>
          <t>Pay remediation</t>
        </is>
      </c>
      <c r="I336" s="48" t="n">
        <v>3</v>
      </c>
      <c r="J336" s="48" t="n">
        <v>3</v>
      </c>
      <c r="K336" s="48" t="n">
        <v>3</v>
      </c>
      <c r="L336" s="37" t="inlineStr">
        <is>
          <t>High provisional concern: an essential element remains unresolved. Fixing only the next payment can leave earlier entitlements unpaid or the same error affecting other people.</t>
        </is>
      </c>
      <c r="M336" s="37" t="inlineStr">
        <is>
          <t>Preserve the relevant pay and work records, allocate an owner and confirm what has been reported before deciding the scope of review.</t>
        </is>
      </c>
      <c r="N336" s="37" t="inlineStr">
        <is>
          <t>Establish the affected rule, period and population; calculate the correction and related obligations and communicate appropriately.</t>
        </is>
      </c>
      <c r="O336" s="37" t="inlineStr">
        <is>
          <t>Complete and record the correction, repair the cause and test a later affected pay cycle.</t>
        </is>
      </c>
      <c r="P336" s="37" t="inlineStr">
        <is>
          <t>Review or verify within two business days and before the next affected event if earlier. Do not wait where a duty or current harm requires earlier action.</t>
        </is>
      </c>
      <c r="Q336" s="37" t="inlineStr">
        <is>
          <t>A documented scope and calculation, correction and communication record, related obligation checks and a successful follow-up payroll test. Confirm that the change works in practice, not only that a document exists.</t>
        </is>
      </c>
      <c r="R336" s="37" t="inlineStr">
        <is>
          <t>A documented scope and calculation, correction and communication record, related obligation checks and a successful follow-up payroll test.</t>
        </is>
      </c>
      <c r="S336" s="37" t="inlineStr">
        <is>
          <t>Any suspected or identified shortfall and completion of its correction.</t>
        </is>
      </c>
      <c r="T336" s="37" t="inlineStr">
        <is>
          <t>Payroll lead / owner</t>
        </is>
      </c>
      <c r="U336" s="37" t="inlineStr">
        <is>
          <t>A targeted review of the flagged issue, practical implementation support and specialist referral where necessary.</t>
        </is>
      </c>
      <c r="V336" s="37" t="inlineStr">
        <is>
          <t>PAY_REMEDIATION</t>
        </is>
      </c>
      <c r="W336" s="37" t="inlineStr">
        <is>
          <t>A_B23</t>
        </is>
      </c>
      <c r="X336" s="37" t="inlineStr">
        <is>
          <t>S40;S05;S14;DESIGN</t>
        </is>
      </c>
      <c r="Y336" s="37"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Z336" s="37" t="inlineStr">
        <is>
          <t>Treating a changed payroll setting as evidence that past underpayments have been resolved.</t>
        </is>
      </c>
    </row>
    <row r="337" ht="121" customHeight="1">
      <c r="A337" s="38" t="inlineStr">
        <is>
          <t>B23_1</t>
        </is>
      </c>
      <c r="B337" s="38" t="inlineStr">
        <is>
          <t>B23</t>
        </is>
      </c>
      <c r="C337" s="49" t="n">
        <v>1</v>
      </c>
      <c r="D337" s="38" t="inlineStr">
        <is>
          <t>We change the next payment, but do not consistently check earlier periods or other affected employees.</t>
        </is>
      </c>
      <c r="E337" s="38" t="inlineStr">
        <is>
          <t>Resolve the shortfall and prevent its recurrence</t>
        </is>
      </c>
      <c r="F337" s="38" t="inlineStr">
        <is>
          <t>The selected response relies on assumptions, informal decisions or an inconsistent process. The action is to make the relevant check reliable in routine work.</t>
        </is>
      </c>
      <c r="G337" s="38" t="inlineStr">
        <is>
          <t>Fixing only the next payment can leave earlier entitlements unpaid or the same error affecting other people.</t>
        </is>
      </c>
      <c r="H337" s="38" t="inlineStr">
        <is>
          <t>Pay remediation</t>
        </is>
      </c>
      <c r="I337" s="49" t="n">
        <v>3</v>
      </c>
      <c r="J337" s="49" t="n">
        <v>3</v>
      </c>
      <c r="K337" s="49" t="n">
        <v>3</v>
      </c>
      <c r="L337" s="38" t="inlineStr">
        <is>
          <t>High provisional concern: an essential element remains unresolved. Fixing only the next payment can leave earlier entitlements unpaid or the same error affecting other people.</t>
        </is>
      </c>
      <c r="M337" s="38" t="inlineStr">
        <is>
          <t>Replace the assumption with a current check. Preserve the relevant pay and work records, allocate an owner and confirm what has been reported before deciding the scope of review.</t>
        </is>
      </c>
      <c r="N337" s="38" t="inlineStr">
        <is>
          <t>Establish the affected rule, period and population; calculate the correction and related obligations and communicate appropriately.</t>
        </is>
      </c>
      <c r="O337" s="38" t="inlineStr">
        <is>
          <t>Complete and record the correction, repair the cause and test a later affected pay cycle.</t>
        </is>
      </c>
      <c r="P337" s="38" t="inlineStr">
        <is>
          <t>Review or verify within two business days and before the next affected event if earlier. Do not wait where a duty or current harm requires earlier action.</t>
        </is>
      </c>
      <c r="Q337" s="38" t="inlineStr">
        <is>
          <t>A documented scope and calculation, correction and communication record, related obligation checks and a successful follow-up payroll test. Confirm that the change works in practice, not only that a document exists.</t>
        </is>
      </c>
      <c r="R337" s="38" t="inlineStr">
        <is>
          <t>A documented scope and calculation, correction and communication record, related obligation checks and a successful follow-up payroll test.</t>
        </is>
      </c>
      <c r="S337" s="38" t="inlineStr">
        <is>
          <t>Any suspected or identified shortfall and completion of its correction.</t>
        </is>
      </c>
      <c r="T337" s="38" t="inlineStr">
        <is>
          <t>Payroll lead / owner</t>
        </is>
      </c>
      <c r="U337" s="38" t="inlineStr">
        <is>
          <t>A targeted review of the flagged issue, practical implementation support and specialist referral where necessary.</t>
        </is>
      </c>
      <c r="V337" s="38" t="inlineStr">
        <is>
          <t>PAY_REMEDIATION</t>
        </is>
      </c>
      <c r="W337" s="38" t="inlineStr">
        <is>
          <t>A_B23</t>
        </is>
      </c>
      <c r="X337" s="38" t="inlineStr">
        <is>
          <t>S40;S05;S14;DESIGN</t>
        </is>
      </c>
      <c r="Y337" s="38"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Z337" s="38" t="inlineStr">
        <is>
          <t>Treating a changed payroll setting as evidence that past underpayments have been resolved.</t>
        </is>
      </c>
    </row>
    <row r="338" ht="121" customHeight="1">
      <c r="A338" s="37" t="inlineStr">
        <is>
          <t>B23_2</t>
        </is>
      </c>
      <c r="B338" s="37" t="inlineStr">
        <is>
          <t>B23</t>
        </is>
      </c>
      <c r="C338" s="48" t="n">
        <v>2</v>
      </c>
      <c r="D338" s="37" t="inlineStr">
        <is>
          <t>We investigate and arrange corrections, but the affected scope, communication or prevention check is incomplete.</t>
        </is>
      </c>
      <c r="E338" s="37" t="inlineStr">
        <is>
          <t>Complete the remaining check: resolve the shortfall and prevent its recurrence</t>
        </is>
      </c>
      <c r="F338" s="37" t="inlineStr">
        <is>
          <t>The selected response identifies an incomplete element within an existing practice. Keep what works and target the unresolved part; the stronger elements do not cancel the gap.</t>
        </is>
      </c>
      <c r="G338" s="37" t="inlineStr">
        <is>
          <t>Fixing only the next payment can leave earlier entitlements unpaid or the same error affecting other people.</t>
        </is>
      </c>
      <c r="H338" s="37" t="inlineStr">
        <is>
          <t>Pay remediation</t>
        </is>
      </c>
      <c r="I338" s="48" t="n">
        <v>3</v>
      </c>
      <c r="J338" s="48" t="n">
        <v>3</v>
      </c>
      <c r="K338" s="48" t="n">
        <v>3</v>
      </c>
      <c r="L338" s="37" t="inlineStr">
        <is>
          <t>High provisional concern: an essential element remains unresolved. Fixing only the next payment can leave earlier entitlements unpaid or the same error affecting other people.</t>
        </is>
      </c>
      <c r="M338" s="37" t="inlineStr">
        <is>
          <t>Focus on the unresolved arrangements or exceptions. Preserve the relevant pay and work records, allocate an owner and confirm what has been reported before deciding the scope of review.</t>
        </is>
      </c>
      <c r="N338" s="37" t="inlineStr">
        <is>
          <t>Establish the affected rule, period and population; calculate the correction and related obligations and communicate appropriately.</t>
        </is>
      </c>
      <c r="O338" s="37" t="inlineStr">
        <is>
          <t>Complete and record the correction, repair the cause and test a later affected pay cycle.</t>
        </is>
      </c>
      <c r="P338" s="37" t="inlineStr">
        <is>
          <t>Review or verify within two business days and before the next affected event if earlier. Do not wait where a duty or current harm requires earlier action.</t>
        </is>
      </c>
      <c r="Q338" s="37" t="inlineStr">
        <is>
          <t>A documented scope and calculation, correction and communication record, related obligation checks and a successful follow-up payroll test. Confirm that the change works in practice, not only that a document exists.</t>
        </is>
      </c>
      <c r="R338" s="37" t="inlineStr">
        <is>
          <t>A documented scope and calculation, correction and communication record, related obligation checks and a successful follow-up payroll test.</t>
        </is>
      </c>
      <c r="S338" s="37" t="inlineStr">
        <is>
          <t>Any suspected or identified shortfall and completion of its correction.</t>
        </is>
      </c>
      <c r="T338" s="37" t="inlineStr">
        <is>
          <t>Payroll lead / owner</t>
        </is>
      </c>
      <c r="U338" s="37" t="inlineStr">
        <is>
          <t>A targeted review of the flagged issue, practical implementation support and specialist referral where necessary.</t>
        </is>
      </c>
      <c r="V338" s="37" t="inlineStr">
        <is>
          <t>PAY_REMEDIATION</t>
        </is>
      </c>
      <c r="W338" s="37" t="inlineStr">
        <is>
          <t>A_B23</t>
        </is>
      </c>
      <c r="X338" s="37" t="inlineStr">
        <is>
          <t>S40;S05;S14;DESIGN</t>
        </is>
      </c>
      <c r="Y338" s="37"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Z338" s="37" t="inlineStr">
        <is>
          <t>Treating a changed payroll setting as evidence that past underpayments have been resolved.</t>
        </is>
      </c>
    </row>
    <row r="339" ht="121" customHeight="1">
      <c r="A339" s="38" t="inlineStr">
        <is>
          <t>B23_3</t>
        </is>
      </c>
      <c r="B339" s="38" t="inlineStr">
        <is>
          <t>B23</t>
        </is>
      </c>
      <c r="C339" s="49" t="n">
        <v>3</v>
      </c>
      <c r="D339" s="38" t="inlineStr">
        <is>
          <t>We confirm the affected scope, communicate appropriately, complete and record corrections, and check that the cause has been resolved.</t>
        </is>
      </c>
      <c r="E339" s="38" t="inlineStr">
        <is>
          <t>Maintain and test: resolve the shortfall and prevent its recurrence</t>
        </is>
      </c>
      <c r="F339" s="38" t="inlineStr">
        <is>
          <t>The selected response reports an established and checked practice. The tool has not inspected the evidence and cannot certify the absence of risk.</t>
        </is>
      </c>
      <c r="G339" s="38" t="inlineStr">
        <is>
          <t>Fixing only the next payment can leave earlier entitlements unpaid or the same error affecting other people.</t>
        </is>
      </c>
      <c r="H339" s="38" t="inlineStr">
        <is>
          <t>Pay remediation</t>
        </is>
      </c>
      <c r="I339" s="49" t="n">
        <v>3</v>
      </c>
      <c r="J339" s="49" t="n">
        <v>1</v>
      </c>
      <c r="K339" s="49" t="n">
        <v>1</v>
      </c>
      <c r="L339" s="38" t="inlineStr">
        <is>
          <t>Lower reported concern, not a finding of no risk. The assumed controls are self-reported; a current incident, contrary evidence or failed control takes precedence.</t>
        </is>
      </c>
      <c r="M339" s="38" t="inlineStr">
        <is>
          <t>Maintain the practice described. At the next relevant review, complete and record the correction, repair the cause and test a later affected pay cycle.</t>
        </is>
      </c>
      <c r="N339" s="38" t="inlineStr">
        <is>
          <t>Check whether changes in work, people or applicable requirements have made the original process less reliable.</t>
        </is>
      </c>
      <c r="O339" s="38" t="inlineStr">
        <is>
          <t>Retain the review outcome and act on any new exception. An unresolved live issue overrides this maintenance pathway.</t>
        </is>
      </c>
      <c r="P339" s="38" t="inlineStr">
        <is>
          <t>Maintain at the stated trigger; for a new low-priority improvement, plan within 90 days.</t>
        </is>
      </c>
      <c r="Q339" s="38" t="inlineStr">
        <is>
          <t>A current example of the practice and a proportionate recheck record. A documented scope and calculation, correction and communication record, related obligation checks and a successful follow-up payroll test.</t>
        </is>
      </c>
      <c r="R339" s="38" t="inlineStr">
        <is>
          <t>A documented scope and calculation, correction and communication record, related obligation checks and a successful follow-up payroll test.</t>
        </is>
      </c>
      <c r="S339" s="38" t="inlineStr">
        <is>
          <t>Any suspected or identified shortfall and completion of its correction.</t>
        </is>
      </c>
      <c r="T339" s="38" t="inlineStr">
        <is>
          <t>Payroll lead / owner</t>
        </is>
      </c>
      <c r="U339" s="38" t="inlineStr">
        <is>
          <t>No further purchase is implied by this result. Seek support only for a material change, unresolved exception or chosen improvement.</t>
        </is>
      </c>
      <c r="V339" s="38" t="inlineStr">
        <is>
          <t>PAY_REMEDIATION</t>
        </is>
      </c>
      <c r="W339" s="38" t="inlineStr">
        <is>
          <t>A_B23</t>
        </is>
      </c>
      <c r="X339" s="38" t="inlineStr">
        <is>
          <t>S40;S05;S14;DESIGN</t>
        </is>
      </c>
      <c r="Y339" s="38"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Z339" s="38" t="inlineStr">
        <is>
          <t>Treating a changed payroll setting as evidence that past underpayments have been resolved.</t>
        </is>
      </c>
    </row>
    <row r="340" ht="121" customHeight="1">
      <c r="A340" s="37" t="inlineStr">
        <is>
          <t>B23_DK</t>
        </is>
      </c>
      <c r="B340" s="37" t="inlineStr">
        <is>
          <t>B23</t>
        </is>
      </c>
      <c r="C340" s="37" t="inlineStr">
        <is>
          <t>DK</t>
        </is>
      </c>
      <c r="D340" s="37" t="inlineStr">
        <is>
          <t>I need to confirm this.</t>
        </is>
      </c>
      <c r="E340" s="37" t="inlineStr">
        <is>
          <t>Verify: resolve the shortfall and prevent its recurrence</t>
        </is>
      </c>
      <c r="F340" s="37" t="inlineStr">
        <is>
          <t>This answer identifies a knowledge gap. It does not establish that the practice is missing, that harm has occurred or that a legal duty has been breached.</t>
        </is>
      </c>
      <c r="G340" s="37" t="inlineStr">
        <is>
          <t>Fixing only the next payment can leave earlier entitlements unpaid or the same error affecting other people.</t>
        </is>
      </c>
      <c r="H340" s="37" t="inlineStr">
        <is>
          <t>Pay remediation</t>
        </is>
      </c>
      <c r="I340" s="48" t="n">
        <v>3</v>
      </c>
      <c r="J340" s="48" t="n">
        <v>0</v>
      </c>
      <c r="K340" s="48" t="n">
        <v>3</v>
      </c>
      <c r="L340" s="37" t="inlineStr">
        <is>
          <t>The risk is not rated from an unknown answer. Verification is High priority because: Fixing only the next payment can leave earlier entitlements unpaid or the same error affecting other people.</t>
        </is>
      </c>
      <c r="M340" s="37" t="inlineStr">
        <is>
          <t>Ask the payroll lead / owner to show a current example of the process and the evidence listed below. Confirm the answer before deciding what must be repaired.</t>
        </is>
      </c>
      <c r="N340" s="37" t="inlineStr">
        <is>
          <t>Compare the example with the established-practice description: We confirm the affected scope, communicate appropriately, complete and record corrections, and check that the cause has been resolved.</t>
        </is>
      </c>
      <c r="O340" s="37" t="inlineStr">
        <is>
          <t>Record what was checked, by whom and when. If it remains unclear, keep the verification task open and agree any proportionate interim safeguard.</t>
        </is>
      </c>
      <c r="P340" s="37" t="inlineStr">
        <is>
          <t>Review or verify within two business days and before the next affected event if earlier. Do not wait where a duty or current harm requires earlier action.</t>
        </is>
      </c>
      <c r="Q340" s="37" t="inlineStr">
        <is>
          <t>A dated verification record, the supporting example, an updated answer and any remaining action. No automatic compliance conclusion.</t>
        </is>
      </c>
      <c r="R340" s="37" t="inlineStr">
        <is>
          <t>A documented scope and calculation, correction and communication record, related obligation checks and a successful follow-up payroll test.</t>
        </is>
      </c>
      <c r="S340" s="37" t="inlineStr">
        <is>
          <t>Any suspected or identified shortfall and completion of its correction.</t>
        </is>
      </c>
      <c r="T340" s="37" t="inlineStr">
        <is>
          <t>Payroll lead / owner</t>
        </is>
      </c>
      <c r="U340" s="37" t="inlineStr">
        <is>
          <t>A targeted review of the flagged issue, practical implementation support and specialist referral where necessary.</t>
        </is>
      </c>
      <c r="V340" s="37" t="inlineStr">
        <is>
          <t>PAY_REMEDIATION</t>
        </is>
      </c>
      <c r="W340" s="37" t="inlineStr">
        <is>
          <t>A_B23</t>
        </is>
      </c>
      <c r="X340" s="37" t="inlineStr">
        <is>
          <t>S40;S05;S14;DESIGN</t>
        </is>
      </c>
      <c r="Y340" s="37" t="inlineStr">
        <is>
          <t>https://www.fairwork.gov.au/workplace-problems/common-workplace-problems/i-think-ive-underpaid-my-employee
https://www.ato.gov.au/businesses-and-organisations/super-for-employers/paying-super-on-payday/payment-deadlines-for-payday-super
https://www.fairwork.gov.au/tools-and-resources/fact-sheets/rights-and-obligations/record-keeping-pay-slips</t>
        </is>
      </c>
      <c r="Z340" s="37" t="inlineStr">
        <is>
          <t>Treating a changed payroll setting as evidence that past underpayments have been resolved.</t>
        </is>
      </c>
    </row>
    <row r="341" ht="151" customHeight="1">
      <c r="A341" s="38" t="inlineStr">
        <is>
          <t>B24_0</t>
        </is>
      </c>
      <c r="B341" s="38" t="inlineStr">
        <is>
          <t>B24</t>
        </is>
      </c>
      <c r="C341" s="49" t="n">
        <v>0</v>
      </c>
      <c r="D341" s="38" t="inlineStr">
        <is>
          <t>There is no clear way to raise or assess the need for an adjustment.</t>
        </is>
      </c>
      <c r="E341" s="38" t="inlineStr">
        <is>
          <t>Remove the work barrier through a considered adjustment</t>
        </is>
      </c>
      <c r="F341" s="38" t="inlineStr">
        <is>
          <t>The selected response reports a missing or unestablished element. Confirm the affected arrangements before drawing a conclusion about any actual breach or harm.</t>
        </is>
      </c>
      <c r="G341" s="38" t="inlineStr">
        <is>
          <t>A standard process may disadvantage a person where a workplace adjustment should be considered before a decision or task proceeds.</t>
        </is>
      </c>
      <c r="H341" s="38" t="inlineStr">
        <is>
          <t>Workplace access and reasonable adjustments</t>
        </is>
      </c>
      <c r="I341" s="49" t="n">
        <v>3</v>
      </c>
      <c r="J341" s="49" t="n">
        <v>3</v>
      </c>
      <c r="K341" s="49" t="n">
        <v>3</v>
      </c>
      <c r="L341" s="38" t="inlineStr">
        <is>
          <t>High provisional concern: an essential element remains unresolved. A standard process may disadvantage a person where a workplace adjustment should be considered before a decision or task proceeds.</t>
        </is>
      </c>
      <c r="M341" s="38" t="inlineStr">
        <is>
          <t>Arrange a private discussion about the work-related barrier and the outcome needed. Seek only information relevant to assessing the adjustment.</t>
        </is>
      </c>
      <c r="N341" s="38" t="inlineStr">
        <is>
          <t>Discuss the work-related barrier, essential job requirements and practical adjustment options with the person, seeking relevant advice where needed.</t>
        </is>
      </c>
      <c r="O341" s="38" t="inlineStr">
        <is>
          <t>Record the decision and reasoning, implement agreed measures and review whether the barrier has been addressed.</t>
        </is>
      </c>
      <c r="P341" s="38" t="inlineStr">
        <is>
          <t>Review or verify within two business days and before the next affected event if earlier. Do not wait where a duty or current harm requires earlier action.</t>
        </is>
      </c>
      <c r="Q341" s="38" t="inlineStr">
        <is>
          <t>A proportionate record of the barrier, options considered, decision and implementation, with a review of effectiveness and restricted information access. Confirm that the change works in practice, not only that a document exists.</t>
        </is>
      </c>
      <c r="R341" s="38" t="inlineStr">
        <is>
          <t>A proportionate record of the barrier, options considered, decision and implementation, with a review of effectiveness and restricted information access.</t>
        </is>
      </c>
      <c r="S341" s="38" t="inlineStr">
        <is>
          <t>An adjustment request, identified barrier or changed requirements.</t>
        </is>
      </c>
      <c r="T341" s="38" t="inlineStr">
        <is>
          <t>Owner / HR lead with the employee</t>
        </is>
      </c>
      <c r="U341" s="38" t="inlineStr">
        <is>
          <t>A targeted review of the flagged issue, practical implementation support and specialist referral where necessary.</t>
        </is>
      </c>
      <c r="V341" s="38" t="inlineStr">
        <is>
          <t>ADJUSTMENTS</t>
        </is>
      </c>
      <c r="W341" s="38" t="inlineStr">
        <is>
          <t>A_B24</t>
        </is>
      </c>
      <c r="X341" s="38" t="inlineStr">
        <is>
          <t>S41;S15;S22;DESIGN</t>
        </is>
      </c>
      <c r="Y341" s="38"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Z341" s="38" t="inlineStr">
        <is>
          <t>Seeking more medical detail than needed or assuming an adjustment is impossible without considering options.</t>
        </is>
      </c>
    </row>
    <row r="342" ht="151" customHeight="1">
      <c r="A342" s="37" t="inlineStr">
        <is>
          <t>B24_1</t>
        </is>
      </c>
      <c r="B342" s="37" t="inlineStr">
        <is>
          <t>B24</t>
        </is>
      </c>
      <c r="C342" s="48" t="n">
        <v>1</v>
      </c>
      <c r="D342" s="37" t="inlineStr">
        <is>
          <t>We rely on the manager's preference or apply a standard rule without exploring the individual barrier.</t>
        </is>
      </c>
      <c r="E342" s="37" t="inlineStr">
        <is>
          <t>Remove the work barrier through a considered adjustment</t>
        </is>
      </c>
      <c r="F342" s="37" t="inlineStr">
        <is>
          <t>The selected response relies on assumptions, informal decisions or an inconsistent process. The action is to make the relevant check reliable in routine work.</t>
        </is>
      </c>
      <c r="G342" s="37" t="inlineStr">
        <is>
          <t>A standard process may disadvantage a person where a workplace adjustment should be considered before a decision or task proceeds.</t>
        </is>
      </c>
      <c r="H342" s="37" t="inlineStr">
        <is>
          <t>Workplace access and reasonable adjustments</t>
        </is>
      </c>
      <c r="I342" s="48" t="n">
        <v>3</v>
      </c>
      <c r="J342" s="48" t="n">
        <v>3</v>
      </c>
      <c r="K342" s="48" t="n">
        <v>3</v>
      </c>
      <c r="L342" s="37" t="inlineStr">
        <is>
          <t>High provisional concern: an essential element remains unresolved. A standard process may disadvantage a person where a workplace adjustment should be considered before a decision or task proceeds.</t>
        </is>
      </c>
      <c r="M342" s="37" t="inlineStr">
        <is>
          <t>Replace the assumption with a current check. Arrange a private discussion about the work-related barrier and the outcome needed. Seek only information relevant to assessing the adjustment.</t>
        </is>
      </c>
      <c r="N342" s="37" t="inlineStr">
        <is>
          <t>Discuss the work-related barrier, essential job requirements and practical adjustment options with the person, seeking relevant advice where needed.</t>
        </is>
      </c>
      <c r="O342" s="37" t="inlineStr">
        <is>
          <t>Record the decision and reasoning, implement agreed measures and review whether the barrier has been addressed.</t>
        </is>
      </c>
      <c r="P342" s="37" t="inlineStr">
        <is>
          <t>Review or verify within two business days and before the next affected event if earlier. Do not wait where a duty or current harm requires earlier action.</t>
        </is>
      </c>
      <c r="Q342" s="37" t="inlineStr">
        <is>
          <t>A proportionate record of the barrier, options considered, decision and implementation, with a review of effectiveness and restricted information access. Confirm that the change works in practice, not only that a document exists.</t>
        </is>
      </c>
      <c r="R342" s="37" t="inlineStr">
        <is>
          <t>A proportionate record of the barrier, options considered, decision and implementation, with a review of effectiveness and restricted information access.</t>
        </is>
      </c>
      <c r="S342" s="37" t="inlineStr">
        <is>
          <t>An adjustment request, identified barrier or changed requirements.</t>
        </is>
      </c>
      <c r="T342" s="37" t="inlineStr">
        <is>
          <t>Owner / HR lead with the employee</t>
        </is>
      </c>
      <c r="U342" s="37" t="inlineStr">
        <is>
          <t>A targeted review of the flagged issue, practical implementation support and specialist referral where necessary.</t>
        </is>
      </c>
      <c r="V342" s="37" t="inlineStr">
        <is>
          <t>ADJUSTMENTS</t>
        </is>
      </c>
      <c r="W342" s="37" t="inlineStr">
        <is>
          <t>A_B24</t>
        </is>
      </c>
      <c r="X342" s="37" t="inlineStr">
        <is>
          <t>S41;S15;S22;DESIGN</t>
        </is>
      </c>
      <c r="Y342" s="37"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Z342" s="37" t="inlineStr">
        <is>
          <t>Seeking more medical detail than needed or assuming an adjustment is impossible without considering options.</t>
        </is>
      </c>
    </row>
    <row r="343" ht="151" customHeight="1">
      <c r="A343" s="38" t="inlineStr">
        <is>
          <t>B24_2</t>
        </is>
      </c>
      <c r="B343" s="38" t="inlineStr">
        <is>
          <t>B24</t>
        </is>
      </c>
      <c r="C343" s="49" t="n">
        <v>2</v>
      </c>
      <c r="D343" s="38" t="inlineStr">
        <is>
          <t>We discuss options, but the decision, implementation or review is inconsistent.</t>
        </is>
      </c>
      <c r="E343" s="38" t="inlineStr">
        <is>
          <t>Complete the remaining check: remove the work barrier through a considered adjustment</t>
        </is>
      </c>
      <c r="F343" s="38" t="inlineStr">
        <is>
          <t>The selected response identifies an incomplete element within an existing practice. Keep what works and target the unresolved part; the stronger elements do not cancel the gap.</t>
        </is>
      </c>
      <c r="G343" s="38" t="inlineStr">
        <is>
          <t>A standard process may disadvantage a person where a workplace adjustment should be considered before a decision or task proceeds.</t>
        </is>
      </c>
      <c r="H343" s="38" t="inlineStr">
        <is>
          <t>Workplace access and reasonable adjustments</t>
        </is>
      </c>
      <c r="I343" s="49" t="n">
        <v>3</v>
      </c>
      <c r="J343" s="49" t="n">
        <v>3</v>
      </c>
      <c r="K343" s="49" t="n">
        <v>3</v>
      </c>
      <c r="L343" s="38" t="inlineStr">
        <is>
          <t>High provisional concern: an essential element remains unresolved. A standard process may disadvantage a person where a workplace adjustment should be considered before a decision or task proceeds.</t>
        </is>
      </c>
      <c r="M343" s="38" t="inlineStr">
        <is>
          <t>Focus on the unresolved arrangements or exceptions. Arrange a private discussion about the work-related barrier and the outcome needed. Seek only information relevant to assessing the adjustment.</t>
        </is>
      </c>
      <c r="N343" s="38" t="inlineStr">
        <is>
          <t>Discuss the work-related barrier, essential job requirements and practical adjustment options with the person, seeking relevant advice where needed.</t>
        </is>
      </c>
      <c r="O343" s="38" t="inlineStr">
        <is>
          <t>Record the decision and reasoning, implement agreed measures and review whether the barrier has been addressed.</t>
        </is>
      </c>
      <c r="P343" s="38" t="inlineStr">
        <is>
          <t>Review or verify within two business days and before the next affected event if earlier. Do not wait where a duty or current harm requires earlier action.</t>
        </is>
      </c>
      <c r="Q343" s="38" t="inlineStr">
        <is>
          <t>A proportionate record of the barrier, options considered, decision and implementation, with a review of effectiveness and restricted information access. Confirm that the change works in practice, not only that a document exists.</t>
        </is>
      </c>
      <c r="R343" s="38" t="inlineStr">
        <is>
          <t>A proportionate record of the barrier, options considered, decision and implementation, with a review of effectiveness and restricted information access.</t>
        </is>
      </c>
      <c r="S343" s="38" t="inlineStr">
        <is>
          <t>An adjustment request, identified barrier or changed requirements.</t>
        </is>
      </c>
      <c r="T343" s="38" t="inlineStr">
        <is>
          <t>Owner / HR lead with the employee</t>
        </is>
      </c>
      <c r="U343" s="38" t="inlineStr">
        <is>
          <t>A targeted review of the flagged issue, practical implementation support and specialist referral where necessary.</t>
        </is>
      </c>
      <c r="V343" s="38" t="inlineStr">
        <is>
          <t>ADJUSTMENTS</t>
        </is>
      </c>
      <c r="W343" s="38" t="inlineStr">
        <is>
          <t>A_B24</t>
        </is>
      </c>
      <c r="X343" s="38" t="inlineStr">
        <is>
          <t>S41;S15;S22;DESIGN</t>
        </is>
      </c>
      <c r="Y343" s="38"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Z343" s="38" t="inlineStr">
        <is>
          <t>Seeking more medical detail than needed or assuming an adjustment is impossible without considering options.</t>
        </is>
      </c>
    </row>
    <row r="344" ht="151" customHeight="1">
      <c r="A344" s="37" t="inlineStr">
        <is>
          <t>B24_3</t>
        </is>
      </c>
      <c r="B344" s="37" t="inlineStr">
        <is>
          <t>B24</t>
        </is>
      </c>
      <c r="C344" s="48" t="n">
        <v>3</v>
      </c>
      <c r="D344" s="37" t="inlineStr">
        <is>
          <t>We discuss the barrier and relevant job requirements, consider practical options and applicable obligations, document the decision and review the outcome.</t>
        </is>
      </c>
      <c r="E344" s="37" t="inlineStr">
        <is>
          <t>Maintain and test: remove the work barrier through a considered adjustment</t>
        </is>
      </c>
      <c r="F344" s="37" t="inlineStr">
        <is>
          <t>The selected response reports an established and checked practice. The tool has not inspected the evidence and cannot certify the absence of risk.</t>
        </is>
      </c>
      <c r="G344" s="37" t="inlineStr">
        <is>
          <t>A standard process may disadvantage a person where a workplace adjustment should be considered before a decision or task proceeds.</t>
        </is>
      </c>
      <c r="H344" s="37" t="inlineStr">
        <is>
          <t>Workplace access and reasonable adjustments</t>
        </is>
      </c>
      <c r="I344" s="48" t="n">
        <v>3</v>
      </c>
      <c r="J344" s="48" t="n">
        <v>1</v>
      </c>
      <c r="K344" s="48" t="n">
        <v>1</v>
      </c>
      <c r="L344" s="37" t="inlineStr">
        <is>
          <t>Lower reported concern, not a finding of no risk. The assumed controls are self-reported; a current incident, contrary evidence or failed control takes precedence.</t>
        </is>
      </c>
      <c r="M344" s="37" t="inlineStr">
        <is>
          <t>Maintain the practice described. At the next relevant review, record the decision and reasoning, implement agreed measures and review whether the barrier has been addressed.</t>
        </is>
      </c>
      <c r="N344" s="37" t="inlineStr">
        <is>
          <t>Check whether changes in work, people or applicable requirements have made the original process less reliable.</t>
        </is>
      </c>
      <c r="O344" s="37" t="inlineStr">
        <is>
          <t>Retain the review outcome and act on any new exception. An unresolved live issue overrides this maintenance pathway.</t>
        </is>
      </c>
      <c r="P344" s="37" t="inlineStr">
        <is>
          <t>Maintain at the stated trigger; for a new low-priority improvement, plan within 90 days.</t>
        </is>
      </c>
      <c r="Q344" s="37" t="inlineStr">
        <is>
          <t>A current example of the practice and a proportionate recheck record. A proportionate record of the barrier, options considered, decision and implementation, with a review of effectiveness and restricted information access.</t>
        </is>
      </c>
      <c r="R344" s="37" t="inlineStr">
        <is>
          <t>A proportionate record of the barrier, options considered, decision and implementation, with a review of effectiveness and restricted information access.</t>
        </is>
      </c>
      <c r="S344" s="37" t="inlineStr">
        <is>
          <t>An adjustment request, identified barrier or changed requirements.</t>
        </is>
      </c>
      <c r="T344" s="37" t="inlineStr">
        <is>
          <t>Owner / HR lead with the employee</t>
        </is>
      </c>
      <c r="U344" s="37" t="inlineStr">
        <is>
          <t>No further purchase is implied by this result. Seek support only for a material change, unresolved exception or chosen improvement.</t>
        </is>
      </c>
      <c r="V344" s="37" t="inlineStr">
        <is>
          <t>ADJUSTMENTS</t>
        </is>
      </c>
      <c r="W344" s="37" t="inlineStr">
        <is>
          <t>A_B24</t>
        </is>
      </c>
      <c r="X344" s="37" t="inlineStr">
        <is>
          <t>S41;S15;S22;DESIGN</t>
        </is>
      </c>
      <c r="Y344" s="37"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Z344" s="37" t="inlineStr">
        <is>
          <t>Seeking more medical detail than needed or assuming an adjustment is impossible without considering options.</t>
        </is>
      </c>
    </row>
    <row r="345" ht="151" customHeight="1">
      <c r="A345" s="38" t="inlineStr">
        <is>
          <t>B24_DK</t>
        </is>
      </c>
      <c r="B345" s="38" t="inlineStr">
        <is>
          <t>B24</t>
        </is>
      </c>
      <c r="C345" s="38" t="inlineStr">
        <is>
          <t>DK</t>
        </is>
      </c>
      <c r="D345" s="38" t="inlineStr">
        <is>
          <t>I need to confirm this.</t>
        </is>
      </c>
      <c r="E345" s="38" t="inlineStr">
        <is>
          <t>Verify: remove the work barrier through a considered adjustment</t>
        </is>
      </c>
      <c r="F345" s="38" t="inlineStr">
        <is>
          <t>This answer identifies a knowledge gap. It does not establish that the practice is missing, that harm has occurred or that a legal duty has been breached.</t>
        </is>
      </c>
      <c r="G345" s="38" t="inlineStr">
        <is>
          <t>A standard process may disadvantage a person where a workplace adjustment should be considered before a decision or task proceeds.</t>
        </is>
      </c>
      <c r="H345" s="38" t="inlineStr">
        <is>
          <t>Workplace access and reasonable adjustments</t>
        </is>
      </c>
      <c r="I345" s="49" t="n">
        <v>3</v>
      </c>
      <c r="J345" s="49" t="n">
        <v>0</v>
      </c>
      <c r="K345" s="49" t="n">
        <v>3</v>
      </c>
      <c r="L345" s="38" t="inlineStr">
        <is>
          <t>The risk is not rated from an unknown answer. Verification is High priority because: A standard process may disadvantage a person where a workplace adjustment should be considered before a decision or task proceeds.</t>
        </is>
      </c>
      <c r="M345" s="38" t="inlineStr">
        <is>
          <t>Ask the owner / hr lead with the employee to show a current example of the process and the evidence listed below. Confirm the answer before deciding what must be repaired.</t>
        </is>
      </c>
      <c r="N345" s="38" t="inlineStr">
        <is>
          <t>Compare the example with the established-practice description: We discuss the barrier and relevant job requirements, consider practical options and applicable obligations, document the decision and review the outcome.</t>
        </is>
      </c>
      <c r="O345" s="38" t="inlineStr">
        <is>
          <t>Record what was checked, by whom and when. If it remains unclear, keep the verification task open and agree any proportionate interim safeguard.</t>
        </is>
      </c>
      <c r="P345" s="38" t="inlineStr">
        <is>
          <t>Review or verify within two business days and before the next affected event if earlier. Do not wait where a duty or current harm requires earlier action.</t>
        </is>
      </c>
      <c r="Q345" s="38" t="inlineStr">
        <is>
          <t>A dated verification record, the supporting example, an updated answer and any remaining action. No automatic compliance conclusion.</t>
        </is>
      </c>
      <c r="R345" s="38" t="inlineStr">
        <is>
          <t>A proportionate record of the barrier, options considered, decision and implementation, with a review of effectiveness and restricted information access.</t>
        </is>
      </c>
      <c r="S345" s="38" t="inlineStr">
        <is>
          <t>An adjustment request, identified barrier or changed requirements.</t>
        </is>
      </c>
      <c r="T345" s="38" t="inlineStr">
        <is>
          <t>Owner / HR lead with the employee</t>
        </is>
      </c>
      <c r="U345" s="38" t="inlineStr">
        <is>
          <t>A targeted review of the flagged issue, practical implementation support and specialist referral where necessary.</t>
        </is>
      </c>
      <c r="V345" s="38" t="inlineStr">
        <is>
          <t>ADJUSTMENTS</t>
        </is>
      </c>
      <c r="W345" s="38" t="inlineStr">
        <is>
          <t>A_B24</t>
        </is>
      </c>
      <c r="X345" s="38" t="inlineStr">
        <is>
          <t>S41;S15;S22;DESIGN</t>
        </is>
      </c>
      <c r="Y345" s="38" t="inlineStr">
        <is>
          <t>https://humanrights.gov.au/know-your-rights/rights-of-individuals/disability-rights/disability-discrimination-and-the-workplace
https://www.oaic.gov.au/privacy/privacy-guidance-for-organisations-and-government-agencies/organisations/employee-records-exemption
https://www.fairwork.gov.au/tools-and-resources/fact-sheets/minimum-workplace-entitlements/requests-for-flexible-working-arrangements</t>
        </is>
      </c>
      <c r="Z345" s="38" t="inlineStr">
        <is>
          <t>Seeking more medical detail than needed or assuming an adjustment is impossible without considering options.</t>
        </is>
      </c>
    </row>
    <row r="346" ht="106" customHeight="1">
      <c r="A346" s="37" t="inlineStr">
        <is>
          <t>B25_0</t>
        </is>
      </c>
      <c r="B346" s="37" t="inlineStr">
        <is>
          <t>B25</t>
        </is>
      </c>
      <c r="C346" s="48" t="n">
        <v>0</v>
      </c>
      <c r="D346" s="37" t="inlineStr">
        <is>
          <t>We assume the other organisation manages the safety responsibilities.</t>
        </is>
      </c>
      <c r="E346" s="37" t="inlineStr">
        <is>
          <t>Close the gaps between organisations sharing the work</t>
        </is>
      </c>
      <c r="F346" s="37" t="inlineStr">
        <is>
          <t>The selected response reports a missing or unestablished element. Confirm the affected arrangements before drawing a conclusion about any actual breach or harm.</t>
        </is>
      </c>
      <c r="G346" s="37" t="inlineStr">
        <is>
          <t>A worker can fall between organisations when each assumes the other manages induction, supervision, hazards or incident response.</t>
        </is>
      </c>
      <c r="H346" s="37" t="inlineStr">
        <is>
          <t>Shared work health and safety duties</t>
        </is>
      </c>
      <c r="I346" s="48" t="n">
        <v>3</v>
      </c>
      <c r="J346" s="48" t="n">
        <v>3</v>
      </c>
      <c r="K346" s="48" t="n">
        <v>3</v>
      </c>
      <c r="L346" s="37" t="inlineStr">
        <is>
          <t>High provisional concern: an essential element remains unresolved. A worker can fall between organisations when each assumes the other manages induction, supervision, hazards or incident response.</t>
        </is>
      </c>
      <c r="M346" s="37" t="inlineStr">
        <is>
          <t>List the shared tasks and responsible organisations, then check with the worker where induction, supervision or reporting responsibilities are unclear.</t>
        </is>
      </c>
      <c r="N346" s="37" t="inlineStr">
        <is>
          <t>Agree who performs each safety task with the other duty holder and the worker, without treating the arrangement as a transfer of legal duties.</t>
        </is>
      </c>
      <c r="O346" s="37" t="inlineStr">
        <is>
          <t>Check the induction, actual task allocation, controls and incident handover before relying on the arrangement.</t>
        </is>
      </c>
      <c r="P346" s="37" t="inlineStr">
        <is>
          <t>Review or verify within two business days and before the next affected event if earlier. Do not wait where a duty or current harm requires earlier action.</t>
        </is>
      </c>
      <c r="Q346" s="37" t="inlineStr">
        <is>
          <t>An agreed responsibility record, worker induction and consultation evidence, task-specific controls and a tested incident handover. Confirm that the change works in practice, not only that a document exists.</t>
        </is>
      </c>
      <c r="R346" s="37" t="inlineStr">
        <is>
          <t>An agreed responsibility record, worker induction and consultation evidence, task-specific controls and a tested incident handover.</t>
        </is>
      </c>
      <c r="S346" s="37" t="inlineStr">
        <is>
          <t>A new placement, changed task, site or shared-work arrangement.</t>
        </is>
      </c>
      <c r="T346" s="37" t="inlineStr">
        <is>
          <t>Operational lead with the other duty holder</t>
        </is>
      </c>
      <c r="U346" s="37" t="inlineStr">
        <is>
          <t>A targeted review of the flagged issue, practical implementation support and specialist referral where necessary.</t>
        </is>
      </c>
      <c r="V346" s="37" t="inlineStr">
        <is>
          <t>SHARED_SAFETY</t>
        </is>
      </c>
      <c r="W346" s="37" t="inlineStr">
        <is>
          <t>A_B25</t>
        </is>
      </c>
      <c r="X346" s="37" t="inlineStr">
        <is>
          <t>S42;S13;S38;DESIGN</t>
        </is>
      </c>
      <c r="Y346" s="37" t="inlineStr">
        <is>
          <t>https://www.safeworkaustralia.gov.au/safety-topic/managing-health-and-safety/labour-hire/whs-duties
https://www.safeworkaustralia.gov.au/safety-topic/managing-health-and-safety/identify-assess-and-control-hazards/managing-risks
https://www.safeworkaustralia.gov.au/workers-compensation</t>
        </is>
      </c>
      <c r="Z346" s="37" t="inlineStr">
        <is>
          <t>Assuming the labour-hire provider or host carries every duty because of the contract.</t>
        </is>
      </c>
    </row>
    <row r="347" ht="106" customHeight="1">
      <c r="A347" s="38" t="inlineStr">
        <is>
          <t>B25_1</t>
        </is>
      </c>
      <c r="B347" s="38" t="inlineStr">
        <is>
          <t>B25</t>
        </is>
      </c>
      <c r="C347" s="49" t="n">
        <v>1</v>
      </c>
      <c r="D347" s="38" t="inlineStr">
        <is>
          <t>Responsibilities are discussed informally, but induction, supervision or incident response can fall between organisations.</t>
        </is>
      </c>
      <c r="E347" s="38" t="inlineStr">
        <is>
          <t>Close the gaps between organisations sharing the work</t>
        </is>
      </c>
      <c r="F347" s="38" t="inlineStr">
        <is>
          <t>The selected response relies on assumptions, informal decisions or an inconsistent process. The action is to make the relevant check reliable in routine work.</t>
        </is>
      </c>
      <c r="G347" s="38" t="inlineStr">
        <is>
          <t>A worker can fall between organisations when each assumes the other manages induction, supervision, hazards or incident response.</t>
        </is>
      </c>
      <c r="H347" s="38" t="inlineStr">
        <is>
          <t>Shared work health and safety duties</t>
        </is>
      </c>
      <c r="I347" s="49" t="n">
        <v>3</v>
      </c>
      <c r="J347" s="49" t="n">
        <v>3</v>
      </c>
      <c r="K347" s="49" t="n">
        <v>3</v>
      </c>
      <c r="L347" s="38" t="inlineStr">
        <is>
          <t>High provisional concern: an essential element remains unresolved. A worker can fall between organisations when each assumes the other manages induction, supervision, hazards or incident response.</t>
        </is>
      </c>
      <c r="M347" s="38" t="inlineStr">
        <is>
          <t>Replace the assumption with a current check. List the shared tasks and responsible organisations, then check with the worker where induction, supervision or reporting responsibilities are unclear.</t>
        </is>
      </c>
      <c r="N347" s="38" t="inlineStr">
        <is>
          <t>Agree who performs each safety task with the other duty holder and the worker, without treating the arrangement as a transfer of legal duties.</t>
        </is>
      </c>
      <c r="O347" s="38" t="inlineStr">
        <is>
          <t>Check the induction, actual task allocation, controls and incident handover before relying on the arrangement.</t>
        </is>
      </c>
      <c r="P347" s="38" t="inlineStr">
        <is>
          <t>Review or verify within two business days and before the next affected event if earlier. Do not wait where a duty or current harm requires earlier action.</t>
        </is>
      </c>
      <c r="Q347" s="38" t="inlineStr">
        <is>
          <t>An agreed responsibility record, worker induction and consultation evidence, task-specific controls and a tested incident handover. Confirm that the change works in practice, not only that a document exists.</t>
        </is>
      </c>
      <c r="R347" s="38" t="inlineStr">
        <is>
          <t>An agreed responsibility record, worker induction and consultation evidence, task-specific controls and a tested incident handover.</t>
        </is>
      </c>
      <c r="S347" s="38" t="inlineStr">
        <is>
          <t>A new placement, changed task, site or shared-work arrangement.</t>
        </is>
      </c>
      <c r="T347" s="38" t="inlineStr">
        <is>
          <t>Operational lead with the other duty holder</t>
        </is>
      </c>
      <c r="U347" s="38" t="inlineStr">
        <is>
          <t>A targeted review of the flagged issue, practical implementation support and specialist referral where necessary.</t>
        </is>
      </c>
      <c r="V347" s="38" t="inlineStr">
        <is>
          <t>SHARED_SAFETY</t>
        </is>
      </c>
      <c r="W347" s="38" t="inlineStr">
        <is>
          <t>A_B25</t>
        </is>
      </c>
      <c r="X347" s="38" t="inlineStr">
        <is>
          <t>S42;S13;S38;DESIGN</t>
        </is>
      </c>
      <c r="Y347" s="38" t="inlineStr">
        <is>
          <t>https://www.safeworkaustralia.gov.au/safety-topic/managing-health-and-safety/labour-hire/whs-duties
https://www.safeworkaustralia.gov.au/safety-topic/managing-health-and-safety/identify-assess-and-control-hazards/managing-risks
https://www.safeworkaustralia.gov.au/workers-compensation</t>
        </is>
      </c>
      <c r="Z347" s="38" t="inlineStr">
        <is>
          <t>Assuming the labour-hire provider or host carries every duty because of the contract.</t>
        </is>
      </c>
    </row>
    <row r="348" ht="106" customHeight="1">
      <c r="A348" s="37" t="inlineStr">
        <is>
          <t>B25_2</t>
        </is>
      </c>
      <c r="B348" s="37" t="inlineStr">
        <is>
          <t>B25</t>
        </is>
      </c>
      <c r="C348" s="48" t="n">
        <v>2</v>
      </c>
      <c r="D348" s="37" t="inlineStr">
        <is>
          <t>Responsibilities are documented, but worker input, changed tasks or effectiveness checks are incomplete.</t>
        </is>
      </c>
      <c r="E348" s="37" t="inlineStr">
        <is>
          <t>Complete the remaining check: close the gaps between organisations sharing the work</t>
        </is>
      </c>
      <c r="F348" s="37" t="inlineStr">
        <is>
          <t>The selected response identifies an incomplete element within an existing practice. Keep what works and target the unresolved part; the stronger elements do not cancel the gap.</t>
        </is>
      </c>
      <c r="G348" s="37" t="inlineStr">
        <is>
          <t>A worker can fall between organisations when each assumes the other manages induction, supervision, hazards or incident response.</t>
        </is>
      </c>
      <c r="H348" s="37" t="inlineStr">
        <is>
          <t>Shared work health and safety duties</t>
        </is>
      </c>
      <c r="I348" s="48" t="n">
        <v>3</v>
      </c>
      <c r="J348" s="48" t="n">
        <v>3</v>
      </c>
      <c r="K348" s="48" t="n">
        <v>3</v>
      </c>
      <c r="L348" s="37" t="inlineStr">
        <is>
          <t>High provisional concern: an essential element remains unresolved. A worker can fall between organisations when each assumes the other manages induction, supervision, hazards or incident response.</t>
        </is>
      </c>
      <c r="M348" s="37" t="inlineStr">
        <is>
          <t>Focus on the unresolved arrangements or exceptions. List the shared tasks and responsible organisations, then check with the worker where induction, supervision or reporting responsibilities are unclear.</t>
        </is>
      </c>
      <c r="N348" s="37" t="inlineStr">
        <is>
          <t>Agree who performs each safety task with the other duty holder and the worker, without treating the arrangement as a transfer of legal duties.</t>
        </is>
      </c>
      <c r="O348" s="37" t="inlineStr">
        <is>
          <t>Check the induction, actual task allocation, controls and incident handover before relying on the arrangement.</t>
        </is>
      </c>
      <c r="P348" s="37" t="inlineStr">
        <is>
          <t>Review or verify within two business days and before the next affected event if earlier. Do not wait where a duty or current harm requires earlier action.</t>
        </is>
      </c>
      <c r="Q348" s="37" t="inlineStr">
        <is>
          <t>An agreed responsibility record, worker induction and consultation evidence, task-specific controls and a tested incident handover. Confirm that the change works in practice, not only that a document exists.</t>
        </is>
      </c>
      <c r="R348" s="37" t="inlineStr">
        <is>
          <t>An agreed responsibility record, worker induction and consultation evidence, task-specific controls and a tested incident handover.</t>
        </is>
      </c>
      <c r="S348" s="37" t="inlineStr">
        <is>
          <t>A new placement, changed task, site or shared-work arrangement.</t>
        </is>
      </c>
      <c r="T348" s="37" t="inlineStr">
        <is>
          <t>Operational lead with the other duty holder</t>
        </is>
      </c>
      <c r="U348" s="37" t="inlineStr">
        <is>
          <t>A targeted review of the flagged issue, practical implementation support and specialist referral where necessary.</t>
        </is>
      </c>
      <c r="V348" s="37" t="inlineStr">
        <is>
          <t>SHARED_SAFETY</t>
        </is>
      </c>
      <c r="W348" s="37" t="inlineStr">
        <is>
          <t>A_B25</t>
        </is>
      </c>
      <c r="X348" s="37" t="inlineStr">
        <is>
          <t>S42;S13;S38;DESIGN</t>
        </is>
      </c>
      <c r="Y348" s="37" t="inlineStr">
        <is>
          <t>https://www.safeworkaustralia.gov.au/safety-topic/managing-health-and-safety/labour-hire/whs-duties
https://www.safeworkaustralia.gov.au/safety-topic/managing-health-and-safety/identify-assess-and-control-hazards/managing-risks
https://www.safeworkaustralia.gov.au/workers-compensation</t>
        </is>
      </c>
      <c r="Z348" s="37" t="inlineStr">
        <is>
          <t>Assuming the labour-hire provider or host carries every duty because of the contract.</t>
        </is>
      </c>
    </row>
    <row r="349" ht="106" customHeight="1">
      <c r="A349" s="38" t="inlineStr">
        <is>
          <t>B25_3</t>
        </is>
      </c>
      <c r="B349" s="38" t="inlineStr">
        <is>
          <t>B25</t>
        </is>
      </c>
      <c r="C349" s="49" t="n">
        <v>3</v>
      </c>
      <c r="D349" s="38" t="inlineStr">
        <is>
          <t>The relevant organisations and workers coordinate induction, controls, supervision and incident response, and review the arrangement when the work changes.</t>
        </is>
      </c>
      <c r="E349" s="38" t="inlineStr">
        <is>
          <t>Maintain and test: close the gaps between organisations sharing the work</t>
        </is>
      </c>
      <c r="F349" s="38" t="inlineStr">
        <is>
          <t>The selected response reports an established and checked practice. The tool has not inspected the evidence and cannot certify the absence of risk.</t>
        </is>
      </c>
      <c r="G349" s="38" t="inlineStr">
        <is>
          <t>A worker can fall between organisations when each assumes the other manages induction, supervision, hazards or incident response.</t>
        </is>
      </c>
      <c r="H349" s="38" t="inlineStr">
        <is>
          <t>Shared work health and safety duties</t>
        </is>
      </c>
      <c r="I349" s="49" t="n">
        <v>3</v>
      </c>
      <c r="J349" s="49" t="n">
        <v>1</v>
      </c>
      <c r="K349" s="49" t="n">
        <v>1</v>
      </c>
      <c r="L349" s="38" t="inlineStr">
        <is>
          <t>Lower reported concern, not a finding of no risk. The assumed controls are self-reported; a current incident, contrary evidence or failed control takes precedence.</t>
        </is>
      </c>
      <c r="M349" s="38" t="inlineStr">
        <is>
          <t>Maintain the practice described. At the next relevant review, check the induction, actual task allocation, controls and incident handover before relying on the arrangement.</t>
        </is>
      </c>
      <c r="N349" s="38" t="inlineStr">
        <is>
          <t>Check whether changes in work, people or applicable requirements have made the original process less reliable.</t>
        </is>
      </c>
      <c r="O349" s="38" t="inlineStr">
        <is>
          <t>Retain the review outcome and act on any new exception. An unresolved live issue overrides this maintenance pathway.</t>
        </is>
      </c>
      <c r="P349" s="38" t="inlineStr">
        <is>
          <t>Maintain at the stated trigger; for a new low-priority improvement, plan within 90 days.</t>
        </is>
      </c>
      <c r="Q349" s="38" t="inlineStr">
        <is>
          <t>A current example of the practice and a proportionate recheck record. An agreed responsibility record, worker induction and consultation evidence, task-specific controls and a tested incident handover.</t>
        </is>
      </c>
      <c r="R349" s="38" t="inlineStr">
        <is>
          <t>An agreed responsibility record, worker induction and consultation evidence, task-specific controls and a tested incident handover.</t>
        </is>
      </c>
      <c r="S349" s="38" t="inlineStr">
        <is>
          <t>A new placement, changed task, site or shared-work arrangement.</t>
        </is>
      </c>
      <c r="T349" s="38" t="inlineStr">
        <is>
          <t>Operational lead with the other duty holder</t>
        </is>
      </c>
      <c r="U349" s="38" t="inlineStr">
        <is>
          <t>No further purchase is implied by this result. Seek support only for a material change, unresolved exception or chosen improvement.</t>
        </is>
      </c>
      <c r="V349" s="38" t="inlineStr">
        <is>
          <t>SHARED_SAFETY</t>
        </is>
      </c>
      <c r="W349" s="38" t="inlineStr">
        <is>
          <t>A_B25</t>
        </is>
      </c>
      <c r="X349" s="38" t="inlineStr">
        <is>
          <t>S42;S13;S38;DESIGN</t>
        </is>
      </c>
      <c r="Y349" s="38" t="inlineStr">
        <is>
          <t>https://www.safeworkaustralia.gov.au/safety-topic/managing-health-and-safety/labour-hire/whs-duties
https://www.safeworkaustralia.gov.au/safety-topic/managing-health-and-safety/identify-assess-and-control-hazards/managing-risks
https://www.safeworkaustralia.gov.au/workers-compensation</t>
        </is>
      </c>
      <c r="Z349" s="38" t="inlineStr">
        <is>
          <t>Assuming the labour-hire provider or host carries every duty because of the contract.</t>
        </is>
      </c>
    </row>
    <row r="350" ht="106" customHeight="1">
      <c r="A350" s="37" t="inlineStr">
        <is>
          <t>B25_DK</t>
        </is>
      </c>
      <c r="B350" s="37" t="inlineStr">
        <is>
          <t>B25</t>
        </is>
      </c>
      <c r="C350" s="37" t="inlineStr">
        <is>
          <t>DK</t>
        </is>
      </c>
      <c r="D350" s="37" t="inlineStr">
        <is>
          <t>I need to confirm this.</t>
        </is>
      </c>
      <c r="E350" s="37" t="inlineStr">
        <is>
          <t>Verify: close the gaps between organisations sharing the work</t>
        </is>
      </c>
      <c r="F350" s="37" t="inlineStr">
        <is>
          <t>This answer identifies a knowledge gap. It does not establish that the practice is missing, that harm has occurred or that a legal duty has been breached.</t>
        </is>
      </c>
      <c r="G350" s="37" t="inlineStr">
        <is>
          <t>A worker can fall between organisations when each assumes the other manages induction, supervision, hazards or incident response.</t>
        </is>
      </c>
      <c r="H350" s="37" t="inlineStr">
        <is>
          <t>Shared work health and safety duties</t>
        </is>
      </c>
      <c r="I350" s="48" t="n">
        <v>3</v>
      </c>
      <c r="J350" s="48" t="n">
        <v>0</v>
      </c>
      <c r="K350" s="48" t="n">
        <v>3</v>
      </c>
      <c r="L350" s="37" t="inlineStr">
        <is>
          <t>The risk is not rated from an unknown answer. Verification is High priority because: A worker can fall between organisations when each assumes the other manages induction, supervision, hazards or incident response.</t>
        </is>
      </c>
      <c r="M350" s="37" t="inlineStr">
        <is>
          <t>Ask the operational lead with the other duty holder to show a current example of the process and the evidence listed below. Confirm the answer before deciding what must be repaired.</t>
        </is>
      </c>
      <c r="N350" s="37" t="inlineStr">
        <is>
          <t>Compare the example with the established-practice description: The relevant organisations and workers coordinate induction, controls, supervision and incident response, and review the arrangement when the work changes.</t>
        </is>
      </c>
      <c r="O350" s="37" t="inlineStr">
        <is>
          <t>Record what was checked, by whom and when. If it remains unclear, keep the verification task open and agree any proportionate interim safeguard.</t>
        </is>
      </c>
      <c r="P350" s="37" t="inlineStr">
        <is>
          <t>Review or verify within two business days and before the next affected event if earlier. Do not wait where a duty or current harm requires earlier action.</t>
        </is>
      </c>
      <c r="Q350" s="37" t="inlineStr">
        <is>
          <t>A dated verification record, the supporting example, an updated answer and any remaining action. No automatic compliance conclusion.</t>
        </is>
      </c>
      <c r="R350" s="37" t="inlineStr">
        <is>
          <t>An agreed responsibility record, worker induction and consultation evidence, task-specific controls and a tested incident handover.</t>
        </is>
      </c>
      <c r="S350" s="37" t="inlineStr">
        <is>
          <t>A new placement, changed task, site or shared-work arrangement.</t>
        </is>
      </c>
      <c r="T350" s="37" t="inlineStr">
        <is>
          <t>Operational lead with the other duty holder</t>
        </is>
      </c>
      <c r="U350" s="37" t="inlineStr">
        <is>
          <t>A targeted review of the flagged issue, practical implementation support and specialist referral where necessary.</t>
        </is>
      </c>
      <c r="V350" s="37" t="inlineStr">
        <is>
          <t>SHARED_SAFETY</t>
        </is>
      </c>
      <c r="W350" s="37" t="inlineStr">
        <is>
          <t>A_B25</t>
        </is>
      </c>
      <c r="X350" s="37" t="inlineStr">
        <is>
          <t>S42;S13;S38;DESIGN</t>
        </is>
      </c>
      <c r="Y350" s="37" t="inlineStr">
        <is>
          <t>https://www.safeworkaustralia.gov.au/safety-topic/managing-health-and-safety/labour-hire/whs-duties
https://www.safeworkaustralia.gov.au/safety-topic/managing-health-and-safety/identify-assess-and-control-hazards/managing-risks
https://www.safeworkaustralia.gov.au/workers-compensation</t>
        </is>
      </c>
      <c r="Z350" s="37" t="inlineStr">
        <is>
          <t>Assuming the labour-hire provider or host carries every duty because of the contract.</t>
        </is>
      </c>
    </row>
  </sheetData>
  <autoFilter ref="A5:Z350"/>
  <mergeCells count="3">
    <mergeCell ref="A1:Z1"/>
    <mergeCell ref="A3:Z3"/>
    <mergeCell ref="A2:Z2"/>
  </mergeCells>
  <printOptions horizontalCentered="0"/>
  <pageMargins left="0.75" right="0.75" top="1" bottom="1" header="0.5" footer="0.5"/>
  <pageSetup orientation="landscape" paperSize="8" fitToHeight="0" fitToWidth="1"/>
</worksheet>
</file>

<file path=xl/worksheets/sheet7.xml><?xml version="1.0" encoding="utf-8"?>
<worksheet xmlns="http://schemas.openxmlformats.org/spreadsheetml/2006/main">
  <sheetPr>
    <tabColor rgb="0008685F"/>
    <outlinePr summaryBelow="1" summaryRight="0"/>
    <pageSetUpPr fitToPage="1"/>
  </sheetPr>
  <dimension ref="A1:H3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9" customWidth="1" min="2" max="2"/>
    <col width="46" customWidth="1" min="3" max="3"/>
    <col width="126" customWidth="1" min="4" max="4"/>
    <col width="20" customWidth="1" min="6" max="6"/>
    <col width="20" customWidth="1" min="7" max="7"/>
    <col width="20" customWidth="1" min="8" max="8"/>
  </cols>
  <sheetData>
    <row r="1" ht="38" customHeight="1">
      <c r="A1" s="33" t="inlineStr">
        <is>
          <t>Risk method | provisional concern, separate action priority</t>
        </is>
      </c>
    </row>
    <row r="2" ht="42" customHeight="1">
      <c r="A2" s="34" t="inlineStr">
        <is>
          <t>Risk ratings are proposed triage judgements, not verified findings, measured probabilities or a substitute for a workplace-specific assessment. Read the escalation rules before using the register.</t>
        </is>
      </c>
    </row>
    <row r="3" ht="22" customHeight="1">
      <c r="A3" s="35" t="inlineStr">
        <is>
          <t>DREAMSTONEHR | PROPOSED V3.0 | 10 OCTOBER 2026</t>
        </is>
      </c>
    </row>
    <row r="4" ht="12" customHeight="1"/>
    <row r="5" ht="43" customHeight="1">
      <c r="A5" s="36" t="inlineStr">
        <is>
          <t>Control / rule</t>
        </is>
      </c>
      <c r="B5" s="36" t="inlineStr">
        <is>
          <t>Value</t>
        </is>
      </c>
      <c r="C5" s="36" t="inlineStr">
        <is>
          <t>Label / behaviour</t>
        </is>
      </c>
      <c r="D5" s="36" t="inlineStr">
        <is>
          <t>Explanation</t>
        </is>
      </c>
      <c r="F5" s="50" t="inlineStr">
        <is>
          <t>Rank</t>
        </is>
      </c>
      <c r="G5" s="50" t="inlineStr">
        <is>
          <t>Risk label</t>
        </is>
      </c>
      <c r="H5" s="50" t="inlineStr">
        <is>
          <t>Action priority</t>
        </is>
      </c>
    </row>
    <row r="6" ht="44" customHeight="1">
      <c r="A6" s="37" t="inlineStr">
        <is>
          <t>Risk rank 0</t>
        </is>
      </c>
      <c r="B6" s="48" t="n">
        <v>0</v>
      </c>
      <c r="C6" s="37" t="inlineStr">
        <is>
          <t>Unverified</t>
        </is>
      </c>
      <c r="D6" s="37" t="inlineStr">
        <is>
          <t>The available answer does not support a risk conclusion. A separate verification priority still applies.</t>
        </is>
      </c>
      <c r="F6" s="51" t="n">
        <v>0</v>
      </c>
      <c r="G6" s="51" t="inlineStr">
        <is>
          <t>Unverified</t>
        </is>
      </c>
      <c r="H6" s="51" t="inlineStr">
        <is>
          <t>Not assessed</t>
        </is>
      </c>
    </row>
    <row r="7" ht="44" customHeight="1">
      <c r="A7" s="38" t="inlineStr">
        <is>
          <t>Risk rank 1</t>
        </is>
      </c>
      <c r="B7" s="49" t="n">
        <v>1</v>
      </c>
      <c r="C7" s="38" t="inlineStr">
        <is>
          <t>Low</t>
        </is>
      </c>
      <c r="D7" s="38" t="inlineStr">
        <is>
          <t>Lower reported concern; maintain or improve the supporting practice. Not a finding of no risk.</t>
        </is>
      </c>
      <c r="F7" s="51" t="n">
        <v>1</v>
      </c>
      <c r="G7" s="51" t="inlineStr">
        <is>
          <t>Low</t>
        </is>
      </c>
      <c r="H7" s="51" t="inlineStr">
        <is>
          <t>Low</t>
        </is>
      </c>
    </row>
    <row r="8" ht="44" customHeight="1">
      <c r="A8" s="37" t="inlineStr">
        <is>
          <t>Risk rank 2</t>
        </is>
      </c>
      <c r="B8" s="48" t="n">
        <v>2</v>
      </c>
      <c r="C8" s="37" t="inlineStr">
        <is>
          <t>Medium</t>
        </is>
      </c>
      <c r="D8" s="37" t="inlineStr">
        <is>
          <t>A material practice or remaining gap needs attention.</t>
        </is>
      </c>
      <c r="F8" s="51" t="n">
        <v>2</v>
      </c>
      <c r="G8" s="51" t="inlineStr">
        <is>
          <t>Medium</t>
        </is>
      </c>
      <c r="H8" s="51" t="inlineStr">
        <is>
          <t>Medium</t>
        </is>
      </c>
    </row>
    <row r="9" ht="44" customHeight="1">
      <c r="A9" s="38" t="inlineStr">
        <is>
          <t>Risk rank 3</t>
        </is>
      </c>
      <c r="B9" s="49" t="n">
        <v>3</v>
      </c>
      <c r="C9" s="38" t="inlineStr">
        <is>
          <t>High</t>
        </is>
      </c>
      <c r="D9" s="38" t="inlineStr">
        <is>
          <t>A potentially serious consequence and a reported control gap warrant prompt attention.</t>
        </is>
      </c>
      <c r="F9" s="51" t="n">
        <v>3</v>
      </c>
      <c r="G9" s="51" t="inlineStr">
        <is>
          <t>High</t>
        </is>
      </c>
      <c r="H9" s="51" t="inlineStr">
        <is>
          <t>High</t>
        </is>
      </c>
    </row>
    <row r="10" ht="44" customHeight="1">
      <c r="A10" s="37" t="inlineStr">
        <is>
          <t>Risk rank 4</t>
        </is>
      </c>
      <c r="B10" s="48" t="n">
        <v>4</v>
      </c>
      <c r="C10" s="37" t="inlineStr">
        <is>
          <t>Critical</t>
        </is>
      </c>
      <c r="D10" s="37" t="inlineStr">
        <is>
          <t>Reserved for reported current serious harm/exposure needing immediate attention, not a low questionnaire score alone.</t>
        </is>
      </c>
      <c r="F10" s="51" t="n">
        <v>4</v>
      </c>
      <c r="G10" s="51" t="inlineStr">
        <is>
          <t>Critical</t>
        </is>
      </c>
      <c r="H10" s="51" t="inlineStr">
        <is>
          <t>Critical</t>
        </is>
      </c>
    </row>
    <row r="11" ht="46" customHeight="1">
      <c r="A11" s="38" t="inlineStr">
        <is>
          <t>High response target</t>
        </is>
      </c>
      <c r="B11" s="49" t="n">
        <v>2</v>
      </c>
      <c r="C11" s="38" t="inlineStr">
        <is>
          <t>business days</t>
        </is>
      </c>
      <c r="D11" s="38" t="inlineStr">
        <is>
          <t>Suggested initial review or verification target only. Earlier statutory duties, active harm and event deadlines take precedence.</t>
        </is>
      </c>
    </row>
    <row r="12" ht="44" customHeight="1">
      <c r="A12" s="37" t="inlineStr">
        <is>
          <t>Medium planning target</t>
        </is>
      </c>
      <c r="B12" s="48" t="n">
        <v>30</v>
      </c>
      <c r="C12" s="37" t="inlineStr">
        <is>
          <t>calendar days</t>
        </is>
      </c>
      <c r="D12" s="37" t="inlineStr">
        <is>
          <t>A target to assign and start an improvement plan, not a legal grace period or universal completion deadline.</t>
        </is>
      </c>
    </row>
    <row r="13" ht="44" customHeight="1">
      <c r="A13" s="38" t="inlineStr">
        <is>
          <t>Low planning target</t>
        </is>
      </c>
      <c r="B13" s="49" t="n">
        <v>90</v>
      </c>
      <c r="C13" s="38" t="inlineStr">
        <is>
          <t>calendar days</t>
        </is>
      </c>
      <c r="D13" s="38" t="inlineStr">
        <is>
          <t>For discretionary improvements; effective practices remain on their appropriate maintenance trigger.</t>
        </is>
      </c>
    </row>
    <row r="14" ht="44" customHeight="1">
      <c r="A14" s="37" t="inlineStr">
        <is>
          <t>Consequence class 1</t>
        </is>
      </c>
      <c r="B14" s="48" t="n">
        <v>1</v>
      </c>
      <c r="C14" s="37" t="inlineStr">
        <is>
          <t>Supporting</t>
        </is>
      </c>
      <c r="D14" s="37" t="inlineStr">
        <is>
          <t>Typically limited operational or experience impact in the scenario assessed.</t>
        </is>
      </c>
    </row>
    <row r="15" ht="44" customHeight="1">
      <c r="A15" s="38" t="inlineStr">
        <is>
          <t>Consequence class 2</t>
        </is>
      </c>
      <c r="B15" s="49" t="n">
        <v>2</v>
      </c>
      <c r="C15" s="38" t="inlineStr">
        <is>
          <t>Material</t>
        </is>
      </c>
      <c r="D15" s="38" t="inlineStr">
        <is>
          <t>Meaningful effect on fairness, capability, consistency or administration.</t>
        </is>
      </c>
    </row>
    <row r="16" ht="44" customHeight="1">
      <c r="A16" s="37" t="inlineStr">
        <is>
          <t>Consequence class 3</t>
        </is>
      </c>
      <c r="B16" s="48" t="n">
        <v>3</v>
      </c>
      <c r="C16" s="37" t="inlineStr">
        <is>
          <t>Potentially serious</t>
        </is>
      </c>
      <c r="D16" s="37" t="inlineStr">
        <is>
          <t>Pay, safety, confidential information, critical continuity or difficult-to-reverse employment decisions may be affected.</t>
        </is>
      </c>
    </row>
    <row r="17" ht="44" customHeight="1">
      <c r="A17" s="38" t="inlineStr">
        <is>
          <t>Scoring is separate</t>
        </is>
      </c>
      <c r="B17" s="38" t="inlineStr">
        <is>
          <t>DESIGN</t>
        </is>
      </c>
      <c r="C17" s="38" t="inlineStr">
        <is>
          <t>No risk percentage</t>
        </is>
      </c>
      <c r="D17" s="38" t="inlineStr">
        <is>
          <t>Weights summarise reported practices. They do not estimate the probability or financial value of a breach.</t>
        </is>
      </c>
    </row>
    <row r="18" ht="44" customHeight="1">
      <c r="A18" s="37" t="inlineStr">
        <is>
          <t>Baseline: response 0 or 1</t>
        </is>
      </c>
      <c r="B18" s="37" t="inlineStr">
        <is>
          <t>DESIGN</t>
        </is>
      </c>
      <c r="C18" s="37" t="inlineStr">
        <is>
          <t>Rank follows consequence class</t>
        </is>
      </c>
      <c r="D18" s="37" t="inlineStr">
        <is>
          <t>Known absence/inconsistency sets base concern. Exact response text must be shown to avoid overstating what was reported.</t>
        </is>
      </c>
    </row>
    <row r="19" ht="44" customHeight="1">
      <c r="A19" s="38" t="inlineStr">
        <is>
          <t>Baseline: response 2</t>
        </is>
      </c>
      <c r="B19" s="38" t="inlineStr">
        <is>
          <t>DESIGN</t>
        </is>
      </c>
      <c r="C19" s="38" t="inlineStr">
        <is>
          <t>High only where explicitly flagged</t>
        </is>
      </c>
      <c r="D19" s="38" t="inlineStr">
        <is>
          <t>High stays visible for an unresolved essential element. Otherwise class 2/3 becomes Medium and class 1 remains Low.</t>
        </is>
      </c>
    </row>
    <row r="20" ht="44" customHeight="1">
      <c r="A20" s="37" t="inlineStr">
        <is>
          <t>Baseline: response 3</t>
        </is>
      </c>
      <c r="B20" s="37" t="inlineStr">
        <is>
          <t>DESIGN</t>
        </is>
      </c>
      <c r="C20" s="37" t="inlineStr">
        <is>
          <t>Low, maintain and review</t>
        </is>
      </c>
      <c r="D20" s="37" t="inlineStr">
        <is>
          <t>No automatic consultancy recommendation. Contrary live information takes precedence.</t>
        </is>
      </c>
    </row>
    <row r="21" ht="44" customHeight="1">
      <c r="A21" s="38" t="inlineStr">
        <is>
          <t>Baseline: DK</t>
        </is>
      </c>
      <c r="B21" s="38" t="inlineStr">
        <is>
          <t>DESIGN</t>
        </is>
      </c>
      <c r="C21" s="38" t="inlineStr">
        <is>
          <t>Risk Unverified</t>
        </is>
      </c>
      <c r="D21" s="38" t="inlineStr">
        <is>
          <t>Priority High for consequence class 3, otherwise Medium. Do not equate unknown with missing or unlawful.</t>
        </is>
      </c>
    </row>
    <row r="22" ht="46" customHeight="1">
      <c r="A22" s="37" t="inlineStr">
        <is>
          <t>LIVE_HARM</t>
        </is>
      </c>
      <c r="B22" s="37" t="inlineStr">
        <is>
          <t>OVERRIDE</t>
        </is>
      </c>
      <c r="C22" s="37" t="inlineStr">
        <is>
          <t>Critical risk / Critical priority</t>
        </is>
      </c>
      <c r="D22" s="37" t="inlineStr">
        <is>
          <t>Reported current serious harm, threat, unsafe exposure or serious continuing sensitive-data disclosure requiring immediate protection. Requires a scoped note; no personal narrative.</t>
        </is>
      </c>
    </row>
    <row r="23" ht="61" customHeight="1">
      <c r="A23" s="38" t="inlineStr">
        <is>
          <t>LIVE_ISSUE</t>
        </is>
      </c>
      <c r="B23" s="38" t="inlineStr">
        <is>
          <t>OVERRIDE</t>
        </is>
      </c>
      <c r="C23" s="38" t="inlineStr">
        <is>
          <t>At least High risk / High priority</t>
        </is>
      </c>
      <c r="D23" s="38" t="inlineStr">
        <is>
          <t>A current potentially serious issue concerning pay, safety, protected rights, sensitive information or critical operations needs assessment. Routine queries or dissatisfaction do not trigger this override. Report allegations as raised, not substantiated.</t>
        </is>
      </c>
    </row>
    <row r="24" ht="46" customHeight="1">
      <c r="A24" s="37" t="inlineStr">
        <is>
          <t>DEADLINE</t>
        </is>
      </c>
      <c r="B24" s="37" t="inlineStr">
        <is>
          <t>OVERRIDE</t>
        </is>
      </c>
      <c r="C24" s="37" t="inlineStr">
        <is>
          <t>Priority at least High; risk unchanged</t>
        </is>
      </c>
      <c r="D24" s="37" t="inlineStr">
        <is>
          <t>An unresolved decision or actual deadline requires action earlier than the baseline planning window. Record the event/date and the reason for early action. Routine future dates do not trigger this override. Risk severity is unchanged.</t>
        </is>
      </c>
    </row>
    <row r="25" ht="46" customHeight="1">
      <c r="A25" s="38" t="inlineStr">
        <is>
          <t>SYSTEMIC</t>
        </is>
      </c>
      <c r="B25" s="38" t="inlineStr">
        <is>
          <t>OVERRIDE</t>
        </is>
      </c>
      <c r="C25" s="38" t="inlineStr">
        <is>
          <t>Known-gap risk up one rank, maximum High</t>
        </is>
      </c>
      <c r="D25" s="38" t="inlineStr">
        <is>
          <t>Use only where the same gap is recurring or spans affected arrangements. Headcount alone never activates this. Strong answer plus contrary systemic information becomes Unverified with High priority.</t>
        </is>
      </c>
    </row>
    <row r="26" ht="46" customHeight="1">
      <c r="A26" s="37" t="inlineStr">
        <is>
          <t>MATTER_UNCLEAR</t>
        </is>
      </c>
      <c r="B26" s="37" t="inlineStr">
        <is>
          <t>OVERRIDE</t>
        </is>
      </c>
      <c r="C26" s="37" t="inlineStr">
        <is>
          <t>Priority at least High to verify</t>
        </is>
      </c>
      <c r="D26" s="37" t="inlineStr">
        <is>
          <t>It is unclear whether a potentially time-sensitive current matter exists. Do not infer an incident; verify promptly. For response 3, risk becomes Unverified pending clarification.</t>
        </is>
      </c>
    </row>
    <row r="27" ht="46" customHeight="1">
      <c r="A27" s="38" t="inlineStr">
        <is>
          <t>Context notes</t>
        </is>
      </c>
      <c r="B27" s="38" t="inlineStr">
        <is>
          <t>REQUIRED</t>
        </is>
      </c>
      <c r="C27" s="38" t="inlineStr">
        <is>
          <t>Brief non-identifying basis</t>
        </is>
      </c>
      <c r="D27" s="38" t="inlineStr">
        <is>
          <t>Every override needs an affected task/group and reason. No names, health details, allegations or pay amounts should be entered here. Store sensitive matter records separately.</t>
        </is>
      </c>
    </row>
    <row r="28" ht="46" customHeight="1">
      <c r="A28" s="37" t="inlineStr">
        <is>
          <t>Formal risk assessment</t>
        </is>
      </c>
      <c r="B28" s="37" t="inlineStr">
        <is>
          <t>LIMIT</t>
        </is>
      </c>
      <c r="C28" s="37" t="inlineStr">
        <is>
          <t>Not replaced by this tool</t>
        </is>
      </c>
      <c r="D28" s="37" t="inlineStr">
        <is>
          <t>Actual WHS risk assessment considers severity, likelihood, exposure and controls in the workplace. This tool gives provisional triage indicators from reported controls and context. See S13.</t>
        </is>
      </c>
    </row>
    <row r="29" ht="46" customHeight="1">
      <c r="A29" s="38" t="inlineStr">
        <is>
          <t>Baseline matrix validation</t>
        </is>
      </c>
      <c r="B29" s="38" t="inlineStr">
        <is>
          <t>RELEASE</t>
        </is>
      </c>
      <c r="C29" s="38" t="inlineStr">
        <is>
          <t>Proposed, not empirically validated</t>
        </is>
      </c>
      <c r="D29" s="38" t="inlineStr">
        <is>
          <t>Review the 69 consequence judgements and partial-answer flags with HR/WHS/legal reviewers; pilot false positives and false reassurance with businesses of different sizes.</t>
        </is>
      </c>
    </row>
    <row r="30" ht="46" customHeight="1">
      <c r="A30" s="37" t="inlineStr">
        <is>
          <t>Overriding legal deadline</t>
        </is>
      </c>
      <c r="B30" s="37" t="inlineStr">
        <is>
          <t>RULE</t>
        </is>
      </c>
      <c r="C30" s="37" t="inlineStr">
        <is>
          <t>Always earlier</t>
        </is>
      </c>
      <c r="D30" s="37" t="inlineStr">
        <is>
          <t>Targets are for planning only. Protect people, meet existing duties and act before the relevant decision or event. Do not delay urgent action to finish this assessment.</t>
        </is>
      </c>
    </row>
    <row r="31" ht="46" customHeight="1">
      <c r="A31" s="38" t="inlineStr">
        <is>
          <t>Progress and residual risk</t>
        </is>
      </c>
      <c r="B31" s="38" t="inlineStr">
        <is>
          <t>RULE</t>
        </is>
      </c>
      <c r="C31" s="38" t="inlineStr">
        <is>
          <t>Recheck, do not auto-clear</t>
        </is>
      </c>
      <c r="D31" s="38" t="inlineStr">
        <is>
          <t>Marking an action complete is not enough to lower its risk. Confirm implementation and effectiveness, preserve history and then reassess.</t>
        </is>
      </c>
    </row>
  </sheetData>
  <autoFilter ref="A5:D31"/>
  <mergeCells count="3">
    <mergeCell ref="A1:D1"/>
    <mergeCell ref="A3:D3"/>
    <mergeCell ref="A2:D2"/>
  </mergeCells>
  <printOptions horizontalCentered="0"/>
  <pageMargins left="0.75" right="0.75" top="1" bottom="1" header="0.5" footer="0.5"/>
  <pageSetup orientation="landscape" paperSize="8" fitToHeight="0" fitToWidth="1"/>
</worksheet>
</file>

<file path=xl/worksheets/sheet8.xml><?xml version="1.0" encoding="utf-8"?>
<worksheet xmlns="http://schemas.openxmlformats.org/spreadsheetml/2006/main">
  <sheetPr>
    <tabColor rgb="0008685F"/>
    <outlinePr summaryBelow="1" summaryRight="0"/>
    <pageSetUpPr fitToPage="1"/>
  </sheetPr>
  <dimension ref="A1:F1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35" customWidth="1" min="2" max="2"/>
    <col width="86" customWidth="1" min="3" max="3"/>
    <col width="86" customWidth="1" min="4" max="4"/>
    <col width="105" customWidth="1" min="5" max="5"/>
    <col width="84" customWidth="1" min="6" max="6"/>
  </cols>
  <sheetData>
    <row r="1" ht="38" customHeight="1">
      <c r="A1" s="33" t="inlineStr">
        <is>
          <t>Context questions | ask once, apply only where relevant</t>
        </is>
      </c>
    </row>
    <row r="2" ht="42" customHeight="1">
      <c r="A2" s="34" t="inlineStr">
        <is>
          <t>Eight unscored prompts form a short routed context conversation, not eight compulsory questions per finding. They establish scope and urgency without turning the self-assessment into an incident form.</t>
        </is>
      </c>
    </row>
    <row r="3" ht="22" customHeight="1">
      <c r="A3" s="35" t="inlineStr">
        <is>
          <t>DREAMSTONEHR | PROPOSED V3.0 | 10 OCTOBER 2026</t>
        </is>
      </c>
    </row>
    <row r="4" ht="12" customHeight="1"/>
    <row r="5" ht="43" customHeight="1">
      <c r="A5" s="36" t="inlineStr">
        <is>
          <t>ID</t>
        </is>
      </c>
      <c r="B5" s="36" t="inlineStr">
        <is>
          <t>When to show</t>
        </is>
      </c>
      <c r="C5" s="36" t="inlineStr">
        <is>
          <t>Customer-facing prompt</t>
        </is>
      </c>
      <c r="D5" s="36" t="inlineStr">
        <is>
          <t>Response options / fields</t>
        </is>
      </c>
      <c r="E5" s="36" t="inlineStr">
        <is>
          <t>Safeguard</t>
        </is>
      </c>
      <c r="F5" s="36" t="inlineStr">
        <is>
          <t>Result / routing</t>
        </is>
      </c>
    </row>
    <row r="6" ht="61" customHeight="1">
      <c r="A6" s="37" t="inlineStr">
        <is>
          <t>RC01</t>
        </is>
      </c>
      <c r="B6" s="37" t="inlineStr">
        <is>
          <t>Everyone, once before results</t>
        </is>
      </c>
      <c r="C6" s="37" t="inlineStr">
        <is>
          <t>Is there a current matter that should take priority over a routine improvement plan?</t>
        </is>
      </c>
      <c r="D6" s="37" t="inlineStr">
        <is>
          <t>None known / serious current harm or exposure / substantive current issue / approaching decision or deadline / need to confirm. Multi-select if distinct matters exist.</t>
        </is>
      </c>
      <c r="E6" s="37" t="inlineStr">
        <is>
          <t>Capture the affected topic only and route to the relevant finding family. Unanswered blocks a final risk conclusion.</t>
        </is>
      </c>
      <c r="F6" s="37" t="inlineStr">
        <is>
          <t>Context selector; keep the original maturity answer unchanged.</t>
        </is>
      </c>
    </row>
    <row r="7" ht="46" customHeight="1">
      <c r="A7" s="38" t="inlineStr">
        <is>
          <t>RC02</t>
        </is>
      </c>
      <c r="B7" s="38" t="inlineStr">
        <is>
          <t>A current matter is selected</t>
        </is>
      </c>
      <c r="C7" s="38" t="inlineStr">
        <is>
          <t>Which task, arrangement or group does this concern affect?</t>
        </is>
      </c>
      <c r="D7" s="38" t="inlineStr">
        <is>
          <t>Choose the relevant question or action family; enter a short scope label, not employee names.</t>
        </is>
      </c>
      <c r="E7" s="38" t="inlineStr">
        <is>
          <t>Do not apply one incident to every finding in the report. No identifying health, allegation or payroll details.</t>
        </is>
      </c>
      <c r="F7" s="38" t="inlineStr">
        <is>
          <t>Scope input for Risk Register.</t>
        </is>
      </c>
    </row>
    <row r="8" ht="46" customHeight="1">
      <c r="A8" s="37" t="inlineStr">
        <is>
          <t>RC03</t>
        </is>
      </c>
      <c r="B8" s="37" t="inlineStr">
        <is>
          <t>Potential serious current exposure</t>
        </is>
      </c>
      <c r="C8" s="37" t="inlineStr">
        <is>
          <t>Is the exposure ongoing, and are effective interim protections in place?</t>
        </is>
      </c>
      <c r="D8" s="37" t="inlineStr">
        <is>
          <t>Ongoing without effective protection / effective protection confirmed / needs immediate verification.</t>
        </is>
      </c>
      <c r="E8" s="37" t="inlineStr">
        <is>
          <t>Where serious harm may be imminent, give an immediate safety/support notice. Do not wait for the full questionnaire; seek appropriate urgent help.</t>
        </is>
      </c>
      <c r="F8" s="37" t="inlineStr">
        <is>
          <t>LIVE_HARM where current serious exposure needs protection. Do not generate this from a low score alone.</t>
        </is>
      </c>
    </row>
    <row r="9" ht="61" customHeight="1">
      <c r="A9" s="38" t="inlineStr">
        <is>
          <t>RC04</t>
        </is>
      </c>
      <c r="B9" s="38" t="inlineStr">
        <is>
          <t>Issue or discrepancy selected</t>
        </is>
      </c>
      <c r="C9" s="38" t="inlineStr">
        <is>
          <t>Is a potentially serious current issue unresolved, rather than a routine query or improvement suggestion?</t>
        </is>
      </c>
      <c r="D9" s="38" t="inlineStr">
        <is>
          <t>Yes / no / need to confirm.</t>
        </is>
      </c>
      <c r="E9" s="38" t="inlineStr">
        <is>
          <t>A complaint is not a finding. Use neutral wording and preserve the appropriate evidence outside the assessment.</t>
        </is>
      </c>
      <c r="F9" s="38" t="inlineStr">
        <is>
          <t>LIVE_ISSUE for an unresolved potentially serious pay, safety, rights, information or critical-operation issue. Ordinary feedback stays on the baseline pathway. MATTER_UNCLEAR is used where a time-sensitive matter needs confirmation.</t>
        </is>
      </c>
    </row>
    <row r="10" ht="61" customHeight="1">
      <c r="A10" s="37" t="inlineStr">
        <is>
          <t>RC05</t>
        </is>
      </c>
      <c r="B10" s="37" t="inlineStr">
        <is>
          <t>Deadline or decision selected</t>
        </is>
      </c>
      <c r="C10" s="37" t="inlineStr">
        <is>
          <t>What is the actual next event or response deadline?</t>
        </is>
      </c>
      <c r="D10" s="37" t="inlineStr">
        <is>
          <t>Date and type of event; deadline unknown is a valid answer requiring confirmation.</t>
        </is>
      </c>
      <c r="E10" s="37" t="inlineStr">
        <is>
          <t>The tool must not manufacture the legal deadline. Check the applicable rule and actual dates. Urgency changes separately from risk severity.</t>
        </is>
      </c>
      <c r="F10" s="37" t="inlineStr">
        <is>
          <t>DEADLINE only when the event requires earlier action than the baseline target. Record the actual event/date and why it is time-sensitive. Use MATTER_UNCLEAR while urgency or the deadline remains unknown.</t>
        </is>
      </c>
    </row>
    <row r="11" ht="46" customHeight="1">
      <c r="A11" s="38" t="inlineStr">
        <is>
          <t>RC06</t>
        </is>
      </c>
      <c r="B11" s="38" t="inlineStr">
        <is>
          <t>A gap is reported</t>
        </is>
      </c>
      <c r="C11" s="38" t="inlineStr">
        <is>
          <t>Does the same gap appear to recur or affect more than one arrangement?</t>
        </is>
      </c>
      <c r="D11" s="38" t="inlineStr">
        <is>
          <t>Single known instance / recurring or wider pattern / scope unknown.</t>
        </is>
      </c>
      <c r="E11" s="38" t="inlineStr">
        <is>
          <t>A 200-person organisation is not automatically systemic. Scope unknown creates a task to establish reach, not a claim that everyone is affected.</t>
        </is>
      </c>
      <c r="F11" s="38" t="inlineStr">
        <is>
          <t>SYSTEMIC only for a supported recurring/wider gap.</t>
        </is>
      </c>
    </row>
    <row r="12" ht="46" customHeight="1">
      <c r="A12" s="37" t="inlineStr">
        <is>
          <t>RC07</t>
        </is>
      </c>
      <c r="B12" s="37" t="inlineStr">
        <is>
          <t>Evidence-sensitive finding</t>
        </is>
      </c>
      <c r="C12" s="37" t="inlineStr">
        <is>
          <t>What supports your answer?</t>
        </is>
      </c>
      <c r="D12" s="37" t="inlineStr">
        <is>
          <t>Self-report only / current record located / recent example checked / independent review noted.</t>
        </is>
      </c>
      <c r="E12" s="37" t="inlineStr">
        <is>
          <t>A record being located is not independent validation. Retain who checked, when and the example type; no confidential record upload is required.</t>
        </is>
      </c>
      <c r="F12" s="37" t="inlineStr">
        <is>
          <t>Evidence basis, displayed separately from the risk rating.</t>
        </is>
      </c>
    </row>
    <row r="13" ht="46" customHeight="1">
      <c r="A13" s="38" t="inlineStr">
        <is>
          <t>RC08</t>
        </is>
      </c>
      <c r="B13" s="38" t="inlineStr">
        <is>
          <t>Action planning</t>
        </is>
      </c>
      <c r="C13" s="38" t="inlineStr">
        <is>
          <t>Who will own the action and what existing work can it build on?</t>
        </is>
      </c>
      <c r="D13" s="38" t="inlineStr">
        <is>
          <t>Responsible role; existing process or improvement project; constraints that affect sequencing.</t>
        </is>
      </c>
      <c r="E13" s="38" t="inlineStr">
        <is>
          <t>An inability to fund a solution does not lower the risk. Identify interim safeguards and appropriate advice instead.</t>
        </is>
      </c>
      <c r="F13" s="38" t="inlineStr">
        <is>
          <t>Assign owner, dependencies and follow-up without changing the evidence-based rating.</t>
        </is>
      </c>
    </row>
  </sheetData>
  <autoFilter ref="A5:F13"/>
  <mergeCells count="3">
    <mergeCell ref="A3:F3"/>
    <mergeCell ref="A2:F2"/>
    <mergeCell ref="A1:F1"/>
  </mergeCells>
  <printOptions horizontalCentered="0"/>
  <pageMargins left="0.75" right="0.75" top="1" bottom="1" header="0.5" footer="0.5"/>
  <pageSetup orientation="landscape" paperSize="8" fitToHeight="0" fitToWidth="1"/>
</worksheet>
</file>

<file path=xl/worksheets/sheet9.xml><?xml version="1.0" encoding="utf-8"?>
<worksheet xmlns="http://schemas.openxmlformats.org/spreadsheetml/2006/main">
  <sheetPr>
    <tabColor rgb="0008685F"/>
    <outlinePr summaryBelow="1" summaryRight="0"/>
    <pageSetUpPr fitToPage="1"/>
  </sheetPr>
  <dimension ref="A1:AI74"/>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10" customWidth="1" min="2" max="2"/>
    <col width="12" customWidth="1" min="3" max="3"/>
    <col width="12" customWidth="1" min="4" max="4"/>
    <col hidden="1" width="12" customWidth="1" min="5" max="5"/>
    <col hidden="1" width="14" customWidth="1" min="6" max="6"/>
    <col width="22" customWidth="1" min="7" max="7"/>
    <col width="65" customWidth="1" min="8" max="8"/>
    <col width="37" customWidth="1" min="9" max="9"/>
    <col width="40" customWidth="1" min="10" max="10"/>
    <col width="29" customWidth="1" min="11" max="11"/>
    <col width="13" customWidth="1" min="12" max="12"/>
    <col width="20" customWidth="1" min="13" max="13"/>
    <col width="13" customWidth="1" min="14" max="14"/>
    <col width="20" customWidth="1" min="15" max="15"/>
    <col width="65" customWidth="1" min="16" max="16"/>
    <col width="85" customWidth="1" min="17" max="17"/>
    <col width="110" customWidth="1" min="18" max="18"/>
    <col width="115" customWidth="1" min="19" max="19"/>
    <col width="108" customWidth="1" min="20" max="20"/>
    <col width="100" customWidth="1" min="21" max="21"/>
    <col width="30" customWidth="1" min="22" max="22"/>
    <col width="94" customWidth="1" min="23" max="23"/>
    <col width="27" customWidth="1" min="24" max="24"/>
    <col hidden="1" width="19" customWidth="1" min="25" max="25"/>
    <col hidden="1" width="18" customWidth="1" min="26" max="26"/>
    <col hidden="1" width="13" customWidth="1" min="27" max="27"/>
    <col width="42" customWidth="1" min="28" max="28"/>
    <col width="60" customWidth="1" min="29" max="29"/>
    <col width="62" customWidth="1" min="30" max="30"/>
    <col width="24" customWidth="1" min="31" max="31"/>
    <col hidden="1" width="12" customWidth="1" min="32" max="32"/>
    <col hidden="1" width="18" customWidth="1" min="33" max="33"/>
    <col hidden="1" width="14" customWidth="1" min="34" max="34"/>
    <col hidden="1" width="12" customWidth="1" min="35" max="35"/>
  </cols>
  <sheetData>
    <row r="1" ht="38" customHeight="1">
      <c r="A1" s="33" t="inlineStr">
        <is>
          <t>Risk register | answer evidence to accountable action</t>
        </is>
      </c>
    </row>
    <row r="2" ht="42" customHeight="1">
      <c r="A2" s="34" t="inlineStr">
        <is>
          <t>Inputs come from Score Sandbox. Edit G:K only for scoped context. All ratings are provisional. This is the complete register, including every high-priority item, not just the three starting actions shown in Client Preview.</t>
        </is>
      </c>
    </row>
    <row r="3" ht="22" customHeight="1">
      <c r="A3" s="35" t="inlineStr">
        <is>
          <t>DREAMSTONEHR | PROPOSED V3.0 | 10 OCTOBER 2026</t>
        </is>
      </c>
    </row>
    <row r="4" ht="12" customHeight="1"/>
    <row r="5" ht="43" customHeight="1">
      <c r="A5" s="36" t="inlineStr">
        <is>
          <t>Question ID</t>
        </is>
      </c>
      <c r="B5" s="36" t="inlineStr">
        <is>
          <t>Domain</t>
        </is>
      </c>
      <c r="C5" s="36" t="inlineStr">
        <is>
          <t>Eligible 1/0</t>
        </is>
      </c>
      <c r="D5" s="36" t="inlineStr">
        <is>
          <t>Response</t>
        </is>
      </c>
      <c r="E5" s="36" t="inlineStr">
        <is>
          <t>Base risk rank</t>
        </is>
      </c>
      <c r="F5" s="36" t="inlineStr">
        <is>
          <t>Base priority rank</t>
        </is>
      </c>
      <c r="G5" s="36" t="inlineStr">
        <is>
          <t>Context code</t>
        </is>
      </c>
      <c r="H5" s="36" t="inlineStr">
        <is>
          <t>Context basis: no personal detail</t>
        </is>
      </c>
      <c r="I5" s="36" t="inlineStr">
        <is>
          <t>Affected task/group</t>
        </is>
      </c>
      <c r="J5" s="36" t="inlineStr">
        <is>
          <t>Actual due event/date</t>
        </is>
      </c>
      <c r="K5" s="36" t="inlineStr">
        <is>
          <t>Evidence basis</t>
        </is>
      </c>
      <c r="L5" s="36" t="inlineStr">
        <is>
          <t>Final risk rank</t>
        </is>
      </c>
      <c r="M5" s="36" t="inlineStr">
        <is>
          <t>Provisional risk</t>
        </is>
      </c>
      <c r="N5" s="36" t="inlineStr">
        <is>
          <t>Final priority rank</t>
        </is>
      </c>
      <c r="O5" s="36" t="inlineStr">
        <is>
          <t>Action priority</t>
        </is>
      </c>
      <c r="P5" s="36" t="inlineStr">
        <is>
          <t>Finding</t>
        </is>
      </c>
      <c r="Q5" s="36" t="inlineStr">
        <is>
          <t>Why it matters</t>
        </is>
      </c>
      <c r="R5" s="36" t="inlineStr">
        <is>
          <t>First action</t>
        </is>
      </c>
      <c r="S5" s="36" t="inlineStr">
        <is>
          <t>Further steps</t>
        </is>
      </c>
      <c r="T5" s="36" t="inlineStr">
        <is>
          <t>Why this priority</t>
        </is>
      </c>
      <c r="U5" s="36" t="inlineStr">
        <is>
          <t>Completion evidence</t>
        </is>
      </c>
      <c r="V5" s="36" t="inlineStr">
        <is>
          <t>Suggested owner</t>
        </is>
      </c>
      <c r="W5" s="36" t="inlineStr">
        <is>
          <t>Timing / next event</t>
        </is>
      </c>
      <c r="X5" s="36" t="inlineStr">
        <is>
          <t>Action family</t>
        </is>
      </c>
      <c r="Y5" s="36" t="inlineStr">
        <is>
          <t>Outcome key</t>
        </is>
      </c>
      <c r="Z5" s="36" t="inlineStr">
        <is>
          <t>Sort key</t>
        </is>
      </c>
      <c r="AA5" s="36" t="inlineStr">
        <is>
          <t>All findings order</t>
        </is>
      </c>
      <c r="AB5" s="36" t="inlineStr">
        <is>
          <t>Input / rule error</t>
        </is>
      </c>
      <c r="AC5" s="36" t="inlineStr">
        <is>
          <t>Recheck trigger</t>
        </is>
      </c>
      <c r="AD5" s="36" t="inlineStr">
        <is>
          <t>Sources</t>
        </is>
      </c>
      <c r="AE5" s="36" t="inlineStr">
        <is>
          <t>Dependency IDs</t>
        </is>
      </c>
      <c r="AF5" s="36" t="inlineStr">
        <is>
          <t>Outcome row</t>
        </is>
      </c>
      <c r="AG5" s="36" t="inlineStr">
        <is>
          <t>Group leader key</t>
        </is>
      </c>
      <c r="AH5" s="36" t="inlineStr">
        <is>
          <t>Group leader order</t>
        </is>
      </c>
      <c r="AI5" s="36" t="inlineStr">
        <is>
          <t>Input error flag</t>
        </is>
      </c>
    </row>
    <row r="6" ht="44" customHeight="1">
      <c r="A6" s="37" t="inlineStr">
        <is>
          <t>PAY01</t>
        </is>
      </c>
      <c r="B6" s="37" t="inlineStr">
        <is>
          <t>PAY</t>
        </is>
      </c>
      <c r="C6" s="52">
        <f>'Score Sandbox'!F26</f>
        <v>1</v>
      </c>
      <c r="D6" s="52">
        <f>IF(COUNTBLANK('Score Sandbox'!G26)&gt;0,"",'Score Sandbox'!G26)</f>
        <v>3</v>
      </c>
      <c r="E6" s="52">
        <f>IF(OR(C6&lt;&gt;1,AF6=0),"",INDEX('Answer Outcomes'!$J$6:$J$350,$AF6))</f>
        <v>1</v>
      </c>
      <c r="F6" s="52">
        <f>IF(OR(C6&lt;&gt;1,AF6=0),"",INDEX('Answer Outcomes'!$K$6:$K$350,$AF6))</f>
        <v>1</v>
      </c>
      <c r="G6" s="53" t="inlineStr">
        <is>
          <t>NONE</t>
        </is>
      </c>
      <c r="H6" s="53" t="inlineStr"/>
      <c r="I6" s="53" t="inlineStr"/>
      <c r="J6" s="53" t="inlineStr"/>
      <c r="K6" s="53" t="inlineStr">
        <is>
          <t>Self-report only</t>
        </is>
      </c>
      <c r="L6" s="52">
        <f>IF(OR(C6&lt;&gt;1,AF6=0),0,IF(G6="LIVE_HARM",'Risk Method'!$B$10,IF(G6="LIVE_ISSUE",MAX(E6,'Risk Method'!$B$9),IF(AND(OR(G6="SYSTEMIC",G6="MATTER_UNCLEAR"),D6&amp;""="3"),0,IF(G6="SYSTEMIC",IF(E6=0,0,MIN('Risk Method'!$B$9,E6+1)),E6)))))</f>
        <v>1</v>
      </c>
      <c r="M6" s="52" t="str">
        <f>IF(C6&lt;&gt;1,"Not assessed",IF(AF6=0,"Incomplete",VLOOKUP(L6,'Risk Method'!$F$6:$H$10,2,FALSE)))</f>
        <v>Low</v>
      </c>
      <c r="N6" s="52">
        <f>IF(OR(C6&lt;&gt;1,AF6=0),0,IF(G6="LIVE_HARM",'Risk Method'!$B$10,IF(G6="NONE",F6,IF(G6="SYSTEMIC",MIN('Risk Method'!$B$9,MAX(F6+1,IF(D6&amp;""="3",'Risk Method'!$B$9,0))),MAX(F6,'Risk Method'!$B$9)))))</f>
        <v>1</v>
      </c>
      <c r="O6" s="52" t="str">
        <f>IF(N6=0,"Not assessed",VLOOKUP(N6,'Risk Method'!$F$6:$H$10,3,FALSE))</f>
        <v>Low</v>
      </c>
      <c r="P6" s="52" t="str">
        <f>IF(OR(C6&lt;&gt;1,AF6=0),"",INDEX('Answer Outcomes'!$E$6:$E$350,$AF6))</f>
        <v>Maintain and test: establish the rules behind your pay decisions</v>
      </c>
      <c r="Q6" s="52" t="str">
        <f>IF(OR(C6&lt;&gt;1,AF6=0),"",INDEX('Answer Outcomes'!$G$6:$G$350,$AF6))</f>
        <v>An incorrect coverage or classification decision can affect pay, leave and working conditions every time the role is paid.</v>
      </c>
      <c r="R6" s="52" t="str">
        <f>IF(OR(C6&lt;&gt;1,AF6=0),"",IF(G6="LIVE_HARM","Protect people and contain the reported exposure now. Seek appropriate urgent assistance and arrange a competent review. Do not wait for this assessment or a sales appointment.",IF(OR(G6="LIVE_ISSUE",AND(G6="SYSTEMIC",D6&amp;""="3")),"Review the reported current matter and reconcile it with the maturity answer before relying on the result. Preserve relevant evidence, allocate an impartial owner and assess immediate safeguards. Context: "&amp;H6,IF(G6="DEADLINE","Confirm the actual deadline and complete the necessary checks before the affected event. "&amp;INDEX('Answer Outcomes'!$M$6:$M$350,$AF6),IF(G6="MATTER_UNCLEAR","Confirm promptly whether the time-sensitive matter exists and who owns the response. Do not treat uncertainty as proof of an incident. "&amp;INDEX('Answer Outcomes'!$M$6:$M$350,$AF6),INDEX('Answer Outcomes'!$M$6:$M$350,$AF6))))))</f>
        <v>Maintain the practice described. At the next relevant review, check that the approved outcome matches payroll and contract records. Review comparable roles if one classification was wrong.</v>
      </c>
      <c r="S6" s="52" t="str">
        <f>IF(OR(C6&lt;&gt;1,AF6=0),"","1. "&amp;INDEX('Answer Outcomes'!$N$6:$N$350,$AF6)&amp;CHAR(10)&amp;"2. "&amp;INDEX('Answer Outcomes'!$O$6:$O$350,$AF6))</f>
        <v>1. Check whether changes in work, people or applicable requirements have made the original process less reliable.
2. Retain the review outcome and act on any new exception. An unresolved live issue overrides this maintenance pathway.</v>
      </c>
      <c r="T6" s="52" t="str">
        <f>IF(OR(C6&lt;&gt;1,AF6=0),"",IF(G6="NONE",INDEX('Answer Outcomes'!$L$6:$L$350,$AF6),"Context "&amp;G6&amp;": "&amp;H6&amp;". Scope: "&amp;I6&amp;". "&amp;IF(G6="DEADLINE","The deadline raises action urgency; it does not establish a breach or automatically raise the risk rating.",IF(D6&amp;""="3","The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6" s="52" t="str">
        <f>IF(OR(C6&lt;&gt;1,AF6=0),"",INDEX('Answer Outcomes'!$Q$6:$Q$350,$AF6))</f>
        <v>A current example of the practice and a proportionate recheck record. A dated coverage and classification record with reasons for every distinct role, appropriate review of uncertain classifications, and resulting payroll changes checked. An unresolved classification remains an open task.</v>
      </c>
      <c r="V6" s="52" t="str">
        <f>IF(OR(C6&lt;&gt;1,AF6=0),"",INDEX('Answer Outcomes'!$T$6:$T$350,$AF6))</f>
        <v>Payroll lead / owner</v>
      </c>
      <c r="W6" s="52" t="str">
        <f>IF(N6=0,"",IF(N6='Risk Method'!$B$10,"Act now. Immediate protective action and appropriate urgent advice take precedence.",IF(N6='Risk Method'!$B$9,"Review or verify within "&amp;'Risk Method'!$B$11&amp;" business days, or before an earlier duty/event. Do not wait where harm or law requires immediate action.",IF(N6='Risk Method'!$B$8,"Agree and start a plan within "&amp;'Risk Method'!$B$12&amp;" days, or before an earlier affected event.","Maintain at the stated trigger; plan any discretionary improvement within "&amp;'Risk Method'!$B$13&amp;" days.")))&amp;IF(J6="",""," Next event: "&amp;J6))</f>
        <v>Maintain at the stated trigger; plan any discretionary improvement within 90 days.</v>
      </c>
      <c r="X6" s="52" t="str">
        <f>IF(OR(C6&lt;&gt;1,AF6=0),"",INDEX('Answer Outcomes'!$V$6:$V$350,$AF6))</f>
        <v>PAY_ASSURANCE</v>
      </c>
      <c r="Y6" s="52" t="str">
        <f>IF(C6&lt;&gt;1,"",A6&amp;"_"&amp;D6)</f>
        <v>PAY01_3</v>
      </c>
      <c r="Z6" s="52">
        <f>IF(N6=0,0,N6*100000+L6*1000+INDEX('Answer Outcomes'!$I$6:$I$350,$AF6)*100+IF(G6="DEADLINE",50,0)+(75-ROW())/100)</f>
        <v>101300.69</v>
      </c>
      <c r="AA6" s="52">
        <f>IF(Z6=0,"",RANK(Z6,$Z$6:$Z$74,0))</f>
        <v>5</v>
      </c>
      <c r="AB6" s="52" t="str">
        <f>IF(AND(C6&lt;&gt;0,C6&lt;&gt;1),"Invalid eligibility",IF(AND(C6=0,G6&lt;&gt;"NONE"),"Context conflicts with exclusion",IF(C6=0,"",IF(AF6=0,"Missing or invalid answer",IF(AND(G6&lt;&gt;"NONE",G6&lt;&gt;"LIVE_HARM",G6&lt;&gt;"LIVE_ISSUE",G6&lt;&gt;"DEADLINE",G6&lt;&gt;"SYSTEMIC",G6&lt;&gt;"MATTER_UNCLEAR"),"Invalid context code",IF(AND(G6&lt;&gt;"NONE",OR(H6="",I6="")),"Override needs reason and scope",""))))))</f>
        <v/>
      </c>
      <c r="AC6" s="52" t="str">
        <f>IF(OR(C6&lt;&gt;1,AF6=0),"",INDEX('Answer Outcomes'!$S$6:$S$350,$AF6))</f>
        <v>A changed role, new instrument or classification change.</v>
      </c>
      <c r="AD6" s="52" t="str">
        <f>IF(OR(C6&lt;&gt;1,AF6=0),"",INDEX('Answer Outcomes'!$Y$6:$Y$350,$AF6))</f>
        <v>https://www.fairwork.gov.au/pay-and-wages/minimum-wages/annualised-salaries
https://www.fairwork.gov.au/tools-and-resources/fact-sheets/rights-and-obligations/record-keeping-pay-slips</v>
      </c>
      <c r="AE6" s="37" t="inlineStr">
        <is>
          <t>None</t>
        </is>
      </c>
      <c r="AF6" s="52">
        <f>IF(C6&lt;&gt;1,0,IFERROR(MATCH(Y6,'Answer Outcomes'!$A$6:$A$350,0),0))</f>
        <v>4</v>
      </c>
      <c r="AG6" s="52">
        <f>IF(N6&lt;'Risk Method'!$B$8,0,IF(COUNTIFS($X$6:$X$74,X6,$Z$6:$Z$74,"&gt;"&amp;Z6)=0,Z6,0))</f>
        <v>0</v>
      </c>
      <c r="AH6" s="52" t="str">
        <f>IF(AG6=0,"",RANK(AG6,$AG$6:$AG$74,0))</f>
        <v/>
      </c>
      <c r="AI6" s="52">
        <f>IF(LEN(AB6)&gt;0,1,0)</f>
        <v>0</v>
      </c>
    </row>
    <row r="7" ht="44" customHeight="1">
      <c r="A7" s="38" t="inlineStr">
        <is>
          <t>PAY02</t>
        </is>
      </c>
      <c r="B7" s="38" t="inlineStr">
        <is>
          <t>PAY</t>
        </is>
      </c>
      <c r="C7" s="54">
        <f>'Score Sandbox'!F27</f>
        <v>1</v>
      </c>
      <c r="D7" s="54">
        <f>IF(COUNTBLANK('Score Sandbox'!G27)&gt;0,"",'Score Sandbox'!G27)</f>
        <v>1</v>
      </c>
      <c r="E7" s="54">
        <f>IF(OR(C7&lt;&gt;1,AF7=0),"",INDEX('Answer Outcomes'!$J$6:$J$350,$AF7))</f>
        <v>3</v>
      </c>
      <c r="F7" s="54">
        <f>IF(OR(C7&lt;&gt;1,AF7=0),"",INDEX('Answer Outcomes'!$K$6:$K$350,$AF7))</f>
        <v>3</v>
      </c>
      <c r="G7" s="53" t="inlineStr">
        <is>
          <t>NONE</t>
        </is>
      </c>
      <c r="H7" s="53" t="inlineStr"/>
      <c r="I7" s="53" t="inlineStr"/>
      <c r="J7" s="53" t="inlineStr"/>
      <c r="K7" s="53" t="inlineStr">
        <is>
          <t>Self-report only</t>
        </is>
      </c>
      <c r="L7" s="54">
        <f>IF(OR(C7&lt;&gt;1,AF7=0),0,IF(G7="LIVE_HARM",'Risk Method'!$B$10,IF(G7="LIVE_ISSUE",MAX(E7,'Risk Method'!$B$9),IF(AND(OR(G7="SYSTEMIC",G7="MATTER_UNCLEAR"),D7&amp;""="3"),0,IF(G7="SYSTEMIC",IF(E7=0,0,MIN('Risk Method'!$B$9,E7+1)),E7)))))</f>
        <v>3</v>
      </c>
      <c r="M7" s="54" t="str">
        <f>IF(C7&lt;&gt;1,"Not assessed",IF(AF7=0,"Incomplete",VLOOKUP(L7,'Risk Method'!$F$6:$H$10,2,FALSE)))</f>
        <v>High</v>
      </c>
      <c r="N7" s="54">
        <f>IF(OR(C7&lt;&gt;1,AF7=0),0,IF(G7="LIVE_HARM",'Risk Method'!$B$10,IF(G7="NONE",F7,IF(G7="SYSTEMIC",MIN('Risk Method'!$B$9,MAX(F7+1,IF(D7&amp;""="3",'Risk Method'!$B$9,0))),MAX(F7,'Risk Method'!$B$9)))))</f>
        <v>3</v>
      </c>
      <c r="O7" s="54" t="str">
        <f>IF(N7=0,"Not assessed",VLOOKUP(N7,'Risk Method'!$F$6:$H$10,3,FALSE))</f>
        <v>High</v>
      </c>
      <c r="P7" s="54" t="str">
        <f>IF(OR(C7&lt;&gt;1,AF7=0),"",INDEX('Answer Outcomes'!$E$6:$E$350,$AF7))</f>
        <v>Test the payroll result, not just the base rate</v>
      </c>
      <c r="Q7" s="54" t="str">
        <f>IF(OR(C7&lt;&gt;1,AF7=0),"",INDEX('Answer Outcomes'!$G$6:$G$350,$AF7))</f>
        <v>An unchecked pay rule can repeat across pay periods and employees. The initial gap is lack of assurance, not proof of an underpayment.</v>
      </c>
      <c r="R7" s="54" t="str">
        <f>IF(OR(C7&lt;&gt;1,AF7=0),"",IF(G7="LIVE_HARM","Protect people and contain the reported exposure now. Seek appropriate urgent assistance and arrange a competent review. Do not wait for this assessment or a sales appointment.",IF(OR(G7="LIVE_ISSUE",AND(G7="SYSTEMIC",D7&amp;""="3")),"Review the reported current matter and reconcile it with the maturity answer before relying on the result. Preserve relevant evidence, allocate an impartial owner and assess immediate safeguards. Context: "&amp;H7,IF(G7="DEADLINE","Confirm the actual deadline and complete the necessary checks before the affected event. "&amp;INDEX('Answer Outcomes'!$M$6:$M$350,$AF7),IF(G7="MATTER_UNCLEAR","Confirm promptly whether the time-sensitive matter exists and who owns the response. Do not treat uncertainty as proof of an incident. "&amp;INDEX('Answer Outcomes'!$M$6:$M$350,$AF7),INDEX('Answer Outcomes'!$M$6:$M$350,$AF7))))))</f>
        <v>Replace the assumption with a current check. Select representative ordinary and exception pay periods and obtain the actual work records, applicable rules and payslips. Define the arrangements being checked before calculating any difference.</v>
      </c>
      <c r="S7" s="54" t="str">
        <f>IF(OR(C7&lt;&gt;1,AF7=0),"","1. "&amp;INDEX('Answer Outcomes'!$N$6:$N$350,$AF7)&amp;CHAR(10)&amp;"2. "&amp;INDEX('Answer Outcomes'!$O$6:$O$350,$AF7))</f>
        <v>1. Recalculate selected ordinary and exception pay periods using actual work records. Record differences by entitlement, period and affected arrangement.
2. Investigate the cause of each difference, extend the review where appropriate and test the next affected pay run after correction.</v>
      </c>
      <c r="T7" s="54" t="str">
        <f>IF(OR(C7&lt;&gt;1,AF7=0),"",IF(G7="NONE",INDEX('Answer Outcomes'!$L$6:$L$350,$AF7),"Context "&amp;G7&amp;": "&amp;H7&amp;". Scope: "&amp;I7&amp;". "&amp;IF(G7="DEADLINE","The deadline raises action urgency; it does not establish a breach or automatically raise the risk rating.",IF(D7&amp;""="3","The current context takes precedence over a reassuring maturity answer.","The rating remains provisional; the matter has not been independently verified."))))</f>
        <v>High provisional concern: an essential element remains unresolved. An unchecked pay rule can repeat across pay periods and employees. The initial gap is lack of assurance, not proof of an underpayment.</v>
      </c>
      <c r="U7" s="54" t="str">
        <f>IF(OR(C7&lt;&gt;1,AF7=0),"",INDEX('Answer Outcomes'!$Q$6:$Q$350,$AF7))</f>
        <v>A dated pay-check record for each materially different pay arrangement, with discrepancies investigated, required corrections completed and the next affected pay run checked. Keep any unresolved scope or payment issue open. Confirm that the change works in practice, not only that a document exists.</v>
      </c>
      <c r="V7" s="54" t="str">
        <f>IF(OR(C7&lt;&gt;1,AF7=0),"",INDEX('Answer Outcomes'!$T$6:$T$350,$AF7))</f>
        <v>Payroll lead / owner</v>
      </c>
      <c r="W7" s="54" t="str">
        <f>IF(N7=0,"",IF(N7='Risk Method'!$B$10,"Act now. Immediate protective action and appropriate urgent advice take precedence.",IF(N7='Risk Method'!$B$9,"Review or verify within "&amp;'Risk Method'!$B$11&amp;" business days, or before an earlier duty/event. Do not wait where harm or law requires immediate action.",IF(N7='Risk Method'!$B$8,"Agree and start a plan within "&amp;'Risk Method'!$B$12&amp;" days, or before an earlier affected event.","Maintain at the stated trigger; plan any discretionary improvement within "&amp;'Risk Method'!$B$13&amp;" days.")))&amp;IF(J7="",""," Next event: "&amp;J7))</f>
        <v>Review or verify within 2 business days, or before an earlier duty/event. Do not wait where harm or law requires immediate action.</v>
      </c>
      <c r="X7" s="54" t="str">
        <f>IF(OR(C7&lt;&gt;1,AF7=0),"",INDEX('Answer Outcomes'!$V$6:$V$350,$AF7))</f>
        <v>PAY_ASSURANCE</v>
      </c>
      <c r="Y7" s="54" t="str">
        <f>IF(C7&lt;&gt;1,"",A7&amp;"_"&amp;D7)</f>
        <v>PAY02_1</v>
      </c>
      <c r="Z7" s="54">
        <f>IF(N7=0,0,N7*100000+L7*1000+INDEX('Answer Outcomes'!$I$6:$I$350,$AF7)*100+IF(G7="DEADLINE",50,0)+(75-ROW())/100)</f>
        <v>303300.68</v>
      </c>
      <c r="AA7" s="54">
        <f>IF(Z7=0,"",RANK(Z7,$Z$6:$Z$74,0))</f>
        <v>1</v>
      </c>
      <c r="AB7" s="54" t="str">
        <f>IF(AND(C7&lt;&gt;0,C7&lt;&gt;1),"Invalid eligibility",IF(AND(C7=0,G7&lt;&gt;"NONE"),"Context conflicts with exclusion",IF(C7=0,"",IF(AF7=0,"Missing or invalid answer",IF(AND(G7&lt;&gt;"NONE",G7&lt;&gt;"LIVE_HARM",G7&lt;&gt;"LIVE_ISSUE",G7&lt;&gt;"DEADLINE",G7&lt;&gt;"SYSTEMIC",G7&lt;&gt;"MATTER_UNCLEAR"),"Invalid context code",IF(AND(G7&lt;&gt;"NONE",OR(H7="",I7="")),"Override needs reason and scope",""))))))</f>
        <v/>
      </c>
      <c r="AC7" s="54" t="str">
        <f>IF(OR(C7&lt;&gt;1,AF7=0),"",INDEX('Answer Outcomes'!$S$6:$S$350,$AF7))</f>
        <v>A pay-rule change, payroll migration, discrepancy or new work pattern.</v>
      </c>
      <c r="AD7" s="54" t="str">
        <f>IF(OR(C7&lt;&gt;1,AF7=0),"",INDEX('Answer Outcomes'!$Y$6:$Y$350,$AF7))</f>
        <v>https://www.fairwork.gov.au/pay-and-wages/minimum-wages/annualised-salaries
https://www.fairwork.gov.au/newsroom/news/offsetting-and-record-keeping-salaried-employees
https://www.fairwork.gov.au/tools-and-resources/fact-sheets/rights-and-obligations/record-keeping-pay-slips</v>
      </c>
      <c r="AE7" s="38" t="inlineStr">
        <is>
          <t>PAY01;DAT01</t>
        </is>
      </c>
      <c r="AF7" s="54">
        <f>IF(C7&lt;&gt;1,0,IFERROR(MATCH(Y7,'Answer Outcomes'!$A$6:$A$350,0),0))</f>
        <v>7</v>
      </c>
      <c r="AG7" s="54">
        <f>IF(N7&lt;'Risk Method'!$B$8,0,IF(COUNTIFS($X$6:$X$74,X7,$Z$6:$Z$74,"&gt;"&amp;Z7)=0,Z7,0))</f>
        <v>303300.68</v>
      </c>
      <c r="AH7" s="54">
        <f>IF(AG7=0,"",RANK(AG7,$AG$6:$AG$74,0))</f>
        <v>1</v>
      </c>
      <c r="AI7" s="54">
        <f>IF(LEN(AB7)&gt;0,1,0)</f>
        <v>0</v>
      </c>
    </row>
    <row r="8" ht="44" customHeight="1">
      <c r="A8" s="37" t="inlineStr">
        <is>
          <t>PAY03</t>
        </is>
      </c>
      <c r="B8" s="37" t="inlineStr">
        <is>
          <t>PAY</t>
        </is>
      </c>
      <c r="C8" s="52">
        <f>'Score Sandbox'!F28</f>
        <v>1</v>
      </c>
      <c r="D8" s="52">
        <f>IF(COUNTBLANK('Score Sandbox'!G28)&gt;0,"",'Score Sandbox'!G28)</f>
        <v>3</v>
      </c>
      <c r="E8" s="52">
        <f>IF(OR(C8&lt;&gt;1,AF8=0),"",INDEX('Answer Outcomes'!$J$6:$J$350,$AF8))</f>
        <v>1</v>
      </c>
      <c r="F8" s="52">
        <f>IF(OR(C8&lt;&gt;1,AF8=0),"",INDEX('Answer Outcomes'!$K$6:$K$350,$AF8))</f>
        <v>1</v>
      </c>
      <c r="G8" s="53" t="inlineStr">
        <is>
          <t>NONE</t>
        </is>
      </c>
      <c r="H8" s="53" t="inlineStr"/>
      <c r="I8" s="53" t="inlineStr"/>
      <c r="J8" s="53" t="inlineStr"/>
      <c r="K8" s="53" t="inlineStr">
        <is>
          <t>Self-report only</t>
        </is>
      </c>
      <c r="L8" s="52">
        <f>IF(OR(C8&lt;&gt;1,AF8=0),0,IF(G8="LIVE_HARM",'Risk Method'!$B$10,IF(G8="LIVE_ISSUE",MAX(E8,'Risk Method'!$B$9),IF(AND(OR(G8="SYSTEMIC",G8="MATTER_UNCLEAR"),D8&amp;""="3"),0,IF(G8="SYSTEMIC",IF(E8=0,0,MIN('Risk Method'!$B$9,E8+1)),E8)))))</f>
        <v>1</v>
      </c>
      <c r="M8" s="52" t="str">
        <f>IF(C8&lt;&gt;1,"Not assessed",IF(AF8=0,"Incomplete",VLOOKUP(L8,'Risk Method'!$F$6:$H$10,2,FALSE)))</f>
        <v>Low</v>
      </c>
      <c r="N8" s="52">
        <f>IF(OR(C8&lt;&gt;1,AF8=0),0,IF(G8="LIVE_HARM",'Risk Method'!$B$10,IF(G8="NONE",F8,IF(G8="SYSTEMIC",MIN('Risk Method'!$B$9,MAX(F8+1,IF(D8&amp;""="3",'Risk Method'!$B$9,0))),MAX(F8,'Risk Method'!$B$9)))))</f>
        <v>1</v>
      </c>
      <c r="O8" s="52" t="str">
        <f>IF(N8=0,"Not assessed",VLOOKUP(N8,'Risk Method'!$F$6:$H$10,3,FALSE))</f>
        <v>Low</v>
      </c>
      <c r="P8" s="52" t="str">
        <f>IF(OR(C8&lt;&gt;1,AF8=0),"",INDEX('Answer Outcomes'!$E$6:$E$350,$AF8))</f>
        <v>Maintain and test: check leave against the person and their circumstances</v>
      </c>
      <c r="Q8" s="52" t="str">
        <f>IF(OR(C8&lt;&gt;1,AF8=0),"",INDEX('Answer Outcomes'!$G$6:$G$350,$AF8))</f>
        <v>Incorrect accruals or leave payments can deprive employees of entitlements and distort the business's leave liability.</v>
      </c>
      <c r="R8" s="52" t="str">
        <f>IF(OR(C8&lt;&gt;1,AF8=0),"",IF(G8="LIVE_HARM","Protect people and contain the reported exposure now. Seek appropriate urgent assistance and arrange a competent review. Do not wait for this assessment or a sales appointment.",IF(OR(G8="LIVE_ISSUE",AND(G8="SYSTEMIC",D8&amp;""="3")),"Review the reported current matter and reconcile it with the maturity answer before relying on the result. Preserve relevant evidence, allocate an impartial owner and assess immediate safeguards. Context: "&amp;H8,IF(G8="DEADLINE","Confirm the actual deadline and complete the necessary checks before the affected event. "&amp;INDEX('Answer Outcomes'!$M$6:$M$350,$AF8),IF(G8="MATTER_UNCLEAR","Confirm promptly whether the time-sensitive matter exists and who owns the response. Do not treat uncertainty as proof of an incident. "&amp;INDEX('Answer Outcomes'!$M$6:$M$350,$AF8),INDEX('Answer Outcomes'!$M$6:$M$350,$AF8))))))</f>
        <v>Maintain the practice described. At the next relevant review, resolve differences, retain the calculation trail and check a later leave transaction against the corrected rule.</v>
      </c>
      <c r="S8" s="52" t="str">
        <f>IF(OR(C8&lt;&gt;1,AF8=0),"","1. "&amp;INDEX('Answer Outcomes'!$N$6:$N$350,$AF8)&amp;CHAR(10)&amp;"2. "&amp;INDEX('Answer Outcomes'!$O$6:$O$350,$AF8))</f>
        <v>1. Check whether changes in work, people or applicable requirements have made the original process less reliable.
2. Retain the review outcome and act on any new exception. An unresolved live issue overrides this maintenance pathway.</v>
      </c>
      <c r="T8" s="52" t="str">
        <f>IF(OR(C8&lt;&gt;1,AF8=0),"",IF(G8="NONE",INDEX('Answer Outcomes'!$L$6:$L$350,$AF8),"Context "&amp;G8&amp;": "&amp;H8&amp;". Scope: "&amp;I8&amp;". "&amp;IF(G8="DEADLINE","The deadline raises action urgency; it does not establish a breach or automatically raise the risk rating.",IF(D8&amp;""="3","The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8" s="52" t="str">
        <f>IF(OR(C8&lt;&gt;1,AF8=0),"",INDEX('Answer Outcomes'!$Q$6:$Q$350,$AF8))</f>
        <v>A current example of the practice and a proportionate recheck record. A dated leave reconciliation against the applicable rules, with incorrect balances or payments corrected and a follow-up transaction checked. State-based and instrument-specific matters are resolved or remain clearly open.</v>
      </c>
      <c r="V8" s="52" t="str">
        <f>IF(OR(C8&lt;&gt;1,AF8=0),"",INDEX('Answer Outcomes'!$T$6:$T$350,$AF8))</f>
        <v>Payroll lead / owner</v>
      </c>
      <c r="W8" s="52" t="str">
        <f>IF(N8=0,"",IF(N8='Risk Method'!$B$10,"Act now. Immediate protective action and appropriate urgent advice take precedence.",IF(N8='Risk Method'!$B$9,"Review or verify within "&amp;'Risk Method'!$B$11&amp;" business days, or before an earlier duty/event. Do not wait where harm or law requires immediate action.",IF(N8='Risk Method'!$B$8,"Agree and start a plan within "&amp;'Risk Method'!$B$12&amp;" days, or before an earlier affected event.","Maintain at the stated trigger; plan any discretionary improvement within "&amp;'Risk Method'!$B$13&amp;" days.")))&amp;IF(J8="",""," Next event: "&amp;J8))</f>
        <v>Maintain at the stated trigger; plan any discretionary improvement within 90 days.</v>
      </c>
      <c r="X8" s="52" t="str">
        <f>IF(OR(C8&lt;&gt;1,AF8=0),"",INDEX('Answer Outcomes'!$V$6:$V$350,$AF8))</f>
        <v>LEAVE</v>
      </c>
      <c r="Y8" s="52" t="str">
        <f>IF(C8&lt;&gt;1,"",A8&amp;"_"&amp;D8)</f>
        <v>PAY03_3</v>
      </c>
      <c r="Z8" s="52">
        <f>IF(N8=0,0,N8*100000+L8*1000+INDEX('Answer Outcomes'!$I$6:$I$350,$AF8)*100+IF(G8="DEADLINE",50,0)+(75-ROW())/100)</f>
        <v>101300.67</v>
      </c>
      <c r="AA8" s="52">
        <f>IF(Z8=0,"",RANK(Z8,$Z$6:$Z$74,0))</f>
        <v>6</v>
      </c>
      <c r="AB8" s="52" t="str">
        <f>IF(AND(C8&lt;&gt;0,C8&lt;&gt;1),"Invalid eligibility",IF(AND(C8=0,G8&lt;&gt;"NONE"),"Context conflicts with exclusion",IF(C8=0,"",IF(AF8=0,"Missing or invalid answer",IF(AND(G8&lt;&gt;"NONE",G8&lt;&gt;"LIVE_HARM",G8&lt;&gt;"LIVE_ISSUE",G8&lt;&gt;"DEADLINE",G8&lt;&gt;"SYSTEMIC",G8&lt;&gt;"MATTER_UNCLEAR"),"Invalid context code",IF(AND(G8&lt;&gt;"NONE",OR(H8="",I8="")),"Override needs reason and scope",""))))))</f>
        <v/>
      </c>
      <c r="AC8" s="52" t="str">
        <f>IF(OR(C8&lt;&gt;1,AF8=0),"",INDEX('Answer Outcomes'!$S$6:$S$350,$AF8))</f>
        <v>Changed hours, service milestones, an instrument change or a leave discrepancy.</v>
      </c>
      <c r="AD8" s="52" t="str">
        <f>IF(OR(C8&lt;&gt;1,AF8=0),"",INDEX('Answer Outcomes'!$Y$6:$Y$350,$AF8))</f>
        <v>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v>
      </c>
      <c r="AE8" s="37" t="inlineStr">
        <is>
          <t>PAY01</t>
        </is>
      </c>
      <c r="AF8" s="52">
        <f>IF(C8&lt;&gt;1,0,IFERROR(MATCH(Y8,'Answer Outcomes'!$A$6:$A$350,0),0))</f>
        <v>14</v>
      </c>
      <c r="AG8" s="52">
        <f>IF(N8&lt;'Risk Method'!$B$8,0,IF(COUNTIFS($X$6:$X$74,X8,$Z$6:$Z$74,"&gt;"&amp;Z8)=0,Z8,0))</f>
        <v>0</v>
      </c>
      <c r="AH8" s="52" t="str">
        <f>IF(AG8=0,"",RANK(AG8,$AG$6:$AG$74,0))</f>
        <v/>
      </c>
      <c r="AI8" s="52">
        <f>IF(LEN(AB8)&gt;0,1,0)</f>
        <v>0</v>
      </c>
    </row>
    <row r="9" ht="44" customHeight="1">
      <c r="A9" s="38" t="inlineStr">
        <is>
          <t>PAY04</t>
        </is>
      </c>
      <c r="B9" s="38" t="inlineStr">
        <is>
          <t>PAY</t>
        </is>
      </c>
      <c r="C9" s="54">
        <f>'Score Sandbox'!F29</f>
        <v>1</v>
      </c>
      <c r="D9" s="54" t="str">
        <f>IF(COUNTBLANK('Score Sandbox'!G29)&gt;0,"",'Score Sandbox'!G29)</f>
        <v>DK</v>
      </c>
      <c r="E9" s="54">
        <f>IF(OR(C9&lt;&gt;1,AF9=0),"",INDEX('Answer Outcomes'!$J$6:$J$350,$AF9))</f>
        <v>0</v>
      </c>
      <c r="F9" s="54">
        <f>IF(OR(C9&lt;&gt;1,AF9=0),"",INDEX('Answer Outcomes'!$K$6:$K$350,$AF9))</f>
        <v>3</v>
      </c>
      <c r="G9" s="53" t="inlineStr">
        <is>
          <t>NONE</t>
        </is>
      </c>
      <c r="H9" s="53" t="inlineStr"/>
      <c r="I9" s="53" t="inlineStr"/>
      <c r="J9" s="53" t="inlineStr"/>
      <c r="K9" s="53" t="inlineStr">
        <is>
          <t>Self-report only</t>
        </is>
      </c>
      <c r="L9" s="54">
        <f>IF(OR(C9&lt;&gt;1,AF9=0),0,IF(G9="LIVE_HARM",'Risk Method'!$B$10,IF(G9="LIVE_ISSUE",MAX(E9,'Risk Method'!$B$9),IF(AND(OR(G9="SYSTEMIC",G9="MATTER_UNCLEAR"),D9&amp;""="3"),0,IF(G9="SYSTEMIC",IF(E9=0,0,MIN('Risk Method'!$B$9,E9+1)),E9)))))</f>
        <v>0</v>
      </c>
      <c r="M9" s="54" t="str">
        <f>IF(C9&lt;&gt;1,"Not assessed",IF(AF9=0,"Incomplete",VLOOKUP(L9,'Risk Method'!$F$6:$H$10,2,FALSE)))</f>
        <v>Unverified</v>
      </c>
      <c r="N9" s="54">
        <f>IF(OR(C9&lt;&gt;1,AF9=0),0,IF(G9="LIVE_HARM",'Risk Method'!$B$10,IF(G9="NONE",F9,IF(G9="SYSTEMIC",MIN('Risk Method'!$B$9,MAX(F9+1,IF(D9&amp;""="3",'Risk Method'!$B$9,0))),MAX(F9,'Risk Method'!$B$9)))))</f>
        <v>3</v>
      </c>
      <c r="O9" s="54" t="str">
        <f>IF(N9=0,"Not assessed",VLOOKUP(N9,'Risk Method'!$F$6:$H$10,3,FALSE))</f>
        <v>High</v>
      </c>
      <c r="P9" s="54" t="str">
        <f>IF(OR(C9&lt;&gt;1,AF9=0),"",INDEX('Answer Outcomes'!$E$6:$E$350,$AF9))</f>
        <v>Verify: confirm super reaches the fund</v>
      </c>
      <c r="Q9" s="54" t="str">
        <f>IF(OR(C9&lt;&gt;1,AF9=0),"",INDEX('Answer Outcomes'!$G$6:$G$350,$AF9))</f>
        <v>A contribution recorded as submitted may still be rejected or received late. Unresolved earnings or receipt exceptions need prompt checking.</v>
      </c>
      <c r="R9" s="54" t="str">
        <f>IF(OR(C9&lt;&gt;1,AF9=0),"",IF(G9="LIVE_HARM","Protect people and contain the reported exposure now. Seek appropriate urgent assistance and arrange a competent review. Do not wait for this assessment or a sales appointment.",IF(OR(G9="LIVE_ISSUE",AND(G9="SYSTEMIC",D9&amp;""="3")),"Review the reported current matter and reconcile it with the maturity answer before relying on the result. Preserve relevant evidence, allocate an impartial owner and assess immediate safeguards. Context: "&amp;H9,IF(G9="DEADLINE","Confirm the actual deadline and complete the necessary checks before the affected event. "&amp;INDEX('Answer Outcomes'!$M$6:$M$350,$AF9),IF(G9="MATTER_UNCLEAR","Confirm promptly whether the time-sensitive matter exists and who owns the response. Do not treat uncertainty as proof of an incident. "&amp;INDEX('Answer Outcomes'!$M$6:$M$350,$AF9),INDEX('Answer Outcomes'!$M$6:$M$350,$AF9))))))</f>
        <v>Ask the payroll lead / owner to show a current example of the process and the evidence listed below. Confirm the answer before deciding what must be repaired.</v>
      </c>
      <c r="S9" s="54" t="str">
        <f>IF(OR(C9&lt;&gt;1,AF9=0),"","1. "&amp;INDEX('Answer Outcomes'!$N$6:$N$350,$AF9)&amp;CHAR(10)&amp;"2. "&amp;INDEX('Answer Outcomes'!$O$6:$O$350,$AF9))</f>
        <v>1. Compare the example with the established-practice description: We reconcile the applicable earnings, rate and fund receipt, and promptly resolve rejected or late contributions.
2. Record what was checked, by whom and when. If it remains unclear, keep the verification task open and agree any proportionate interim safeguard.</v>
      </c>
      <c r="T9" s="54" t="str">
        <f>IF(OR(C9&lt;&gt;1,AF9=0),"",IF(G9="NONE",INDEX('Answer Outcomes'!$L$6:$L$350,$AF9),"Context "&amp;G9&amp;": "&amp;H9&amp;". Scope: "&amp;I9&amp;". "&amp;IF(G9="DEADLINE","The deadline raises action urgency; it does not establish a breach or automatically raise the risk rating.",IF(D9&amp;""="3","The current context takes precedence over a reassuring maturity answer.","The rating remains provisional; the matter has not been independently verified."))))</f>
        <v>The risk is not rated from an unknown answer. Verification is High priority because: A contribution recorded as submitted may still be rejected or received late. Unresolved earnings or receipt exceptions need prompt checking.</v>
      </c>
      <c r="U9" s="54" t="str">
        <f>IF(OR(C9&lt;&gt;1,AF9=0),"",INDEX('Answer Outcomes'!$Q$6:$Q$350,$AF9))</f>
        <v>A dated verification record, the supporting example, an updated answer and any remaining action. No automatic compliance conclusion.</v>
      </c>
      <c r="V9" s="54" t="str">
        <f>IF(OR(C9&lt;&gt;1,AF9=0),"",INDEX('Answer Outcomes'!$T$6:$T$350,$AF9))</f>
        <v>Payroll lead / owner</v>
      </c>
      <c r="W9" s="54" t="str">
        <f>IF(N9=0,"",IF(N9='Risk Method'!$B$10,"Act now. Immediate protective action and appropriate urgent advice take precedence.",IF(N9='Risk Method'!$B$9,"Review or verify within "&amp;'Risk Method'!$B$11&amp;" business days, or before an earlier duty/event. Do not wait where harm or law requires immediate action.",IF(N9='Risk Method'!$B$8,"Agree and start a plan within "&amp;'Risk Method'!$B$12&amp;" days, or before an earlier affected event.","Maintain at the stated trigger; plan any discretionary improvement within "&amp;'Risk Method'!$B$13&amp;" days.")))&amp;IF(J9="",""," Next event: "&amp;J9))</f>
        <v>Review or verify within 2 business days, or before an earlier duty/event. Do not wait where harm or law requires immediate action.</v>
      </c>
      <c r="X9" s="54" t="str">
        <f>IF(OR(C9&lt;&gt;1,AF9=0),"",INDEX('Answer Outcomes'!$V$6:$V$350,$AF9))</f>
        <v>SUPER</v>
      </c>
      <c r="Y9" s="54" t="str">
        <f>IF(C9&lt;&gt;1,"",A9&amp;"_"&amp;D9)</f>
        <v>PAY04_DK</v>
      </c>
      <c r="Z9" s="54">
        <f>IF(N9=0,0,N9*100000+L9*1000+INDEX('Answer Outcomes'!$I$6:$I$350,$AF9)*100+IF(G9="DEADLINE",50,0)+(75-ROW())/100)</f>
        <v>300300.66</v>
      </c>
      <c r="AA9" s="54">
        <f>IF(Z9=0,"",RANK(Z9,$Z$6:$Z$74,0))</f>
        <v>4</v>
      </c>
      <c r="AB9" s="54" t="str">
        <f>IF(AND(C9&lt;&gt;0,C9&lt;&gt;1),"Invalid eligibility",IF(AND(C9=0,G9&lt;&gt;"NONE"),"Context conflicts with exclusion",IF(C9=0,"",IF(AF9=0,"Missing or invalid answer",IF(AND(G9&lt;&gt;"NONE",G9&lt;&gt;"LIVE_HARM",G9&lt;&gt;"LIVE_ISSUE",G9&lt;&gt;"DEADLINE",G9&lt;&gt;"SYSTEMIC",G9&lt;&gt;"MATTER_UNCLEAR"),"Invalid context code",IF(AND(G9&lt;&gt;"NONE",OR(H9="",I9="")),"Override needs reason and scope",""))))))</f>
        <v/>
      </c>
      <c r="AC9" s="54" t="str">
        <f>IF(OR(C9&lt;&gt;1,AF9=0),"",INDEX('Answer Outcomes'!$S$6:$S$350,$AF9))</f>
        <v>Each pay cycle and any returned payment, changed fund or payroll change.</v>
      </c>
      <c r="AD9" s="54" t="str">
        <f>IF(OR(C9&lt;&gt;1,AF9=0),"",INDEX('Answer Outcomes'!$Y$6:$Y$350,$AF9))</f>
        <v>https://www.ato.gov.au/businesses-and-organisations/super-for-employers/paying-super-on-payday/payment-deadlines-for-payday-super
https://www.ato.gov.au/businesses-and-organisations/super-for-employers/work-out-if-you-have-to-pay-super/super-for-independent-contractors</v>
      </c>
      <c r="AE9" s="38" t="inlineStr">
        <is>
          <t>PAY02</t>
        </is>
      </c>
      <c r="AF9" s="54">
        <f>IF(C9&lt;&gt;1,0,IFERROR(MATCH(Y9,'Answer Outcomes'!$A$6:$A$350,0),0))</f>
        <v>20</v>
      </c>
      <c r="AG9" s="54">
        <f>IF(N9&lt;'Risk Method'!$B$8,0,IF(COUNTIFS($X$6:$X$74,X9,$Z$6:$Z$74,"&gt;"&amp;Z9)=0,Z9,0))</f>
        <v>300300.66</v>
      </c>
      <c r="AH9" s="54">
        <f>IF(AG9=0,"",RANK(AG9,$AG$6:$AG$74,0))</f>
        <v>4</v>
      </c>
      <c r="AI9" s="54">
        <f>IF(LEN(AB9)&gt;0,1,0)</f>
        <v>0</v>
      </c>
    </row>
    <row r="10" ht="44" customHeight="1">
      <c r="A10" s="37" t="inlineStr">
        <is>
          <t>PAY05</t>
        </is>
      </c>
      <c r="B10" s="37" t="inlineStr">
        <is>
          <t>PAY</t>
        </is>
      </c>
      <c r="C10" s="52">
        <f>'Score Sandbox'!F30</f>
        <v>1</v>
      </c>
      <c r="D10" s="52">
        <f>IF(COUNTBLANK('Score Sandbox'!G30)&gt;0,"",'Score Sandbox'!G30)</f>
        <v>3</v>
      </c>
      <c r="E10" s="52">
        <f>IF(OR(C10&lt;&gt;1,AF10=0),"",INDEX('Answer Outcomes'!$J$6:$J$350,$AF10))</f>
        <v>1</v>
      </c>
      <c r="F10" s="52">
        <f>IF(OR(C10&lt;&gt;1,AF10=0),"",INDEX('Answer Outcomes'!$K$6:$K$350,$AF10))</f>
        <v>1</v>
      </c>
      <c r="G10" s="53" t="inlineStr">
        <is>
          <t>NONE</t>
        </is>
      </c>
      <c r="H10" s="53" t="inlineStr"/>
      <c r="I10" s="53" t="inlineStr"/>
      <c r="J10" s="53" t="inlineStr"/>
      <c r="K10" s="53" t="inlineStr">
        <is>
          <t>Self-report only</t>
        </is>
      </c>
      <c r="L10" s="52">
        <f>IF(OR(C10&lt;&gt;1,AF10=0),0,IF(G10="LIVE_HARM",'Risk Method'!$B$10,IF(G10="LIVE_ISSUE",MAX(E10,'Risk Method'!$B$9),IF(AND(OR(G10="SYSTEMIC",G10="MATTER_UNCLEAR"),D10&amp;""="3"),0,IF(G10="SYSTEMIC",IF(E10=0,0,MIN('Risk Method'!$B$9,E10+1)),E10)))))</f>
        <v>1</v>
      </c>
      <c r="M10" s="52" t="str">
        <f>IF(C10&lt;&gt;1,"Not assessed",IF(AF10=0,"Incomplete",VLOOKUP(L10,'Risk Method'!$F$6:$H$10,2,FALSE)))</f>
        <v>Low</v>
      </c>
      <c r="N10" s="52">
        <f>IF(OR(C10&lt;&gt;1,AF10=0),0,IF(G10="LIVE_HARM",'Risk Method'!$B$10,IF(G10="NONE",F10,IF(G10="SYSTEMIC",MIN('Risk Method'!$B$9,MAX(F10+1,IF(D10&amp;""="3",'Risk Method'!$B$9,0))),MAX(F10,'Risk Method'!$B$9)))))</f>
        <v>1</v>
      </c>
      <c r="O10" s="52" t="str">
        <f>IF(N10=0,"Not assessed",VLOOKUP(N10,'Risk Method'!$F$6:$H$10,3,FALSE))</f>
        <v>Low</v>
      </c>
      <c r="P10" s="52" t="str">
        <f>IF(OR(C10&lt;&gt;1,AF10=0),"",INDEX('Answer Outcomes'!$E$6:$E$350,$AF10))</f>
        <v>Maintain and test: check what employees actually receive</v>
      </c>
      <c r="Q10" s="52" t="str">
        <f>IF(OR(C10&lt;&gt;1,AF10=0),"",INDEX('Answer Outcomes'!$G$6:$G$350,$AF10))</f>
        <v>Late or incomplete payslips make payments harder to understand and can leave mandatory information missing.</v>
      </c>
      <c r="R10" s="52" t="str">
        <f>IF(OR(C10&lt;&gt;1,AF10=0),"",IF(G10="LIVE_HARM","Protect people and contain the reported exposure now. Seek appropriate urgent assistance and arrange a competent review. Do not wait for this assessment or a sales appointment.",IF(OR(G10="LIVE_ISSUE",AND(G10="SYSTEMIC",D10&amp;""="3")),"Review the reported current matter and reconcile it with the maturity answer before relying on the result. Preserve relevant evidence, allocate an impartial owner and assess immediate safeguards. Context: "&amp;H10,IF(G10="DEADLINE","Confirm the actual deadline and complete the necessary checks before the affected event. "&amp;INDEX('Answer Outcomes'!$M$6:$M$350,$AF10),IF(G10="MATTER_UNCLEAR","Confirm promptly whether the time-sensitive matter exists and who owns the response. Do not treat uncertainty as proof of an incident. "&amp;INDEX('Answer Outcomes'!$M$6:$M$350,$AF10),INDEX('Answer Outcomes'!$M$6:$M$350,$AF10))))))</f>
        <v>Maintain the practice described. At the next relevant review, check the next payslip and confirm employees can access it privately, including people without routine system access.</v>
      </c>
      <c r="S10" s="52" t="str">
        <f>IF(OR(C10&lt;&gt;1,AF10=0),"","1. "&amp;INDEX('Answer Outcomes'!$N$6:$N$350,$AF10)&amp;CHAR(10)&amp;"2. "&amp;INDEX('Answer Outcomes'!$O$6:$O$350,$AF10))</f>
        <v>1. Check whether changes in work, people or applicable requirements have made the original process less reliable.
2. Retain the review outcome and act on any new exception. An unresolved live issue overrides this maintenance pathway.</v>
      </c>
      <c r="T10" s="52" t="str">
        <f>IF(OR(C10&lt;&gt;1,AF10=0),"",IF(G10="NONE",INDEX('Answer Outcomes'!$L$6:$L$350,$AF10),"Context "&amp;G10&amp;": "&amp;H10&amp;". Scope: "&amp;I10&amp;". "&amp;IF(G10="DEADLINE","The deadline raises action urgency; it does not establish a breach or automatically raise the risk rating.",IF(D10&amp;""="3","The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0" s="52" t="str">
        <f>IF(OR(C10&lt;&gt;1,AF10=0),"",INDEX('Answer Outcomes'!$Q$6:$Q$350,$AF10))</f>
        <v>A current example of the practice and a proportionate recheck record. A completed payslip check, required corrections issued, delivery/access confirmed and a subsequent payslip checked. Preserve the original record and how any past failure was addressed.</v>
      </c>
      <c r="V10" s="52" t="str">
        <f>IF(OR(C10&lt;&gt;1,AF10=0),"",INDEX('Answer Outcomes'!$T$6:$T$350,$AF10))</f>
        <v>Payroll lead / owner</v>
      </c>
      <c r="W10" s="52" t="str">
        <f>IF(N10=0,"",IF(N10='Risk Method'!$B$10,"Act now. Immediate protective action and appropriate urgent advice take precedence.",IF(N10='Risk Method'!$B$9,"Review or verify within "&amp;'Risk Method'!$B$11&amp;" business days, or before an earlier duty/event. Do not wait where harm or law requires immediate action.",IF(N10='Risk Method'!$B$8,"Agree and start a plan within "&amp;'Risk Method'!$B$12&amp;" days, or before an earlier affected event.","Maintain at the stated trigger; plan any discretionary improvement within "&amp;'Risk Method'!$B$13&amp;" days.")))&amp;IF(J10="",""," Next event: "&amp;J10))</f>
        <v>Maintain at the stated trigger; plan any discretionary improvement within 90 days.</v>
      </c>
      <c r="X10" s="52" t="str">
        <f>IF(OR(C10&lt;&gt;1,AF10=0),"",INDEX('Answer Outcomes'!$V$6:$V$350,$AF10))</f>
        <v>PAY_ASSURANCE</v>
      </c>
      <c r="Y10" s="52" t="str">
        <f>IF(C10&lt;&gt;1,"",A10&amp;"_"&amp;D10)</f>
        <v>PAY05_3</v>
      </c>
      <c r="Z10" s="52">
        <f>IF(N10=0,0,N10*100000+L10*1000+INDEX('Answer Outcomes'!$I$6:$I$350,$AF10)*100+IF(G10="DEADLINE",50,0)+(75-ROW())/100)</f>
        <v>101200.65</v>
      </c>
      <c r="AA10" s="52">
        <f>IF(Z10=0,"",RANK(Z10,$Z$6:$Z$74,0))</f>
        <v>29</v>
      </c>
      <c r="AB10" s="52" t="str">
        <f>IF(AND(C10&lt;&gt;0,C10&lt;&gt;1),"Invalid eligibility",IF(AND(C10=0,G10&lt;&gt;"NONE"),"Context conflicts with exclusion",IF(C10=0,"",IF(AF10=0,"Missing or invalid answer",IF(AND(G10&lt;&gt;"NONE",G10&lt;&gt;"LIVE_HARM",G10&lt;&gt;"LIVE_ISSUE",G10&lt;&gt;"DEADLINE",G10&lt;&gt;"SYSTEMIC",G10&lt;&gt;"MATTER_UNCLEAR"),"Invalid context code",IF(AND(G10&lt;&gt;"NONE",OR(H10="",I10="")),"Override needs reason and scope",""))))))</f>
        <v/>
      </c>
      <c r="AC10" s="52" t="str">
        <f>IF(OR(C10&lt;&gt;1,AF10=0),"",INDEX('Answer Outcomes'!$S$6:$S$350,$AF10))</f>
        <v>Changed payslip templates, payroll systems or pay arrangements.</v>
      </c>
      <c r="AD10" s="52" t="str">
        <f>IF(OR(C10&lt;&gt;1,AF10=0),"",INDEX('Answer Outcomes'!$Y$6:$Y$350,$AF10))</f>
        <v>https://www.fairwork.gov.au/tools-and-resources/fact-sheets/rights-and-obligations/record-keeping-pay-slips</v>
      </c>
      <c r="AE10" s="37" t="inlineStr">
        <is>
          <t>PAY01</t>
        </is>
      </c>
      <c r="AF10" s="52">
        <f>IF(C10&lt;&gt;1,0,IFERROR(MATCH(Y10,'Answer Outcomes'!$A$6:$A$350,0),0))</f>
        <v>24</v>
      </c>
      <c r="AG10" s="52">
        <f>IF(N10&lt;'Risk Method'!$B$8,0,IF(COUNTIFS($X$6:$X$74,X10,$Z$6:$Z$74,"&gt;"&amp;Z10)=0,Z10,0))</f>
        <v>0</v>
      </c>
      <c r="AH10" s="52" t="str">
        <f>IF(AG10=0,"",RANK(AG10,$AG$6:$AG$74,0))</f>
        <v/>
      </c>
      <c r="AI10" s="52">
        <f>IF(LEN(AB10)&gt;0,1,0)</f>
        <v>0</v>
      </c>
    </row>
    <row r="11" ht="44" customHeight="1">
      <c r="A11" s="38" t="inlineStr">
        <is>
          <t>PAY06</t>
        </is>
      </c>
      <c r="B11" s="38" t="inlineStr">
        <is>
          <t>PAY</t>
        </is>
      </c>
      <c r="C11" s="54">
        <f>'Score Sandbox'!F31</f>
        <v>1</v>
      </c>
      <c r="D11" s="54">
        <f>IF(COUNTBLANK('Score Sandbox'!G31)&gt;0,"",'Score Sandbox'!G31)</f>
        <v>3</v>
      </c>
      <c r="E11" s="54">
        <f>IF(OR(C11&lt;&gt;1,AF11=0),"",INDEX('Answer Outcomes'!$J$6:$J$350,$AF11))</f>
        <v>1</v>
      </c>
      <c r="F11" s="54">
        <f>IF(OR(C11&lt;&gt;1,AF11=0),"",INDEX('Answer Outcomes'!$K$6:$K$350,$AF11))</f>
        <v>1</v>
      </c>
      <c r="G11" s="53" t="inlineStr">
        <is>
          <t>NONE</t>
        </is>
      </c>
      <c r="H11" s="53" t="inlineStr"/>
      <c r="I11" s="53" t="inlineStr"/>
      <c r="J11" s="53" t="inlineStr"/>
      <c r="K11" s="53" t="inlineStr">
        <is>
          <t>Self-report only</t>
        </is>
      </c>
      <c r="L11" s="54">
        <f>IF(OR(C11&lt;&gt;1,AF11=0),0,IF(G11="LIVE_HARM",'Risk Method'!$B$10,IF(G11="LIVE_ISSUE",MAX(E11,'Risk Method'!$B$9),IF(AND(OR(G11="SYSTEMIC",G11="MATTER_UNCLEAR"),D11&amp;""="3"),0,IF(G11="SYSTEMIC",IF(E11=0,0,MIN('Risk Method'!$B$9,E11+1)),E11)))))</f>
        <v>1</v>
      </c>
      <c r="M11" s="54" t="str">
        <f>IF(C11&lt;&gt;1,"Not assessed",IF(AF11=0,"Incomplete",VLOOKUP(L11,'Risk Method'!$F$6:$H$10,2,FALSE)))</f>
        <v>Low</v>
      </c>
      <c r="N11" s="54">
        <f>IF(OR(C11&lt;&gt;1,AF11=0),0,IF(G11="LIVE_HARM",'Risk Method'!$B$10,IF(G11="NONE",F11,IF(G11="SYSTEMIC",MIN('Risk Method'!$B$9,MAX(F11+1,IF(D11&amp;""="3",'Risk Method'!$B$9,0))),MAX(F11,'Risk Method'!$B$9)))))</f>
        <v>1</v>
      </c>
      <c r="O11" s="54" t="str">
        <f>IF(N11=0,"Not assessed",VLOOKUP(N11,'Risk Method'!$F$6:$H$10,3,FALSE))</f>
        <v>Low</v>
      </c>
      <c r="P11" s="54" t="str">
        <f>IF(OR(C11&lt;&gt;1,AF11=0),"",INDEX('Answer Outcomes'!$E$6:$E$350,$AF11))</f>
        <v>Maintain and test: make sensitive leave safe to access</v>
      </c>
      <c r="Q11" s="54" t="str">
        <f>IF(OR(C11&lt;&gt;1,AF11=0),"",INDEX('Answer Outcomes'!$G$6:$G$350,$AF11))</f>
        <v>Poor leave administration can disclose sensitive circumstances or prevent access to an entitlement. The assessment must never ask for the employee's story.</v>
      </c>
      <c r="R11" s="54" t="str">
        <f>IF(OR(C11&lt;&gt;1,AF11=0),"",IF(G11="LIVE_HARM","Protect people and contain the reported exposure now. Seek appropriate urgent assistance and arrange a competent review. Do not wait for this assessment or a sales appointment.",IF(OR(G11="LIVE_ISSUE",AND(G11="SYSTEMIC",D11&amp;""="3")),"Review the reported current matter and reconcile it with the maturity answer before relying on the result. Preserve relevant evidence, allocate an impartial owner and assess immediate safeguards. Context: "&amp;H11,IF(G11="DEADLINE","Confirm the actual deadline and complete the necessary checks before the affected event. "&amp;INDEX('Answer Outcomes'!$M$6:$M$350,$AF11),IF(G11="MATTER_UNCLEAR","Confirm promptly whether the time-sensitive matter exists and who owns the response. Do not treat uncertainty as proof of an incident. "&amp;INDEX('Answer Outcomes'!$M$6:$M$350,$AF11),INDEX('Answer Outcomes'!$M$6:$M$350,$AF11))))))</f>
        <v>Maintain the practice described. At the next relevant review, run a fictional request through the process and inspect every point where the information could be exposed.</v>
      </c>
      <c r="S11" s="54" t="str">
        <f>IF(OR(C11&lt;&gt;1,AF11=0),"","1. "&amp;INDEX('Answer Outcomes'!$N$6:$N$350,$AF11)&amp;CHAR(10)&amp;"2. "&amp;INDEX('Answer Outcomes'!$O$6:$O$350,$AF11))</f>
        <v>1. Check whether changes in work, people or applicable requirements have made the original process less reliable.
2. Retain the review outcome and act on any new exception. An unresolved live issue overrides this maintenance pathway.</v>
      </c>
      <c r="T11" s="54" t="str">
        <f>IF(OR(C11&lt;&gt;1,AF11=0),"",IF(G11="NONE",INDEX('Answer Outcomes'!$L$6:$L$350,$AF11),"Context "&amp;G11&amp;": "&amp;H11&amp;". Scope: "&amp;I11&amp;". "&amp;IF(G11="DEADLINE","The deadline raises action urgency; it does not establish a breach or automatically raise the risk rating.",IF(D11&amp;""="3","The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1" s="54" t="str">
        <f>IF(OR(C11&lt;&gt;1,AF11=0),"",INDEX('Answer Outcomes'!$Q$6:$Q$350,$AF11))</f>
        <v>A current example of the practice and a proportionate recheck record. A tested confidential workflow and fictional payslip, with a named contact for employees.</v>
      </c>
      <c r="V11" s="54" t="str">
        <f>IF(OR(C11&lt;&gt;1,AF11=0),"",INDEX('Answer Outcomes'!$T$6:$T$350,$AF11))</f>
        <v>Payroll lead / owner</v>
      </c>
      <c r="W11" s="54" t="str">
        <f>IF(N11=0,"",IF(N11='Risk Method'!$B$10,"Act now. Immediate protective action and appropriate urgent advice take precedence.",IF(N11='Risk Method'!$B$9,"Review or verify within "&amp;'Risk Method'!$B$11&amp;" business days, or before an earlier duty/event. Do not wait where harm or law requires immediate action.",IF(N11='Risk Method'!$B$8,"Agree and start a plan within "&amp;'Risk Method'!$B$12&amp;" days, or before an earlier affected event.","Maintain at the stated trigger; plan any discretionary improvement within "&amp;'Risk Method'!$B$13&amp;" days.")))&amp;IF(J11="",""," Next event: "&amp;J11))</f>
        <v>Maintain at the stated trigger; plan any discretionary improvement within 90 days.</v>
      </c>
      <c r="X11" s="54" t="str">
        <f>IF(OR(C11&lt;&gt;1,AF11=0),"",INDEX('Answer Outcomes'!$V$6:$V$350,$AF11))</f>
        <v>SENSITIVE_LEAVE</v>
      </c>
      <c r="Y11" s="54" t="str">
        <f>IF(C11&lt;&gt;1,"",A11&amp;"_"&amp;D11)</f>
        <v>PAY06_3</v>
      </c>
      <c r="Z11" s="54">
        <f>IF(N11=0,0,N11*100000+L11*1000+INDEX('Answer Outcomes'!$I$6:$I$350,$AF11)*100+IF(G11="DEADLINE",50,0)+(75-ROW())/100)</f>
        <v>101300.64</v>
      </c>
      <c r="AA11" s="54">
        <f>IF(Z11=0,"",RANK(Z11,$Z$6:$Z$74,0))</f>
        <v>7</v>
      </c>
      <c r="AB11" s="54" t="str">
        <f>IF(AND(C11&lt;&gt;0,C11&lt;&gt;1),"Invalid eligibility",IF(AND(C11=0,G11&lt;&gt;"NONE"),"Context conflicts with exclusion",IF(C11=0,"",IF(AF11=0,"Missing or invalid answer",IF(AND(G11&lt;&gt;"NONE",G11&lt;&gt;"LIVE_HARM",G11&lt;&gt;"LIVE_ISSUE",G11&lt;&gt;"DEADLINE",G11&lt;&gt;"SYSTEMIC",G11&lt;&gt;"MATTER_UNCLEAR"),"Invalid context code",IF(AND(G11&lt;&gt;"NONE",OR(H11="",I11="")),"Override needs reason and scope",""))))))</f>
        <v/>
      </c>
      <c r="AC11" s="54" t="str">
        <f>IF(OR(C11&lt;&gt;1,AF11=0),"",INDEX('Answer Outcomes'!$S$6:$S$350,$AF11))</f>
        <v>A change in payroll settings, leave administrators or confidentiality controls.</v>
      </c>
      <c r="AD11" s="54" t="str">
        <f>IF(OR(C11&lt;&gt;1,AF11=0),"",INDEX('Answer Outcomes'!$Y$6:$Y$350,$AF11))</f>
        <v>https://www.fairwork.gov.au/tools-and-resources/fact-sheets/minimum-workplace-entitlements/family-and-domestic-violence-leave
https://www.fairwork.gov.au/tools-and-resources/fact-sheets/rights-and-obligations/record-keeping-pay-slips</v>
      </c>
      <c r="AE11" s="38" t="inlineStr">
        <is>
          <t>DAT02</t>
        </is>
      </c>
      <c r="AF11" s="54">
        <f>IF(C11&lt;&gt;1,0,IFERROR(MATCH(Y11,'Answer Outcomes'!$A$6:$A$350,0),0))</f>
        <v>29</v>
      </c>
      <c r="AG11" s="54">
        <f>IF(N11&lt;'Risk Method'!$B$8,0,IF(COUNTIFS($X$6:$X$74,X11,$Z$6:$Z$74,"&gt;"&amp;Z11)=0,Z11,0))</f>
        <v>0</v>
      </c>
      <c r="AH11" s="54" t="str">
        <f>IF(AG11=0,"",RANK(AG11,$AG$6:$AG$74,0))</f>
        <v/>
      </c>
      <c r="AI11" s="54">
        <f>IF(LEN(AB11)&gt;0,1,0)</f>
        <v>0</v>
      </c>
    </row>
    <row r="12" ht="44" customHeight="1">
      <c r="A12" s="37" t="inlineStr">
        <is>
          <t>CON01</t>
        </is>
      </c>
      <c r="B12" s="37" t="inlineStr">
        <is>
          <t>CON</t>
        </is>
      </c>
      <c r="C12" s="52">
        <f>'Score Sandbox'!F32</f>
        <v>1</v>
      </c>
      <c r="D12" s="52">
        <f>IF(COUNTBLANK('Score Sandbox'!G32)&gt;0,"",'Score Sandbox'!G32)</f>
        <v>3</v>
      </c>
      <c r="E12" s="52">
        <f>IF(OR(C12&lt;&gt;1,AF12=0),"",INDEX('Answer Outcomes'!$J$6:$J$350,$AF12))</f>
        <v>1</v>
      </c>
      <c r="F12" s="52">
        <f>IF(OR(C12&lt;&gt;1,AF12=0),"",INDEX('Answer Outcomes'!$K$6:$K$350,$AF12))</f>
        <v>1</v>
      </c>
      <c r="G12" s="53" t="inlineStr">
        <is>
          <t>NONE</t>
        </is>
      </c>
      <c r="H12" s="53" t="inlineStr"/>
      <c r="I12" s="53" t="inlineStr"/>
      <c r="J12" s="53" t="inlineStr"/>
      <c r="K12" s="53" t="inlineStr">
        <is>
          <t>Self-report only</t>
        </is>
      </c>
      <c r="L12" s="52">
        <f>IF(OR(C12&lt;&gt;1,AF12=0),0,IF(G12="LIVE_HARM",'Risk Method'!$B$10,IF(G12="LIVE_ISSUE",MAX(E12,'Risk Method'!$B$9),IF(AND(OR(G12="SYSTEMIC",G12="MATTER_UNCLEAR"),D12&amp;""="3"),0,IF(G12="SYSTEMIC",IF(E12=0,0,MIN('Risk Method'!$B$9,E12+1)),E12)))))</f>
        <v>1</v>
      </c>
      <c r="M12" s="52" t="str">
        <f>IF(C12&lt;&gt;1,"Not assessed",IF(AF12=0,"Incomplete",VLOOKUP(L12,'Risk Method'!$F$6:$H$10,2,FALSE)))</f>
        <v>Low</v>
      </c>
      <c r="N12" s="52">
        <f>IF(OR(C12&lt;&gt;1,AF12=0),0,IF(G12="LIVE_HARM",'Risk Method'!$B$10,IF(G12="NONE",F12,IF(G12="SYSTEMIC",MIN('Risk Method'!$B$9,MAX(F12+1,IF(D12&amp;""="3",'Risk Method'!$B$9,0))),MAX(F12,'Risk Method'!$B$9)))))</f>
        <v>1</v>
      </c>
      <c r="O12" s="52" t="str">
        <f>IF(N12=0,"Not assessed",VLOOKUP(N12,'Risk Method'!$F$6:$H$10,3,FALSE))</f>
        <v>Low</v>
      </c>
      <c r="P12" s="52" t="str">
        <f>IF(OR(C12&lt;&gt;1,AF12=0),"",INDEX('Answer Outcomes'!$E$6:$E$350,$AF12))</f>
        <v>Maintain and test: bring the written terms into line with the real job</v>
      </c>
      <c r="Q12" s="52" t="str">
        <f>IF(OR(C12&lt;&gt;1,AF12=0),"",INDEX('Answer Outcomes'!$G$6:$G$350,$AF12))</f>
        <v>Outdated or unclear terms can create a mismatch between what was agreed, what employees expect and what payroll applies.</v>
      </c>
      <c r="R12" s="52" t="str">
        <f>IF(OR(C12&lt;&gt;1,AF12=0),"",IF(G12="LIVE_HARM","Protect people and contain the reported exposure now. Seek appropriate urgent assistance and arrange a competent review. Do not wait for this assessment or a sales appointment.",IF(OR(G12="LIVE_ISSUE",AND(G12="SYSTEMIC",D12&amp;""="3")),"Review the reported current matter and reconcile it with the maturity answer before relying on the result. Preserve relevant evidence, allocate an impartial owner and assess immediate safeguards. Context: "&amp;H12,IF(G12="DEADLINE","Confirm the actual deadline and complete the necessary checks before the affected event. "&amp;INDEX('Answer Outcomes'!$M$6:$M$350,$AF12),IF(G12="MATTER_UNCLEAR","Confirm promptly whether the time-sensitive matter exists and who owns the response. Do not treat uncertainty as proof of an incident. "&amp;INDEX('Answer Outcomes'!$M$6:$M$350,$AF12),INDEX('Answer Outcomes'!$M$6:$M$350,$AF12))))))</f>
        <v>Maintain the practice described. At the next relevant review, reconcile the final agreed terms to payroll and retain an accessible version history.</v>
      </c>
      <c r="S12" s="52" t="str">
        <f>IF(OR(C12&lt;&gt;1,AF12=0),"","1. "&amp;INDEX('Answer Outcomes'!$N$6:$N$350,$AF12)&amp;CHAR(10)&amp;"2. "&amp;INDEX('Answer Outcomes'!$O$6:$O$350,$AF12))</f>
        <v>1. Check whether changes in work, people or applicable requirements have made the original process less reliable.
2. Retain the review outcome and act on any new exception. An unresolved live issue overrides this maintenance pathway.</v>
      </c>
      <c r="T12" s="52" t="str">
        <f>IF(OR(C12&lt;&gt;1,AF12=0),"",IF(G12="NONE",INDEX('Answer Outcomes'!$L$6:$L$350,$AF12),"Context "&amp;G12&amp;": "&amp;H12&amp;". Scope: "&amp;I12&amp;". "&amp;IF(G12="DEADLINE","The deadline raises action urgency; it does not establish a breach or automatically raise the risk rating.",IF(D12&amp;""="3","The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2" s="52" t="str">
        <f>IF(OR(C12&lt;&gt;1,AF12=0),"",INDEX('Answer Outcomes'!$Q$6:$Q$350,$AF12))</f>
        <v>A current example of the practice and a proportionate recheck record. Current employment terms match the actual arrangements, required agreement and communication are recorded, and material exceptions have been resolved. A register tracks the next review; merely listing missing contracts does not close the task.</v>
      </c>
      <c r="V12" s="52" t="str">
        <f>IF(OR(C12&lt;&gt;1,AF12=0),"",INDEX('Answer Outcomes'!$T$6:$T$350,$AF12))</f>
        <v>Owner / HR lead</v>
      </c>
      <c r="W12" s="52" t="str">
        <f>IF(N12=0,"",IF(N12='Risk Method'!$B$10,"Act now. Immediate protective action and appropriate urgent advice take precedence.",IF(N12='Risk Method'!$B$9,"Review or verify within "&amp;'Risk Method'!$B$11&amp;" business days, or before an earlier duty/event. Do not wait where harm or law requires immediate action.",IF(N12='Risk Method'!$B$8,"Agree and start a plan within "&amp;'Risk Method'!$B$12&amp;" days, or before an earlier affected event.","Maintain at the stated trigger; plan any discretionary improvement within "&amp;'Risk Method'!$B$13&amp;" days.")))&amp;IF(J12="",""," Next event: "&amp;J12))</f>
        <v>Maintain at the stated trigger; plan any discretionary improvement within 90 days.</v>
      </c>
      <c r="X12" s="52" t="str">
        <f>IF(OR(C12&lt;&gt;1,AF12=0),"",INDEX('Answer Outcomes'!$V$6:$V$350,$AF12))</f>
        <v>TERMS</v>
      </c>
      <c r="Y12" s="52" t="str">
        <f>IF(C12&lt;&gt;1,"",A12&amp;"_"&amp;D12)</f>
        <v>CON01_3</v>
      </c>
      <c r="Z12" s="52">
        <f>IF(N12=0,0,N12*100000+L12*1000+INDEX('Answer Outcomes'!$I$6:$I$350,$AF12)*100+IF(G12="DEADLINE",50,0)+(75-ROW())/100)</f>
        <v>101200.63</v>
      </c>
      <c r="AA12" s="52">
        <f>IF(Z12=0,"",RANK(Z12,$Z$6:$Z$74,0))</f>
        <v>30</v>
      </c>
      <c r="AB12" s="52" t="str">
        <f>IF(AND(C12&lt;&gt;0,C12&lt;&gt;1),"Invalid eligibility",IF(AND(C12=0,G12&lt;&gt;"NONE"),"Context conflicts with exclusion",IF(C12=0,"",IF(AF12=0,"Missing or invalid answer",IF(AND(G12&lt;&gt;"NONE",G12&lt;&gt;"LIVE_HARM",G12&lt;&gt;"LIVE_ISSUE",G12&lt;&gt;"DEADLINE",G12&lt;&gt;"SYSTEMIC",G12&lt;&gt;"MATTER_UNCLEAR"),"Invalid context code",IF(AND(G12&lt;&gt;"NONE",OR(H12="",I12="")),"Override needs reason and scope",""))))))</f>
        <v/>
      </c>
      <c r="AC12" s="52" t="str">
        <f>IF(OR(C12&lt;&gt;1,AF12=0),"",INDEX('Answer Outcomes'!$S$6:$S$350,$AF12))</f>
        <v>A material change in role, pay, hours or template requirements.</v>
      </c>
      <c r="AD12" s="52" t="str">
        <f>IF(OR(C12&lt;&gt;1,AF12=0),"",INDEX('Answer Outcomes'!$Y$6:$Y$350,$AF12))</f>
        <v>https://www.fairwork.gov.au/pay-and-wages/minimum-wages/annualised-salaries
https://www.fairwork.gov.au/starting-employment/types-of-employees/fixed-term-contract-employees</v>
      </c>
      <c r="AE12" s="37" t="inlineStr">
        <is>
          <t>PAY01</t>
        </is>
      </c>
      <c r="AF12" s="52">
        <f>IF(C12&lt;&gt;1,0,IFERROR(MATCH(Y12,'Answer Outcomes'!$A$6:$A$350,0),0))</f>
        <v>34</v>
      </c>
      <c r="AG12" s="52">
        <f>IF(N12&lt;'Risk Method'!$B$8,0,IF(COUNTIFS($X$6:$X$74,X12,$Z$6:$Z$74,"&gt;"&amp;Z12)=0,Z12,0))</f>
        <v>0</v>
      </c>
      <c r="AH12" s="52" t="str">
        <f>IF(AG12=0,"",RANK(AG12,$AG$6:$AG$74,0))</f>
        <v/>
      </c>
      <c r="AI12" s="52">
        <f>IF(LEN(AB12)&gt;0,1,0)</f>
        <v>0</v>
      </c>
    </row>
    <row r="13" ht="44" customHeight="1">
      <c r="A13" s="38" t="inlineStr">
        <is>
          <t>CON02</t>
        </is>
      </c>
      <c r="B13" s="38" t="inlineStr">
        <is>
          <t>CON</t>
        </is>
      </c>
      <c r="C13" s="54">
        <f>'Score Sandbox'!F33</f>
        <v>1</v>
      </c>
      <c r="D13" s="54">
        <f>IF(COUNTBLANK('Score Sandbox'!G33)&gt;0,"",'Score Sandbox'!G33)</f>
        <v>3</v>
      </c>
      <c r="E13" s="54">
        <f>IF(OR(C13&lt;&gt;1,AF13=0),"",INDEX('Answer Outcomes'!$J$6:$J$350,$AF13))</f>
        <v>1</v>
      </c>
      <c r="F13" s="54">
        <f>IF(OR(C13&lt;&gt;1,AF13=0),"",INDEX('Answer Outcomes'!$K$6:$K$350,$AF13))</f>
        <v>1</v>
      </c>
      <c r="G13" s="53" t="inlineStr">
        <is>
          <t>NONE</t>
        </is>
      </c>
      <c r="H13" s="53" t="inlineStr"/>
      <c r="I13" s="53" t="inlineStr"/>
      <c r="J13" s="53" t="inlineStr"/>
      <c r="K13" s="53" t="inlineStr">
        <is>
          <t>Self-report only</t>
        </is>
      </c>
      <c r="L13" s="54">
        <f>IF(OR(C13&lt;&gt;1,AF13=0),0,IF(G13="LIVE_HARM",'Risk Method'!$B$10,IF(G13="LIVE_ISSUE",MAX(E13,'Risk Method'!$B$9),IF(AND(OR(G13="SYSTEMIC",G13="MATTER_UNCLEAR"),D13&amp;""="3"),0,IF(G13="SYSTEMIC",IF(E13=0,0,MIN('Risk Method'!$B$9,E13+1)),E13)))))</f>
        <v>1</v>
      </c>
      <c r="M13" s="54" t="str">
        <f>IF(C13&lt;&gt;1,"Not assessed",IF(AF13=0,"Incomplete",VLOOKUP(L13,'Risk Method'!$F$6:$H$10,2,FALSE)))</f>
        <v>Low</v>
      </c>
      <c r="N13" s="54">
        <f>IF(OR(C13&lt;&gt;1,AF13=0),0,IF(G13="LIVE_HARM",'Risk Method'!$B$10,IF(G13="NONE",F13,IF(G13="SYSTEMIC",MIN('Risk Method'!$B$9,MAX(F13+1,IF(D13&amp;""="3",'Risk Method'!$B$9,0))),MAX(F13,'Risk Method'!$B$9)))))</f>
        <v>1</v>
      </c>
      <c r="O13" s="54" t="str">
        <f>IF(N13=0,"Not assessed",VLOOKUP(N13,'Risk Method'!$F$6:$H$10,3,FALSE))</f>
        <v>Low</v>
      </c>
      <c r="P13" s="54" t="str">
        <f>IF(OR(C13&lt;&gt;1,AF13=0),"",INDEX('Answer Outcomes'!$E$6:$E$350,$AF13))</f>
        <v>Maintain and test: review employment labels against actual arrangements</v>
      </c>
      <c r="Q13" s="54" t="str">
        <f>IF(OR(C13&lt;&gt;1,AF13=0),"",INDEX('Answer Outcomes'!$G$6:$G$350,$AF13))</f>
        <v>An employment label that no longer matches the arrangement can result in the wrong rights, payments or decision process being applied.</v>
      </c>
      <c r="R13" s="54" t="str">
        <f>IF(OR(C13&lt;&gt;1,AF13=0),"",IF(G13="LIVE_HARM","Protect people and contain the reported exposure now. Seek appropriate urgent assistance and arrange a competent review. Do not wait for this assessment or a sales appointment.",IF(OR(G13="LIVE_ISSUE",AND(G13="SYSTEMIC",D13&amp;""="3")),"Review the reported current matter and reconcile it with the maturity answer before relying on the result. Preserve relevant evidence, allocate an impartial owner and assess immediate safeguards. Context: "&amp;H13,IF(G13="DEADLINE","Confirm the actual deadline and complete the necessary checks before the affected event. "&amp;INDEX('Answer Outcomes'!$M$6:$M$350,$AF13),IF(G13="MATTER_UNCLEAR","Confirm promptly whether the time-sensitive matter exists and who owns the response. Do not treat uncertainty as proof of an incident. "&amp;INDEX('Answer Outcomes'!$M$6:$M$350,$AF13),INDEX('Answer Outcomes'!$M$6:$M$350,$AF13))))))</f>
        <v>Maintain the practice described. At the next relevant review, record the assessment and implement any required change through a checked process, rather than simply relabelling payroll.</v>
      </c>
      <c r="S13" s="54" t="str">
        <f>IF(OR(C13&lt;&gt;1,AF13=0),"","1. "&amp;INDEX('Answer Outcomes'!$N$6:$N$350,$AF13)&amp;CHAR(10)&amp;"2. "&amp;INDEX('Answer Outcomes'!$O$6:$O$350,$AF13))</f>
        <v>1. Check whether changes in work, people or applicable requirements have made the original process less reliable.
2. Retain the review outcome and act on any new exception. An unresolved live issue overrides this maintenance pathway.</v>
      </c>
      <c r="T13" s="54" t="str">
        <f>IF(OR(C13&lt;&gt;1,AF13=0),"",IF(G13="NONE",INDEX('Answer Outcomes'!$L$6:$L$350,$AF13),"Context "&amp;G13&amp;": "&amp;H13&amp;". Scope: "&amp;I13&amp;". "&amp;IF(G13="DEADLINE","The deadline raises action urgency; it does not establish a breach or automatically raise the risk rating.",IF(D13&amp;""="3","The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3" s="54" t="str">
        <f>IF(OR(C13&lt;&gt;1,AF13=0),"",INDEX('Answer Outcomes'!$Q$6:$Q$350,$AF13))</f>
        <v>A current example of the practice and a proportionate recheck record. Each materially different employment arrangement has a recorded assessment and any necessary changes have been agreed, implemented and checked. Keep unresolved status or entitlement questions open.</v>
      </c>
      <c r="V13" s="54" t="str">
        <f>IF(OR(C13&lt;&gt;1,AF13=0),"",INDEX('Answer Outcomes'!$T$6:$T$350,$AF13))</f>
        <v>Owner / HR lead</v>
      </c>
      <c r="W13" s="54" t="str">
        <f>IF(N13=0,"",IF(N13='Risk Method'!$B$10,"Act now. Immediate protective action and appropriate urgent advice take precedence.",IF(N13='Risk Method'!$B$9,"Review or verify within "&amp;'Risk Method'!$B$11&amp;" business days, or before an earlier duty/event. Do not wait where harm or law requires immediate action.",IF(N13='Risk Method'!$B$8,"Agree and start a plan within "&amp;'Risk Method'!$B$12&amp;" days, or before an earlier affected event.","Maintain at the stated trigger; plan any discretionary improvement within "&amp;'Risk Method'!$B$13&amp;" days.")))&amp;IF(J13="",""," Next event: "&amp;J13))</f>
        <v>Maintain at the stated trigger; plan any discretionary improvement within 90 days.</v>
      </c>
      <c r="X13" s="54" t="str">
        <f>IF(OR(C13&lt;&gt;1,AF13=0),"",INDEX('Answer Outcomes'!$V$6:$V$350,$AF13))</f>
        <v>TERMS</v>
      </c>
      <c r="Y13" s="54" t="str">
        <f>IF(C13&lt;&gt;1,"",A13&amp;"_"&amp;D13)</f>
        <v>CON02_3</v>
      </c>
      <c r="Z13" s="54">
        <f>IF(N13=0,0,N13*100000+L13*1000+INDEX('Answer Outcomes'!$I$6:$I$350,$AF13)*100+IF(G13="DEADLINE",50,0)+(75-ROW())/100)</f>
        <v>101300.62</v>
      </c>
      <c r="AA13" s="54">
        <f>IF(Z13=0,"",RANK(Z13,$Z$6:$Z$74,0))</f>
        <v>8</v>
      </c>
      <c r="AB13" s="54" t="str">
        <f>IF(AND(C13&lt;&gt;0,C13&lt;&gt;1),"Invalid eligibility",IF(AND(C13=0,G13&lt;&gt;"NONE"),"Context conflicts with exclusion",IF(C13=0,"",IF(AF13=0,"Missing or invalid answer",IF(AND(G13&lt;&gt;"NONE",G13&lt;&gt;"LIVE_HARM",G13&lt;&gt;"LIVE_ISSUE",G13&lt;&gt;"DEADLINE",G13&lt;&gt;"SYSTEMIC",G13&lt;&gt;"MATTER_UNCLEAR"),"Invalid context code",IF(AND(G13&lt;&gt;"NONE",OR(H13="",I13="")),"Override needs reason and scope",""))))))</f>
        <v/>
      </c>
      <c r="AC13" s="54" t="str">
        <f>IF(OR(C13&lt;&gt;1,AF13=0),"",INDEX('Answer Outcomes'!$S$6:$S$350,$AF13))</f>
        <v>A changed pattern of work, renewal or changed engagement rules.</v>
      </c>
      <c r="AD13" s="54" t="str">
        <f>IF(OR(C13&lt;&gt;1,AF13=0),"",INDEX('Answer Outcomes'!$Y$6:$Y$350,$AF13))</f>
        <v>https://www.fairwork.gov.au/starting-employment/types-of-employees/casual-employees/becoming-a-permanent-employee
https://www.fairwork.gov.au/starting-employment/types-of-employees/fixed-term-contract-employees
https://www.fairwork.gov.au/find-help-for/independent-contractors/whole-of-relationship-test</v>
      </c>
      <c r="AE13" s="38" t="inlineStr">
        <is>
          <t>PAY01</t>
        </is>
      </c>
      <c r="AF13" s="54">
        <f>IF(C13&lt;&gt;1,0,IFERROR(MATCH(Y13,'Answer Outcomes'!$A$6:$A$350,0),0))</f>
        <v>39</v>
      </c>
      <c r="AG13" s="54">
        <f>IF(N13&lt;'Risk Method'!$B$8,0,IF(COUNTIFS($X$6:$X$74,X13,$Z$6:$Z$74,"&gt;"&amp;Z13)=0,Z13,0))</f>
        <v>0</v>
      </c>
      <c r="AH13" s="54" t="str">
        <f>IF(AG13=0,"",RANK(AG13,$AG$6:$AG$74,0))</f>
        <v/>
      </c>
      <c r="AI13" s="54">
        <f>IF(LEN(AB13)&gt;0,1,0)</f>
        <v>0</v>
      </c>
    </row>
    <row r="14" ht="44" customHeight="1">
      <c r="A14" s="37" t="inlineStr">
        <is>
          <t>CON03</t>
        </is>
      </c>
      <c r="B14" s="37" t="inlineStr">
        <is>
          <t>CON</t>
        </is>
      </c>
      <c r="C14" s="52">
        <f>'Score Sandbox'!F34</f>
        <v>1</v>
      </c>
      <c r="D14" s="52">
        <f>IF(COUNTBLANK('Score Sandbox'!G34)&gt;0,"",'Score Sandbox'!G34)</f>
        <v>3</v>
      </c>
      <c r="E14" s="52">
        <f>IF(OR(C14&lt;&gt;1,AF14=0),"",INDEX('Answer Outcomes'!$J$6:$J$350,$AF14))</f>
        <v>1</v>
      </c>
      <c r="F14" s="52">
        <f>IF(OR(C14&lt;&gt;1,AF14=0),"",INDEX('Answer Outcomes'!$K$6:$K$350,$AF14))</f>
        <v>1</v>
      </c>
      <c r="G14" s="53" t="inlineStr">
        <is>
          <t>NONE</t>
        </is>
      </c>
      <c r="H14" s="53" t="inlineStr"/>
      <c r="I14" s="53" t="inlineStr"/>
      <c r="J14" s="53" t="inlineStr"/>
      <c r="K14" s="53" t="inlineStr">
        <is>
          <t>Self-report only</t>
        </is>
      </c>
      <c r="L14" s="52">
        <f>IF(OR(C14&lt;&gt;1,AF14=0),0,IF(G14="LIVE_HARM",'Risk Method'!$B$10,IF(G14="LIVE_ISSUE",MAX(E14,'Risk Method'!$B$9),IF(AND(OR(G14="SYSTEMIC",G14="MATTER_UNCLEAR"),D14&amp;""="3"),0,IF(G14="SYSTEMIC",IF(E14=0,0,MIN('Risk Method'!$B$9,E14+1)),E14)))))</f>
        <v>1</v>
      </c>
      <c r="M14" s="52" t="str">
        <f>IF(C14&lt;&gt;1,"Not assessed",IF(AF14=0,"Incomplete",VLOOKUP(L14,'Risk Method'!$F$6:$H$10,2,FALSE)))</f>
        <v>Low</v>
      </c>
      <c r="N14" s="52">
        <f>IF(OR(C14&lt;&gt;1,AF14=0),0,IF(G14="LIVE_HARM",'Risk Method'!$B$10,IF(G14="NONE",F14,IF(G14="SYSTEMIC",MIN('Risk Method'!$B$9,MAX(F14+1,IF(D14&amp;""="3",'Risk Method'!$B$9,0))),MAX(F14,'Risk Method'!$B$9)))))</f>
        <v>1</v>
      </c>
      <c r="O14" s="52" t="str">
        <f>IF(N14=0,"Not assessed",VLOOKUP(N14,'Risk Method'!$F$6:$H$10,3,FALSE))</f>
        <v>Low</v>
      </c>
      <c r="P14" s="52" t="str">
        <f>IF(OR(C14&lt;&gt;1,AF14=0),"",INDEX('Answer Outcomes'!$E$6:$E$350,$AF14))</f>
        <v>Maintain and test: close the gap between agreement and implementation</v>
      </c>
      <c r="Q14" s="52" t="str">
        <f>IF(OR(C14&lt;&gt;1,AF14=0),"",INDEX('Answer Outcomes'!$G$6:$G$350,$AF14))</f>
        <v>An agreed change can fail in practice if payroll, management and the employee hold different versions of it.</v>
      </c>
      <c r="R14" s="52" t="str">
        <f>IF(OR(C14&lt;&gt;1,AF14=0),"",IF(G14="LIVE_HARM","Protect people and contain the reported exposure now. Seek appropriate urgent assistance and arrange a competent review. Do not wait for this assessment or a sales appointment.",IF(OR(G14="LIVE_ISSUE",AND(G14="SYSTEMIC",D14&amp;""="3")),"Review the reported current matter and reconcile it with the maturity answer before relying on the result. Preserve relevant evidence, allocate an impartial owner and assess immediate safeguards. Context: "&amp;H14,IF(G14="DEADLINE","Confirm the actual deadline and complete the necessary checks before the affected event. "&amp;INDEX('Answer Outcomes'!$M$6:$M$350,$AF14),IF(G14="MATTER_UNCLEAR","Confirm promptly whether the time-sensitive matter exists and who owns the response. Do not treat uncertainty as proof of an incident. "&amp;INDEX('Answer Outcomes'!$M$6:$M$350,$AF14),INDEX('Answer Outcomes'!$M$6:$M$350,$AF14))))))</f>
        <v>Maintain the practice described. At the next relevant review, check the first affected roster or payment and confirm the final record reflects the change.</v>
      </c>
      <c r="S14" s="52" t="str">
        <f>IF(OR(C14&lt;&gt;1,AF14=0),"","1. "&amp;INDEX('Answer Outcomes'!$N$6:$N$350,$AF14)&amp;CHAR(10)&amp;"2. "&amp;INDEX('Answer Outcomes'!$O$6:$O$350,$AF14))</f>
        <v>1. Check whether changes in work, people or applicable requirements have made the original process less reliable.
2. Retain the review outcome and act on any new exception. An unresolved live issue overrides this maintenance pathway.</v>
      </c>
      <c r="T14" s="52" t="str">
        <f>IF(OR(C14&lt;&gt;1,AF14=0),"",IF(G14="NONE",INDEX('Answer Outcomes'!$L$6:$L$350,$AF14),"Context "&amp;G14&amp;": "&amp;H14&amp;". Scope: "&amp;I14&amp;". "&amp;IF(G14="DEADLINE","The deadline raises action urgency; it does not establish a breach or automatically raise the risk rating.",IF(D14&amp;""="3","The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4" s="52" t="str">
        <f>IF(OR(C14&lt;&gt;1,AF14=0),"",INDEX('Answer Outcomes'!$Q$6:$Q$350,$AF14))</f>
        <v>A current example of the practice and a proportionate recheck record. A complete change record with approvals, required agreement or consultation and matching payroll instructions.</v>
      </c>
      <c r="V14" s="52" t="str">
        <f>IF(OR(C14&lt;&gt;1,AF14=0),"",INDEX('Answer Outcomes'!$T$6:$T$350,$AF14))</f>
        <v>Owner / HR lead</v>
      </c>
      <c r="W14" s="52" t="str">
        <f>IF(N14=0,"",IF(N14='Risk Method'!$B$10,"Act now. Immediate protective action and appropriate urgent advice take precedence.",IF(N14='Risk Method'!$B$9,"Review or verify within "&amp;'Risk Method'!$B$11&amp;" business days, or before an earlier duty/event. Do not wait where harm or law requires immediate action.",IF(N14='Risk Method'!$B$8,"Agree and start a plan within "&amp;'Risk Method'!$B$12&amp;" days, or before an earlier affected event.","Maintain at the stated trigger; plan any discretionary improvement within "&amp;'Risk Method'!$B$13&amp;" days.")))&amp;IF(J14="",""," Next event: "&amp;J14))</f>
        <v>Maintain at the stated trigger; plan any discretionary improvement within 90 days.</v>
      </c>
      <c r="X14" s="52" t="str">
        <f>IF(OR(C14&lt;&gt;1,AF14=0),"",INDEX('Answer Outcomes'!$V$6:$V$350,$AF14))</f>
        <v>TERMS</v>
      </c>
      <c r="Y14" s="52" t="str">
        <f>IF(C14&lt;&gt;1,"",A14&amp;"_"&amp;D14)</f>
        <v>CON03_3</v>
      </c>
      <c r="Z14" s="52">
        <f>IF(N14=0,0,N14*100000+L14*1000+INDEX('Answer Outcomes'!$I$6:$I$350,$AF14)*100+IF(G14="DEADLINE",50,0)+(75-ROW())/100)</f>
        <v>101200.61</v>
      </c>
      <c r="AA14" s="52">
        <f>IF(Z14=0,"",RANK(Z14,$Z$6:$Z$74,0))</f>
        <v>31</v>
      </c>
      <c r="AB14" s="52" t="str">
        <f>IF(AND(C14&lt;&gt;0,C14&lt;&gt;1),"Invalid eligibility",IF(AND(C14=0,G14&lt;&gt;"NONE"),"Context conflicts with exclusion",IF(C14=0,"",IF(AF14=0,"Missing or invalid answer",IF(AND(G14&lt;&gt;"NONE",G14&lt;&gt;"LIVE_HARM",G14&lt;&gt;"LIVE_ISSUE",G14&lt;&gt;"DEADLINE",G14&lt;&gt;"SYSTEMIC",G14&lt;&gt;"MATTER_UNCLEAR"),"Invalid context code",IF(AND(G14&lt;&gt;"NONE",OR(H14="",I14="")),"Override needs reason and scope",""))))))</f>
        <v/>
      </c>
      <c r="AC14" s="52" t="str">
        <f>IF(OR(C14&lt;&gt;1,AF14=0),"",INDEX('Answer Outcomes'!$S$6:$S$350,$AF14))</f>
        <v>Each material change to employment terms.</v>
      </c>
      <c r="AD14" s="52" t="str">
        <f>IF(OR(C14&lt;&gt;1,AF14=0),"",INDEX('Answer Outcomes'!$Y$6:$Y$350,$AF14))</f>
        <v>https://www.fairwork.gov.au/tools-and-resources/best-practice-guides/consultation-and-cooperation-in-the-workplace
https://www.fairwork.gov.au/tools-and-resources/fact-sheets/rights-and-obligations/record-keeping-pay-slips</v>
      </c>
      <c r="AE14" s="37" t="inlineStr">
        <is>
          <t>PAY01;CON01</t>
        </is>
      </c>
      <c r="AF14" s="52">
        <f>IF(C14&lt;&gt;1,0,IFERROR(MATCH(Y14,'Answer Outcomes'!$A$6:$A$350,0),0))</f>
        <v>44</v>
      </c>
      <c r="AG14" s="52">
        <f>IF(N14&lt;'Risk Method'!$B$8,0,IF(COUNTIFS($X$6:$X$74,X14,$Z$6:$Z$74,"&gt;"&amp;Z14)=0,Z14,0))</f>
        <v>0</v>
      </c>
      <c r="AH14" s="52" t="str">
        <f>IF(AG14=0,"",RANK(AG14,$AG$6:$AG$74,0))</f>
        <v/>
      </c>
      <c r="AI14" s="52">
        <f>IF(LEN(AB14)&gt;0,1,0)</f>
        <v>0</v>
      </c>
    </row>
    <row r="15" ht="44" customHeight="1">
      <c r="A15" s="38" t="inlineStr">
        <is>
          <t>REC01</t>
        </is>
      </c>
      <c r="B15" s="38" t="inlineStr">
        <is>
          <t>REC</t>
        </is>
      </c>
      <c r="C15" s="54">
        <f>'Score Sandbox'!F35</f>
        <v>1</v>
      </c>
      <c r="D15" s="54">
        <f>IF(COUNTBLANK('Score Sandbox'!G35)&gt;0,"",'Score Sandbox'!G35)</f>
        <v>3</v>
      </c>
      <c r="E15" s="54">
        <f>IF(OR(C15&lt;&gt;1,AF15=0),"",INDEX('Answer Outcomes'!$J$6:$J$350,$AF15))</f>
        <v>1</v>
      </c>
      <c r="F15" s="54">
        <f>IF(OR(C15&lt;&gt;1,AF15=0),"",INDEX('Answer Outcomes'!$K$6:$K$350,$AF15))</f>
        <v>1</v>
      </c>
      <c r="G15" s="53" t="inlineStr">
        <is>
          <t>NONE</t>
        </is>
      </c>
      <c r="H15" s="53" t="inlineStr"/>
      <c r="I15" s="53" t="inlineStr"/>
      <c r="J15" s="53" t="inlineStr"/>
      <c r="K15" s="53" t="inlineStr">
        <is>
          <t>Self-report only</t>
        </is>
      </c>
      <c r="L15" s="54">
        <f>IF(OR(C15&lt;&gt;1,AF15=0),0,IF(G15="LIVE_HARM",'Risk Method'!$B$10,IF(G15="LIVE_ISSUE",MAX(E15,'Risk Method'!$B$9),IF(AND(OR(G15="SYSTEMIC",G15="MATTER_UNCLEAR"),D15&amp;""="3"),0,IF(G15="SYSTEMIC",IF(E15=0,0,MIN('Risk Method'!$B$9,E15+1)),E15)))))</f>
        <v>1</v>
      </c>
      <c r="M15" s="54" t="str">
        <f>IF(C15&lt;&gt;1,"Not assessed",IF(AF15=0,"Incomplete",VLOOKUP(L15,'Risk Method'!$F$6:$H$10,2,FALSE)))</f>
        <v>Low</v>
      </c>
      <c r="N15" s="54">
        <f>IF(OR(C15&lt;&gt;1,AF15=0),0,IF(G15="LIVE_HARM",'Risk Method'!$B$10,IF(G15="NONE",F15,IF(G15="SYSTEMIC",MIN('Risk Method'!$B$9,MAX(F15+1,IF(D15&amp;""="3",'Risk Method'!$B$9,0))),MAX(F15,'Risk Method'!$B$9)))))</f>
        <v>1</v>
      </c>
      <c r="O15" s="54" t="str">
        <f>IF(N15=0,"Not assessed",VLOOKUP(N15,'Risk Method'!$F$6:$H$10,3,FALSE))</f>
        <v>Low</v>
      </c>
      <c r="P15" s="54" t="str">
        <f>IF(OR(C15&lt;&gt;1,AF15=0),"",INDEX('Answer Outcomes'!$E$6:$E$350,$AF15))</f>
        <v>Maintain and test: define the job before evaluating the person</v>
      </c>
      <c r="Q15" s="54" t="str">
        <f>IF(OR(C15&lt;&gt;1,AF15=0),"",INDEX('Answer Outcomes'!$G$6:$G$350,$AF15))</f>
        <v>A vague role brief can produce a capable hire who is solving the wrong problem, with avoidable cost and early frustration.</v>
      </c>
      <c r="R15" s="54" t="str">
        <f>IF(OR(C15&lt;&gt;1,AF15=0),"",IF(G15="LIVE_HARM","Protect people and contain the reported exposure now. Seek appropriate urgent assistance and arrange a competent review. Do not wait for this assessment or a sales appointment.",IF(OR(G15="LIVE_ISSUE",AND(G15="SYSTEMIC",D15&amp;""="3")),"Review the reported current matter and reconcile it with the maturity answer before relying on the result. Preserve relevant evidence, allocate an impartial owner and assess immediate safeguards. Context: "&amp;H15,IF(G15="DEADLINE","Confirm the actual deadline and complete the necessary checks before the affected event. "&amp;INDEX('Answer Outcomes'!$M$6:$M$350,$AF15),IF(G15="MATTER_UNCLEAR","Confirm promptly whether the time-sensitive matter exists and who owns the response. Do not treat uncertainty as proof of an incident. "&amp;INDEX('Answer Outcomes'!$M$6:$M$350,$AF15),INDEX('Answer Outcomes'!$M$6:$M$350,$AF15))))))</f>
        <v>Maintain the practice described. At the next relevant review, check that the advertisement, interview criteria and early performance expectations all use the same role brief.</v>
      </c>
      <c r="S15" s="54" t="str">
        <f>IF(OR(C15&lt;&gt;1,AF15=0),"","1. "&amp;INDEX('Answer Outcomes'!$N$6:$N$350,$AF15)&amp;CHAR(10)&amp;"2. "&amp;INDEX('Answer Outcomes'!$O$6:$O$350,$AF15))</f>
        <v>1. Check whether changes in work, people or applicable requirements have made the original process less reliable.
2. Retain the review outcome and act on any new exception. An unresolved live issue overrides this maintenance pathway.</v>
      </c>
      <c r="T15" s="54" t="str">
        <f>IF(OR(C15&lt;&gt;1,AF15=0),"",IF(G15="NONE",INDEX('Answer Outcomes'!$L$6:$L$350,$AF15),"Context "&amp;G15&amp;": "&amp;H15&amp;". Scope: "&amp;I15&amp;". "&amp;IF(G15="DEADLINE","The deadline raises action urgency; it does not establish a breach or automatically raise the risk rating.",IF(D15&amp;""="3","The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5" s="54" t="str">
        <f>IF(OR(C15&lt;&gt;1,AF15=0),"",INDEX('Answer Outcomes'!$Q$6:$Q$350,$AF15))</f>
        <v>A current example of the practice and a proportionate recheck record. An agreed role brief that the advert, selection criteria and initial performance goals reflect.</v>
      </c>
      <c r="V15" s="54" t="str">
        <f>IF(OR(C15&lt;&gt;1,AF15=0),"",INDEX('Answer Outcomes'!$T$6:$T$350,$AF15))</f>
        <v>Hiring manager</v>
      </c>
      <c r="W15" s="54" t="str">
        <f>IF(N15=0,"",IF(N15='Risk Method'!$B$10,"Act now. Immediate protective action and appropriate urgent advice take precedence.",IF(N15='Risk Method'!$B$9,"Review or verify within "&amp;'Risk Method'!$B$11&amp;" business days, or before an earlier duty/event. Do not wait where harm or law requires immediate action.",IF(N15='Risk Method'!$B$8,"Agree and start a plan within "&amp;'Risk Method'!$B$12&amp;" days, or before an earlier affected event.","Maintain at the stated trigger; plan any discretionary improvement within "&amp;'Risk Method'!$B$13&amp;" days.")))&amp;IF(J15="",""," Next event: "&amp;J15))</f>
        <v>Maintain at the stated trigger; plan any discretionary improvement within 90 days.</v>
      </c>
      <c r="X15" s="54" t="str">
        <f>IF(OR(C15&lt;&gt;1,AF15=0),"",INDEX('Answer Outcomes'!$V$6:$V$350,$AF15))</f>
        <v>HIRING</v>
      </c>
      <c r="Y15" s="54" t="str">
        <f>IF(C15&lt;&gt;1,"",A15&amp;"_"&amp;D15)</f>
        <v>REC01_3</v>
      </c>
      <c r="Z15" s="54">
        <f>IF(N15=0,0,N15*100000+L15*1000+INDEX('Answer Outcomes'!$I$6:$I$350,$AF15)*100+IF(G15="DEADLINE",50,0)+(75-ROW())/100)</f>
        <v>101200.6</v>
      </c>
      <c r="AA15" s="54">
        <f>IF(Z15=0,"",RANK(Z15,$Z$6:$Z$74,0))</f>
        <v>32</v>
      </c>
      <c r="AB15" s="54" t="str">
        <f>IF(AND(C15&lt;&gt;0,C15&lt;&gt;1),"Invalid eligibility",IF(AND(C15=0,G15&lt;&gt;"NONE"),"Context conflicts with exclusion",IF(C15=0,"",IF(AF15=0,"Missing or invalid answer",IF(AND(G15&lt;&gt;"NONE",G15&lt;&gt;"LIVE_HARM",G15&lt;&gt;"LIVE_ISSUE",G15&lt;&gt;"DEADLINE",G15&lt;&gt;"SYSTEMIC",G15&lt;&gt;"MATTER_UNCLEAR"),"Invalid context code",IF(AND(G15&lt;&gt;"NONE",OR(H15="",I15="")),"Override needs reason and scope",""))))))</f>
        <v/>
      </c>
      <c r="AC15" s="54" t="str">
        <f>IF(OR(C15&lt;&gt;1,AF15=0),"",INDEX('Answer Outcomes'!$S$6:$S$350,$AF15))</f>
        <v>A new vacancy, changed service model or repeated early turnover.</v>
      </c>
      <c r="AD15" s="54" t="str">
        <f>IF(OR(C15&lt;&gt;1,AF15=0),"",INDEX('Answer Outcomes'!$Y$6:$Y$350,$AF15))</f>
        <v>https://www.abs.gov.au/statistics/standards/abs-forms-design-standards/2023/general-forms-design-principles-question-structure
https://www.fairwork.gov.au/sites/default/files/migration/711/managing-underperformance-best-practice-guide.pdf</v>
      </c>
      <c r="AE15" s="38" t="inlineStr">
        <is>
          <t>None</t>
        </is>
      </c>
      <c r="AF15" s="54">
        <f>IF(C15&lt;&gt;1,0,IFERROR(MATCH(Y15,'Answer Outcomes'!$A$6:$A$350,0),0))</f>
        <v>49</v>
      </c>
      <c r="AG15" s="54">
        <f>IF(N15&lt;'Risk Method'!$B$8,0,IF(COUNTIFS($X$6:$X$74,X15,$Z$6:$Z$74,"&gt;"&amp;Z15)=0,Z15,0))</f>
        <v>0</v>
      </c>
      <c r="AH15" s="54" t="str">
        <f>IF(AG15=0,"",RANK(AG15,$AG$6:$AG$74,0))</f>
        <v/>
      </c>
      <c r="AI15" s="54">
        <f>IF(LEN(AB15)&gt;0,1,0)</f>
        <v>0</v>
      </c>
    </row>
    <row r="16" ht="44" customHeight="1">
      <c r="A16" s="37" t="inlineStr">
        <is>
          <t>REC02</t>
        </is>
      </c>
      <c r="B16" s="37" t="inlineStr">
        <is>
          <t>REC</t>
        </is>
      </c>
      <c r="C16" s="52">
        <f>'Score Sandbox'!F36</f>
        <v>1</v>
      </c>
      <c r="D16" s="52">
        <f>IF(COUNTBLANK('Score Sandbox'!G36)&gt;0,"",'Score Sandbox'!G36)</f>
        <v>3</v>
      </c>
      <c r="E16" s="52">
        <f>IF(OR(C16&lt;&gt;1,AF16=0),"",INDEX('Answer Outcomes'!$J$6:$J$350,$AF16))</f>
        <v>1</v>
      </c>
      <c r="F16" s="52">
        <f>IF(OR(C16&lt;&gt;1,AF16=0),"",INDEX('Answer Outcomes'!$K$6:$K$350,$AF16))</f>
        <v>1</v>
      </c>
      <c r="G16" s="53" t="inlineStr">
        <is>
          <t>NONE</t>
        </is>
      </c>
      <c r="H16" s="53" t="inlineStr"/>
      <c r="I16" s="53" t="inlineStr"/>
      <c r="J16" s="53" t="inlineStr"/>
      <c r="K16" s="53" t="inlineStr">
        <is>
          <t>Self-report only</t>
        </is>
      </c>
      <c r="L16" s="52">
        <f>IF(OR(C16&lt;&gt;1,AF16=0),0,IF(G16="LIVE_HARM",'Risk Method'!$B$10,IF(G16="LIVE_ISSUE",MAX(E16,'Risk Method'!$B$9),IF(AND(OR(G16="SYSTEMIC",G16="MATTER_UNCLEAR"),D16&amp;""="3"),0,IF(G16="SYSTEMIC",IF(E16=0,0,MIN('Risk Method'!$B$9,E16+1)),E16)))))</f>
        <v>1</v>
      </c>
      <c r="M16" s="52" t="str">
        <f>IF(C16&lt;&gt;1,"Not assessed",IF(AF16=0,"Incomplete",VLOOKUP(L16,'Risk Method'!$F$6:$H$10,2,FALSE)))</f>
        <v>Low</v>
      </c>
      <c r="N16" s="52">
        <f>IF(OR(C16&lt;&gt;1,AF16=0),0,IF(G16="LIVE_HARM",'Risk Method'!$B$10,IF(G16="NONE",F16,IF(G16="SYSTEMIC",MIN('Risk Method'!$B$9,MAX(F16+1,IF(D16&amp;""="3",'Risk Method'!$B$9,0))),MAX(F16,'Risk Method'!$B$9)))))</f>
        <v>1</v>
      </c>
      <c r="O16" s="52" t="str">
        <f>IF(N16=0,"Not assessed",VLOOKUP(N16,'Risk Method'!$F$6:$H$10,3,FALSE))</f>
        <v>Low</v>
      </c>
      <c r="P16" s="52" t="str">
        <f>IF(OR(C16&lt;&gt;1,AF16=0),"",INDEX('Answer Outcomes'!$E$6:$E$350,$AF16))</f>
        <v>Maintain and test: make the selection decision explainable</v>
      </c>
      <c r="Q16" s="52" t="str">
        <f>IF(OR(C16&lt;&gt;1,AF16=0),"",INDEX('Answer Outcomes'!$G$6:$G$350,$AF16))</f>
        <v>Inconsistent criteria or unsupported judgements can exclude suitable candidates and make a hiring decision difficult to explain.</v>
      </c>
      <c r="R16" s="52" t="str">
        <f>IF(OR(C16&lt;&gt;1,AF16=0),"",IF(G16="LIVE_HARM","Protect people and contain the reported exposure now. Seek appropriate urgent assistance and arrange a competent review. Do not wait for this assessment or a sales appointment.",IF(OR(G16="LIVE_ISSUE",AND(G16="SYSTEMIC",D16&amp;""="3")),"Review the reported current matter and reconcile it with the maturity answer before relying on the result. Preserve relevant evidence, allocate an impartial owner and assess immediate safeguards. Context: "&amp;H16,IF(G16="DEADLINE","Confirm the actual deadline and complete the necessary checks before the affected event. "&amp;INDEX('Answer Outcomes'!$M$6:$M$350,$AF16),IF(G16="MATTER_UNCLEAR","Confirm promptly whether the time-sensitive matter exists and who owns the response. Do not treat uncertainty as proof of an incident. "&amp;INDEX('Answer Outcomes'!$M$6:$M$350,$AF16),INDEX('Answer Outcomes'!$M$6:$M$350,$AF16))))))</f>
        <v>Maintain the practice described. At the next relevant review, compare the decision record with the evidence for the preferred candidate and review unexplained differences between interviewers.</v>
      </c>
      <c r="S16" s="52" t="str">
        <f>IF(OR(C16&lt;&gt;1,AF16=0),"","1. "&amp;INDEX('Answer Outcomes'!$N$6:$N$350,$AF16)&amp;CHAR(10)&amp;"2. "&amp;INDEX('Answer Outcomes'!$O$6:$O$350,$AF16))</f>
        <v>1. Check whether changes in work, people or applicable requirements have made the original process less reliable.
2. Retain the review outcome and act on any new exception. An unresolved live issue overrides this maintenance pathway.</v>
      </c>
      <c r="T16" s="52" t="str">
        <f>IF(OR(C16&lt;&gt;1,AF16=0),"",IF(G16="NONE",INDEX('Answer Outcomes'!$L$6:$L$350,$AF16),"Context "&amp;G16&amp;": "&amp;H16&amp;". Scope: "&amp;I16&amp;". "&amp;IF(G16="DEADLINE","The deadline raises action urgency; it does not establish a breach or automatically raise the risk rating.",IF(D16&amp;""="3","The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6" s="52" t="str">
        <f>IF(OR(C16&lt;&gt;1,AF16=0),"",INDEX('Answer Outcomes'!$Q$6:$Q$350,$AF16))</f>
        <v>A current example of the practice and a proportionate recheck record. A completed selection record and an appropriate applicant-information handling process.</v>
      </c>
      <c r="V16" s="52" t="str">
        <f>IF(OR(C16&lt;&gt;1,AF16=0),"",INDEX('Answer Outcomes'!$T$6:$T$350,$AF16))</f>
        <v>Hiring manager</v>
      </c>
      <c r="W16" s="52" t="str">
        <f>IF(N16=0,"",IF(N16='Risk Method'!$B$10,"Act now. Immediate protective action and appropriate urgent advice take precedence.",IF(N16='Risk Method'!$B$9,"Review or verify within "&amp;'Risk Method'!$B$11&amp;" business days, or before an earlier duty/event. Do not wait where harm or law requires immediate action.",IF(N16='Risk Method'!$B$8,"Agree and start a plan within "&amp;'Risk Method'!$B$12&amp;" days, or before an earlier affected event.","Maintain at the stated trigger; plan any discretionary improvement within "&amp;'Risk Method'!$B$13&amp;" days.")))&amp;IF(J16="",""," Next event: "&amp;J16))</f>
        <v>Maintain at the stated trigger; plan any discretionary improvement within 90 days.</v>
      </c>
      <c r="X16" s="52" t="str">
        <f>IF(OR(C16&lt;&gt;1,AF16=0),"",INDEX('Answer Outcomes'!$V$6:$V$350,$AF16))</f>
        <v>HIRING</v>
      </c>
      <c r="Y16" s="52" t="str">
        <f>IF(C16&lt;&gt;1,"",A16&amp;"_"&amp;D16)</f>
        <v>REC02_3</v>
      </c>
      <c r="Z16" s="52">
        <f>IF(N16=0,0,N16*100000+L16*1000+INDEX('Answer Outcomes'!$I$6:$I$350,$AF16)*100+IF(G16="DEADLINE",50,0)+(75-ROW())/100)</f>
        <v>101300.59</v>
      </c>
      <c r="AA16" s="52">
        <f>IF(Z16=0,"",RANK(Z16,$Z$6:$Z$74,0))</f>
        <v>9</v>
      </c>
      <c r="AB16" s="52" t="str">
        <f>IF(AND(C16&lt;&gt;0,C16&lt;&gt;1),"Invalid eligibility",IF(AND(C16=0,G16&lt;&gt;"NONE"),"Context conflicts with exclusion",IF(C16=0,"",IF(AF16=0,"Missing or invalid answer",IF(AND(G16&lt;&gt;"NONE",G16&lt;&gt;"LIVE_HARM",G16&lt;&gt;"LIVE_ISSUE",G16&lt;&gt;"DEADLINE",G16&lt;&gt;"SYSTEMIC",G16&lt;&gt;"MATTER_UNCLEAR"),"Invalid context code",IF(AND(G16&lt;&gt;"NONE",OR(H16="",I16="")),"Override needs reason and scope",""))))))</f>
        <v/>
      </c>
      <c r="AC16" s="52" t="str">
        <f>IF(OR(C16&lt;&gt;1,AF16=0),"",INDEX('Answer Outcomes'!$S$6:$S$350,$AF16))</f>
        <v>A new hiring manager, selection tool or concern about a decision.</v>
      </c>
      <c r="AD16" s="52" t="str">
        <f>IF(OR(C16&lt;&gt;1,AF16=0),"",INDEX('Answer Outcomes'!$Y$6:$Y$350,$AF16))</f>
        <v>https://www.abs.gov.au/statistics/standards/abs-forms-design-standards/2023/general-forms-design-principles-question-structure
https://www.oaic.gov.au/privacy/privacy-guidance-for-organisations-and-government-agencies/organisations/employee-records-exemption</v>
      </c>
      <c r="AE16" s="37" t="inlineStr">
        <is>
          <t>REC01</t>
        </is>
      </c>
      <c r="AF16" s="52">
        <f>IF(C16&lt;&gt;1,0,IFERROR(MATCH(Y16,'Answer Outcomes'!$A$6:$A$350,0),0))</f>
        <v>54</v>
      </c>
      <c r="AG16" s="52">
        <f>IF(N16&lt;'Risk Method'!$B$8,0,IF(COUNTIFS($X$6:$X$74,X16,$Z$6:$Z$74,"&gt;"&amp;Z16)=0,Z16,0))</f>
        <v>0</v>
      </c>
      <c r="AH16" s="52" t="str">
        <f>IF(AG16=0,"",RANK(AG16,$AG$6:$AG$74,0))</f>
        <v/>
      </c>
      <c r="AI16" s="52">
        <f>IF(LEN(AB16)&gt;0,1,0)</f>
        <v>0</v>
      </c>
    </row>
    <row r="17" ht="44" customHeight="1">
      <c r="A17" s="38" t="inlineStr">
        <is>
          <t>REC03</t>
        </is>
      </c>
      <c r="B17" s="38" t="inlineStr">
        <is>
          <t>REC</t>
        </is>
      </c>
      <c r="C17" s="54">
        <f>'Score Sandbox'!F37</f>
        <v>1</v>
      </c>
      <c r="D17" s="54">
        <f>IF(COUNTBLANK('Score Sandbox'!G37)&gt;0,"",'Score Sandbox'!G37)</f>
        <v>3</v>
      </c>
      <c r="E17" s="54">
        <f>IF(OR(C17&lt;&gt;1,AF17=0),"",INDEX('Answer Outcomes'!$J$6:$J$350,$AF17))</f>
        <v>1</v>
      </c>
      <c r="F17" s="54">
        <f>IF(OR(C17&lt;&gt;1,AF17=0),"",INDEX('Answer Outcomes'!$K$6:$K$350,$AF17))</f>
        <v>1</v>
      </c>
      <c r="G17" s="53" t="inlineStr">
        <is>
          <t>NONE</t>
        </is>
      </c>
      <c r="H17" s="53" t="inlineStr"/>
      <c r="I17" s="53" t="inlineStr"/>
      <c r="J17" s="53" t="inlineStr"/>
      <c r="K17" s="53" t="inlineStr">
        <is>
          <t>Self-report only</t>
        </is>
      </c>
      <c r="L17" s="54">
        <f>IF(OR(C17&lt;&gt;1,AF17=0),0,IF(G17="LIVE_HARM",'Risk Method'!$B$10,IF(G17="LIVE_ISSUE",MAX(E17,'Risk Method'!$B$9),IF(AND(OR(G17="SYSTEMIC",G17="MATTER_UNCLEAR"),D17&amp;""="3"),0,IF(G17="SYSTEMIC",IF(E17=0,0,MIN('Risk Method'!$B$9,E17+1)),E17)))))</f>
        <v>1</v>
      </c>
      <c r="M17" s="54" t="str">
        <f>IF(C17&lt;&gt;1,"Not assessed",IF(AF17=0,"Incomplete",VLOOKUP(L17,'Risk Method'!$F$6:$H$10,2,FALSE)))</f>
        <v>Low</v>
      </c>
      <c r="N17" s="54">
        <f>IF(OR(C17&lt;&gt;1,AF17=0),0,IF(G17="LIVE_HARM",'Risk Method'!$B$10,IF(G17="NONE",F17,IF(G17="SYSTEMIC",MIN('Risk Method'!$B$9,MAX(F17+1,IF(D17&amp;""="3",'Risk Method'!$B$9,0))),MAX(F17,'Risk Method'!$B$9)))))</f>
        <v>1</v>
      </c>
      <c r="O17" s="54" t="str">
        <f>IF(N17=0,"Not assessed",VLOOKUP(N17,'Risk Method'!$F$6:$H$10,3,FALSE))</f>
        <v>Low</v>
      </c>
      <c r="P17" s="54" t="str">
        <f>IF(OR(C17&lt;&gt;1,AF17=0),"",INDEX('Answer Outcomes'!$E$6:$E$350,$AF17))</f>
        <v>Maintain and test: reduce surprises between offer and first day</v>
      </c>
      <c r="Q17" s="54" t="str">
        <f>IF(OR(C17&lt;&gt;1,AF17=0),"",INDEX('Answer Outcomes'!$G$6:$G$350,$AF17))</f>
        <v>A difference between the advertised role and the actual work can undermine trust before a new employee has settled in.</v>
      </c>
      <c r="R17" s="54" t="str">
        <f>IF(OR(C17&lt;&gt;1,AF17=0),"",IF(G17="LIVE_HARM","Protect people and contain the reported exposure now. Seek appropriate urgent assistance and arrange a competent review. Do not wait for this assessment or a sales appointment.",IF(OR(G17="LIVE_ISSUE",AND(G17="SYSTEMIC",D17&amp;""="3")),"Review the reported current matter and reconcile it with the maturity answer before relying on the result. Preserve relevant evidence, allocate an impartial owner and assess immediate safeguards. Context: "&amp;H17,IF(G17="DEADLINE","Confirm the actual deadline and complete the necessary checks before the affected event. "&amp;INDEX('Answer Outcomes'!$M$6:$M$350,$AF17),IF(G17="MATTER_UNCLEAR","Confirm promptly whether the time-sensitive matter exists and who owns the response. Do not treat uncertainty as proof of an incident. "&amp;INDEX('Answer Outcomes'!$M$6:$M$350,$AF17),INDEX('Answer Outcomes'!$M$6:$M$350,$AF17))))))</f>
        <v>Maintain the practice described. At the next relevant review, ask a recent starter what differed from the recruitment discussion and correct misleading or incomplete information.</v>
      </c>
      <c r="S17" s="54" t="str">
        <f>IF(OR(C17&lt;&gt;1,AF17=0),"","1. "&amp;INDEX('Answer Outcomes'!$N$6:$N$350,$AF17)&amp;CHAR(10)&amp;"2. "&amp;INDEX('Answer Outcomes'!$O$6:$O$350,$AF17))</f>
        <v>1. Check whether changes in work, people or applicable requirements have made the original process less reliable.
2. Retain the review outcome and act on any new exception. An unresolved live issue overrides this maintenance pathway.</v>
      </c>
      <c r="T17" s="54" t="str">
        <f>IF(OR(C17&lt;&gt;1,AF17=0),"",IF(G17="NONE",INDEX('Answer Outcomes'!$L$6:$L$350,$AF17),"Context "&amp;G17&amp;": "&amp;H17&amp;". Scope: "&amp;I17&amp;". "&amp;IF(G17="DEADLINE","The deadline raises action urgency; it does not establish a breach or automatically raise the risk rating.",IF(D17&amp;""="3","The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7" s="54" t="str">
        <f>IF(OR(C17&lt;&gt;1,AF17=0),"",INDEX('Answer Outcomes'!$Q$6:$Q$350,$AF17))</f>
        <v>A current example of the practice and a proportionate recheck record. Consistent candidate information and a simple communication checklist.</v>
      </c>
      <c r="V17" s="54" t="str">
        <f>IF(OR(C17&lt;&gt;1,AF17=0),"",INDEX('Answer Outcomes'!$T$6:$T$350,$AF17))</f>
        <v>Hiring manager</v>
      </c>
      <c r="W17" s="54" t="str">
        <f>IF(N17=0,"",IF(N17='Risk Method'!$B$10,"Act now. Immediate protective action and appropriate urgent advice take precedence.",IF(N17='Risk Method'!$B$9,"Review or verify within "&amp;'Risk Method'!$B$11&amp;" business days, or before an earlier duty/event. Do not wait where harm or law requires immediate action.",IF(N17='Risk Method'!$B$8,"Agree and start a plan within "&amp;'Risk Method'!$B$12&amp;" days, or before an earlier affected event.","Maintain at the stated trigger; plan any discretionary improvement within "&amp;'Risk Method'!$B$13&amp;" days.")))&amp;IF(J17="",""," Next event: "&amp;J17))</f>
        <v>Maintain at the stated trigger; plan any discretionary improvement within 90 days.</v>
      </c>
      <c r="X17" s="54" t="str">
        <f>IF(OR(C17&lt;&gt;1,AF17=0),"",INDEX('Answer Outcomes'!$V$6:$V$350,$AF17))</f>
        <v>HIRING</v>
      </c>
      <c r="Y17" s="54" t="str">
        <f>IF(C17&lt;&gt;1,"",A17&amp;"_"&amp;D17)</f>
        <v>REC03_3</v>
      </c>
      <c r="Z17" s="54">
        <f>IF(N17=0,0,N17*100000+L17*1000+INDEX('Answer Outcomes'!$I$6:$I$350,$AF17)*100+IF(G17="DEADLINE",50,0)+(75-ROW())/100)</f>
        <v>101200.58</v>
      </c>
      <c r="AA17" s="54">
        <f>IF(Z17=0,"",RANK(Z17,$Z$6:$Z$74,0))</f>
        <v>33</v>
      </c>
      <c r="AB17" s="54" t="str">
        <f>IF(AND(C17&lt;&gt;0,C17&lt;&gt;1),"Invalid eligibility",IF(AND(C17=0,G17&lt;&gt;"NONE"),"Context conflicts with exclusion",IF(C17=0,"",IF(AF17=0,"Missing or invalid answer",IF(AND(G17&lt;&gt;"NONE",G17&lt;&gt;"LIVE_HARM",G17&lt;&gt;"LIVE_ISSUE",G17&lt;&gt;"DEADLINE",G17&lt;&gt;"SYSTEMIC",G17&lt;&gt;"MATTER_UNCLEAR"),"Invalid context code",IF(AND(G17&lt;&gt;"NONE",OR(H17="",I17="")),"Override needs reason and scope",""))))))</f>
        <v/>
      </c>
      <c r="AC17" s="54" t="str">
        <f>IF(OR(C17&lt;&gt;1,AF17=0),"",INDEX('Answer Outcomes'!$S$6:$S$350,$AF17))</f>
        <v>Changed duties, work location or feedback from a recent starter.</v>
      </c>
      <c r="AD17" s="54" t="str">
        <f>IF(OR(C17&lt;&gt;1,AF17=0),"",INDEX('Answer Outcomes'!$Y$6:$Y$350,$AF17))</f>
        <v>https://www.abs.gov.au/statistics/standards/abs-forms-design-standards/2023/general-forms-design-principles-question-structure</v>
      </c>
      <c r="AE17" s="38" t="inlineStr">
        <is>
          <t>REC01;CON01</t>
        </is>
      </c>
      <c r="AF17" s="54">
        <f>IF(C17&lt;&gt;1,0,IFERROR(MATCH(Y17,'Answer Outcomes'!$A$6:$A$350,0),0))</f>
        <v>59</v>
      </c>
      <c r="AG17" s="54">
        <f>IF(N17&lt;'Risk Method'!$B$8,0,IF(COUNTIFS($X$6:$X$74,X17,$Z$6:$Z$74,"&gt;"&amp;Z17)=0,Z17,0))</f>
        <v>0</v>
      </c>
      <c r="AH17" s="54" t="str">
        <f>IF(AG17=0,"",RANK(AG17,$AG$6:$AG$74,0))</f>
        <v/>
      </c>
      <c r="AI17" s="54">
        <f>IF(LEN(AB17)&gt;0,1,0)</f>
        <v>0</v>
      </c>
    </row>
    <row r="18" ht="44" customHeight="1">
      <c r="A18" s="37" t="inlineStr">
        <is>
          <t>ONB01</t>
        </is>
      </c>
      <c r="B18" s="37" t="inlineStr">
        <is>
          <t>ONB</t>
        </is>
      </c>
      <c r="C18" s="52">
        <f>'Score Sandbox'!F38</f>
        <v>1</v>
      </c>
      <c r="D18" s="52">
        <f>IF(COUNTBLANK('Score Sandbox'!G38)&gt;0,"",'Score Sandbox'!G38)</f>
        <v>3</v>
      </c>
      <c r="E18" s="52">
        <f>IF(OR(C18&lt;&gt;1,AF18=0),"",INDEX('Answer Outcomes'!$J$6:$J$350,$AF18))</f>
        <v>1</v>
      </c>
      <c r="F18" s="52">
        <f>IF(OR(C18&lt;&gt;1,AF18=0),"",INDEX('Answer Outcomes'!$K$6:$K$350,$AF18))</f>
        <v>1</v>
      </c>
      <c r="G18" s="53" t="inlineStr">
        <is>
          <t>NONE</t>
        </is>
      </c>
      <c r="H18" s="53" t="inlineStr"/>
      <c r="I18" s="53" t="inlineStr"/>
      <c r="J18" s="53" t="inlineStr"/>
      <c r="K18" s="53" t="inlineStr">
        <is>
          <t>Self-report only</t>
        </is>
      </c>
      <c r="L18" s="52">
        <f>IF(OR(C18&lt;&gt;1,AF18=0),0,IF(G18="LIVE_HARM",'Risk Method'!$B$10,IF(G18="LIVE_ISSUE",MAX(E18,'Risk Method'!$B$9),IF(AND(OR(G18="SYSTEMIC",G18="MATTER_UNCLEAR"),D18&amp;""="3"),0,IF(G18="SYSTEMIC",IF(E18=0,0,MIN('Risk Method'!$B$9,E18+1)),E18)))))</f>
        <v>1</v>
      </c>
      <c r="M18" s="52" t="str">
        <f>IF(C18&lt;&gt;1,"Not assessed",IF(AF18=0,"Incomplete",VLOOKUP(L18,'Risk Method'!$F$6:$H$10,2,FALSE)))</f>
        <v>Low</v>
      </c>
      <c r="N18" s="52">
        <f>IF(OR(C18&lt;&gt;1,AF18=0),0,IF(G18="LIVE_HARM",'Risk Method'!$B$10,IF(G18="NONE",F18,IF(G18="SYSTEMIC",MIN('Risk Method'!$B$9,MAX(F18+1,IF(D18&amp;""="3",'Risk Method'!$B$9,0))),MAX(F18,'Risk Method'!$B$9)))))</f>
        <v>1</v>
      </c>
      <c r="O18" s="52" t="str">
        <f>IF(N18=0,"Not assessed",VLOOKUP(N18,'Risk Method'!$F$6:$H$10,3,FALSE))</f>
        <v>Low</v>
      </c>
      <c r="P18" s="52" t="str">
        <f>IF(OR(C18&lt;&gt;1,AF18=0),"",INDEX('Answer Outcomes'!$E$6:$E$350,$AF18))</f>
        <v>Maintain and test: verify work rights without making assumptions</v>
      </c>
      <c r="Q18" s="52" t="str">
        <f>IF(OR(C18&lt;&gt;1,AF18=0),"",INDEX('Answer Outcomes'!$G$6:$G$350,$AF18))</f>
        <v>Without a reliable work-rights check, the business may allocate work a person is not authorised to perform. Missing evidence does not itself establish an unlawful engagement.</v>
      </c>
      <c r="R18" s="52" t="str">
        <f>IF(OR(C18&lt;&gt;1,AF18=0),"",IF(G18="LIVE_HARM","Protect people and contain the reported exposure now. Seek appropriate urgent assistance and arrange a competent review. Do not wait for this assessment or a sales appointment.",IF(OR(G18="LIVE_ISSUE",AND(G18="SYSTEMIC",D18&amp;""="3")),"Review the reported current matter and reconcile it with the maturity answer before relying on the result. Preserve relevant evidence, allocate an impartial owner and assess immediate safeguards. Context: "&amp;H18,IF(G18="DEADLINE","Confirm the actual deadline and complete the necessary checks before the affected event. "&amp;INDEX('Answer Outcomes'!$M$6:$M$350,$AF18),IF(G18="MATTER_UNCLEAR","Confirm promptly whether the time-sensitive matter exists and who owns the response. Do not treat uncertainty as proof of an incident. "&amp;INDEX('Answer Outcomes'!$M$6:$M$350,$AF18),INDEX('Answer Outcomes'!$M$6:$M$350,$AF18))))))</f>
        <v>Maintain the practice described. At the next relevant review, set relevant expiry or condition reviews and confirm the allocation of work respects any restrictions.</v>
      </c>
      <c r="S18" s="52" t="str">
        <f>IF(OR(C18&lt;&gt;1,AF18=0),"","1. "&amp;INDEX('Answer Outcomes'!$N$6:$N$350,$AF18)&amp;CHAR(10)&amp;"2. "&amp;INDEX('Answer Outcomes'!$O$6:$O$350,$AF18))</f>
        <v>1. Check whether changes in work, people or applicable requirements have made the original process less reliable.
2. Retain the review outcome and act on any new exception. An unresolved live issue overrides this maintenance pathway.</v>
      </c>
      <c r="T18" s="52" t="str">
        <f>IF(OR(C18&lt;&gt;1,AF18=0),"",IF(G18="NONE",INDEX('Answer Outcomes'!$L$6:$L$350,$AF18),"Context "&amp;G18&amp;": "&amp;H18&amp;". Scope: "&amp;I18&amp;". "&amp;IF(G18="DEADLINE","The deadline raises action urgency; it does not establish a breach or automatically raise the risk rating.",IF(D18&amp;""="3","The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8" s="52" t="str">
        <f>IF(OR(C18&lt;&gt;1,AF18=0),"",INDEX('Answer Outcomes'!$Q$6:$Q$350,$AF18))</f>
        <v>A current example of the practice and a proportionate recheck record. A secure verification record and reminders for any restrictions or expiry dates that need action.</v>
      </c>
      <c r="V18" s="52" t="str">
        <f>IF(OR(C18&lt;&gt;1,AF18=0),"",INDEX('Answer Outcomes'!$T$6:$T$350,$AF18))</f>
        <v>Hiring manager / coordinator</v>
      </c>
      <c r="W18" s="52" t="str">
        <f>IF(N18=0,"",IF(N18='Risk Method'!$B$10,"Act now. Immediate protective action and appropriate urgent advice take precedence.",IF(N18='Risk Method'!$B$9,"Review or verify within "&amp;'Risk Method'!$B$11&amp;" business days, or before an earlier duty/event. Do not wait where harm or law requires immediate action.",IF(N18='Risk Method'!$B$8,"Agree and start a plan within "&amp;'Risk Method'!$B$12&amp;" days, or before an earlier affected event.","Maintain at the stated trigger; plan any discretionary improvement within "&amp;'Risk Method'!$B$13&amp;" days.")))&amp;IF(J18="",""," Next event: "&amp;J18))</f>
        <v>Maintain at the stated trigger; plan any discretionary improvement within 90 days.</v>
      </c>
      <c r="X18" s="52" t="str">
        <f>IF(OR(C18&lt;&gt;1,AF18=0),"",INDEX('Answer Outcomes'!$V$6:$V$350,$AF18))</f>
        <v>START_SAFE</v>
      </c>
      <c r="Y18" s="52" t="str">
        <f>IF(C18&lt;&gt;1,"",A18&amp;"_"&amp;D18)</f>
        <v>ONB01_3</v>
      </c>
      <c r="Z18" s="52">
        <f>IF(N18=0,0,N18*100000+L18*1000+INDEX('Answer Outcomes'!$I$6:$I$350,$AF18)*100+IF(G18="DEADLINE",50,0)+(75-ROW())/100)</f>
        <v>101300.57</v>
      </c>
      <c r="AA18" s="52">
        <f>IF(Z18=0,"",RANK(Z18,$Z$6:$Z$74,0))</f>
        <v>10</v>
      </c>
      <c r="AB18" s="52" t="str">
        <f>IF(AND(C18&lt;&gt;0,C18&lt;&gt;1),"Invalid eligibility",IF(AND(C18=0,G18&lt;&gt;"NONE"),"Context conflicts with exclusion",IF(C18=0,"",IF(AF18=0,"Missing or invalid answer",IF(AND(G18&lt;&gt;"NONE",G18&lt;&gt;"LIVE_HARM",G18&lt;&gt;"LIVE_ISSUE",G18&lt;&gt;"DEADLINE",G18&lt;&gt;"SYSTEMIC",G18&lt;&gt;"MATTER_UNCLEAR"),"Invalid context code",IF(AND(G18&lt;&gt;"NONE",OR(H18="",I18="")),"Override needs reason and scope",""))))))</f>
        <v/>
      </c>
      <c r="AC18" s="52" t="str">
        <f>IF(OR(C18&lt;&gt;1,AF18=0),"",INDEX('Answer Outcomes'!$S$6:$S$350,$AF18))</f>
        <v>Before commencement and when relevant conditions or evidence change.</v>
      </c>
      <c r="AD18" s="52" t="str">
        <f>IF(OR(C18&lt;&gt;1,AF18=0),"",INDEX('Answer Outcomes'!$Y$6:$Y$350,$AF18))</f>
        <v>https://immi.homeaffairs.gov.au/visa-conditions-subsite/Pages/Check-conditions-online-vevo.aspx</v>
      </c>
      <c r="AE18" s="37" t="inlineStr">
        <is>
          <t>DAT02</t>
        </is>
      </c>
      <c r="AF18" s="52">
        <f>IF(C18&lt;&gt;1,0,IFERROR(MATCH(Y18,'Answer Outcomes'!$A$6:$A$350,0),0))</f>
        <v>64</v>
      </c>
      <c r="AG18" s="52">
        <f>IF(N18&lt;'Risk Method'!$B$8,0,IF(COUNTIFS($X$6:$X$74,X18,$Z$6:$Z$74,"&gt;"&amp;Z18)=0,Z18,0))</f>
        <v>0</v>
      </c>
      <c r="AH18" s="52" t="str">
        <f>IF(AG18=0,"",RANK(AG18,$AG$6:$AG$74,0))</f>
        <v/>
      </c>
      <c r="AI18" s="52">
        <f>IF(LEN(AB18)&gt;0,1,0)</f>
        <v>0</v>
      </c>
    </row>
    <row r="19" ht="44" customHeight="1">
      <c r="A19" s="38" t="inlineStr">
        <is>
          <t>ONB02</t>
        </is>
      </c>
      <c r="B19" s="38" t="inlineStr">
        <is>
          <t>ONB</t>
        </is>
      </c>
      <c r="C19" s="54">
        <f>'Score Sandbox'!F39</f>
        <v>1</v>
      </c>
      <c r="D19" s="54">
        <f>IF(COUNTBLANK('Score Sandbox'!G39)&gt;0,"",'Score Sandbox'!G39)</f>
        <v>3</v>
      </c>
      <c r="E19" s="54">
        <f>IF(OR(C19&lt;&gt;1,AF19=0),"",INDEX('Answer Outcomes'!$J$6:$J$350,$AF19))</f>
        <v>1</v>
      </c>
      <c r="F19" s="54">
        <f>IF(OR(C19&lt;&gt;1,AF19=0),"",INDEX('Answer Outcomes'!$K$6:$K$350,$AF19))</f>
        <v>1</v>
      </c>
      <c r="G19" s="53" t="inlineStr">
        <is>
          <t>NONE</t>
        </is>
      </c>
      <c r="H19" s="53" t="inlineStr"/>
      <c r="I19" s="53" t="inlineStr"/>
      <c r="J19" s="53" t="inlineStr"/>
      <c r="K19" s="53" t="inlineStr">
        <is>
          <t>Self-report only</t>
        </is>
      </c>
      <c r="L19" s="54">
        <f>IF(OR(C19&lt;&gt;1,AF19=0),0,IF(G19="LIVE_HARM",'Risk Method'!$B$10,IF(G19="LIVE_ISSUE",MAX(E19,'Risk Method'!$B$9),IF(AND(OR(G19="SYSTEMIC",G19="MATTER_UNCLEAR"),D19&amp;""="3"),0,IF(G19="SYSTEMIC",IF(E19=0,0,MIN('Risk Method'!$B$9,E19+1)),E19)))))</f>
        <v>1</v>
      </c>
      <c r="M19" s="54" t="str">
        <f>IF(C19&lt;&gt;1,"Not assessed",IF(AF19=0,"Incomplete",VLOOKUP(L19,'Risk Method'!$F$6:$H$10,2,FALSE)))</f>
        <v>Low</v>
      </c>
      <c r="N19" s="54">
        <f>IF(OR(C19&lt;&gt;1,AF19=0),0,IF(G19="LIVE_HARM",'Risk Method'!$B$10,IF(G19="NONE",F19,IF(G19="SYSTEMIC",MIN('Risk Method'!$B$9,MAX(F19+1,IF(D19&amp;""="3",'Risk Method'!$B$9,0))),MAX(F19,'Risk Method'!$B$9)))))</f>
        <v>1</v>
      </c>
      <c r="O19" s="54" t="str">
        <f>IF(N19=0,"Not assessed",VLOOKUP(N19,'Risk Method'!$F$6:$H$10,3,FALSE))</f>
        <v>Low</v>
      </c>
      <c r="P19" s="54" t="str">
        <f>IF(OR(C19&lt;&gt;1,AF19=0),"",INDEX('Answer Outcomes'!$E$6:$E$350,$AF19))</f>
        <v>Maintain and test: confirm statements are delivered, not merely stored</v>
      </c>
      <c r="Q19" s="54" t="str">
        <f>IF(OR(C19&lt;&gt;1,AF19=0),"",INDEX('Answer Outcomes'!$G$6:$G$350,$AF19))</f>
        <v>A contract pack may not deliver every required information statement at the right time.</v>
      </c>
      <c r="R19" s="54" t="str">
        <f>IF(OR(C19&lt;&gt;1,AF19=0),"",IF(G19="LIVE_HARM","Protect people and contain the reported exposure now. Seek appropriate urgent assistance and arrange a competent review. Do not wait for this assessment or a sales appointment.",IF(OR(G19="LIVE_ISSUE",AND(G19="SYSTEMIC",D19&amp;""="3")),"Review the reported current matter and reconcile it with the maturity answer before relying on the result. Preserve relevant evidence, allocate an impartial owner and assess immediate safeguards. Context: "&amp;H19,IF(G19="DEADLINE","Confirm the actual deadline and complete the necessary checks before the affected event. "&amp;INDEX('Answer Outcomes'!$M$6:$M$350,$AF19),IF(G19="MATTER_UNCLEAR","Confirm promptly whether the time-sensitive matter exists and who owns the response. Do not treat uncertainty as proof of an incident. "&amp;INDEX('Answer Outcomes'!$M$6:$M$350,$AF19),INDEX('Answer Outcomes'!$M$6:$M$350,$AF19))))))</f>
        <v>Maintain the practice described. At the next relevant review, check a recent starter file for the actual version and delivery record, not merely a tick against the onboarding task.</v>
      </c>
      <c r="S19" s="54" t="str">
        <f>IF(OR(C19&lt;&gt;1,AF19=0),"","1. "&amp;INDEX('Answer Outcomes'!$N$6:$N$350,$AF19)&amp;CHAR(10)&amp;"2. "&amp;INDEX('Answer Outcomes'!$O$6:$O$350,$AF19))</f>
        <v>1. Check whether changes in work, people or applicable requirements have made the original process less reliable.
2. Retain the review outcome and act on any new exception. An unresolved live issue overrides this maintenance pathway.</v>
      </c>
      <c r="T19" s="54" t="str">
        <f>IF(OR(C19&lt;&gt;1,AF19=0),"",IF(G19="NONE",INDEX('Answer Outcomes'!$L$6:$L$350,$AF19),"Context "&amp;G19&amp;": "&amp;H19&amp;". Scope: "&amp;I19&amp;". "&amp;IF(G19="DEADLINE","The deadline raises action urgency; it does not establish a breach or automatically raise the risk rating.",IF(D19&amp;""="3","The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19" s="54" t="str">
        <f>IF(OR(C19&lt;&gt;1,AF19=0),"",INDEX('Answer Outcomes'!$Q$6:$Q$350,$AF19))</f>
        <v>A current example of the practice and a proportionate recheck record. An onboarding delivery record, with additional reminders where the employment type requires them.</v>
      </c>
      <c r="V19" s="54" t="str">
        <f>IF(OR(C19&lt;&gt;1,AF19=0),"",INDEX('Answer Outcomes'!$T$6:$T$350,$AF19))</f>
        <v>Hiring manager / coordinator</v>
      </c>
      <c r="W19" s="54" t="str">
        <f>IF(N19=0,"",IF(N19='Risk Method'!$B$10,"Act now. Immediate protective action and appropriate urgent advice take precedence.",IF(N19='Risk Method'!$B$9,"Review or verify within "&amp;'Risk Method'!$B$11&amp;" business days, or before an earlier duty/event. Do not wait where harm or law requires immediate action.",IF(N19='Risk Method'!$B$8,"Agree and start a plan within "&amp;'Risk Method'!$B$12&amp;" days, or before an earlier affected event.","Maintain at the stated trigger; plan any discretionary improvement within "&amp;'Risk Method'!$B$13&amp;" days.")))&amp;IF(J19="",""," Next event: "&amp;J19))</f>
        <v>Maintain at the stated trigger; plan any discretionary improvement within 90 days.</v>
      </c>
      <c r="X19" s="54" t="str">
        <f>IF(OR(C19&lt;&gt;1,AF19=0),"",INDEX('Answer Outcomes'!$V$6:$V$350,$AF19))</f>
        <v>START_SAFE</v>
      </c>
      <c r="Y19" s="54" t="str">
        <f>IF(C19&lt;&gt;1,"",A19&amp;"_"&amp;D19)</f>
        <v>ONB02_3</v>
      </c>
      <c r="Z19" s="54">
        <f>IF(N19=0,0,N19*100000+L19*1000+INDEX('Answer Outcomes'!$I$6:$I$350,$AF19)*100+IF(G19="DEADLINE",50,0)+(75-ROW())/100)</f>
        <v>101200.56</v>
      </c>
      <c r="AA19" s="54">
        <f>IF(Z19=0,"",RANK(Z19,$Z$6:$Z$74,0))</f>
        <v>34</v>
      </c>
      <c r="AB19" s="54" t="str">
        <f>IF(AND(C19&lt;&gt;0,C19&lt;&gt;1),"Invalid eligibility",IF(AND(C19=0,G19&lt;&gt;"NONE"),"Context conflicts with exclusion",IF(C19=0,"",IF(AF19=0,"Missing or invalid answer",IF(AND(G19&lt;&gt;"NONE",G19&lt;&gt;"LIVE_HARM",G19&lt;&gt;"LIVE_ISSUE",G19&lt;&gt;"DEADLINE",G19&lt;&gt;"SYSTEMIC",G19&lt;&gt;"MATTER_UNCLEAR"),"Invalid context code",IF(AND(G19&lt;&gt;"NONE",OR(H19="",I19="")),"Override needs reason and scope",""))))))</f>
        <v/>
      </c>
      <c r="AC19" s="54" t="str">
        <f>IF(OR(C19&lt;&gt;1,AF19=0),"",INDEX('Answer Outcomes'!$S$6:$S$350,$AF19))</f>
        <v>New starters and revised statement versions.</v>
      </c>
      <c r="AD19" s="54" t="str">
        <f>IF(OR(C19&lt;&gt;1,AF19=0),"",INDEX('Answer Outcomes'!$Y$6:$Y$350,$AF19))</f>
        <v>https://www.fairwork.gov.au/employment-conditions/information-statements/casual-employment-information-statement
https://www.fairwork.gov.au/starting-employment/types-of-employees/fixed-term-contract-employees
https://www.fairwork.gov.au/tools-and-resources/fact-sheets/rights-and-obligations/record-keeping-pay-slips</v>
      </c>
      <c r="AE19" s="38" t="inlineStr">
        <is>
          <t>CON02</t>
        </is>
      </c>
      <c r="AF19" s="54">
        <f>IF(C19&lt;&gt;1,0,IFERROR(MATCH(Y19,'Answer Outcomes'!$A$6:$A$350,0),0))</f>
        <v>69</v>
      </c>
      <c r="AG19" s="54">
        <f>IF(N19&lt;'Risk Method'!$B$8,0,IF(COUNTIFS($X$6:$X$74,X19,$Z$6:$Z$74,"&gt;"&amp;Z19)=0,Z19,0))</f>
        <v>0</v>
      </c>
      <c r="AH19" s="54" t="str">
        <f>IF(AG19=0,"",RANK(AG19,$AG$6:$AG$74,0))</f>
        <v/>
      </c>
      <c r="AI19" s="54">
        <f>IF(LEN(AB19)&gt;0,1,0)</f>
        <v>0</v>
      </c>
    </row>
    <row r="20" ht="44" customHeight="1">
      <c r="A20" s="37" t="inlineStr">
        <is>
          <t>ONB03</t>
        </is>
      </c>
      <c r="B20" s="37" t="inlineStr">
        <is>
          <t>ONB</t>
        </is>
      </c>
      <c r="C20" s="52">
        <f>'Score Sandbox'!F40</f>
        <v>1</v>
      </c>
      <c r="D20" s="52">
        <f>IF(COUNTBLANK('Score Sandbox'!G40)&gt;0,"",'Score Sandbox'!G40)</f>
        <v>3</v>
      </c>
      <c r="E20" s="52">
        <f>IF(OR(C20&lt;&gt;1,AF20=0),"",INDEX('Answer Outcomes'!$J$6:$J$350,$AF20))</f>
        <v>1</v>
      </c>
      <c r="F20" s="52">
        <f>IF(OR(C20&lt;&gt;1,AF20=0),"",INDEX('Answer Outcomes'!$K$6:$K$350,$AF20))</f>
        <v>1</v>
      </c>
      <c r="G20" s="53" t="inlineStr">
        <is>
          <t>NONE</t>
        </is>
      </c>
      <c r="H20" s="53" t="inlineStr"/>
      <c r="I20" s="53" t="inlineStr"/>
      <c r="J20" s="53" t="inlineStr"/>
      <c r="K20" s="53" t="inlineStr">
        <is>
          <t>Self-report only</t>
        </is>
      </c>
      <c r="L20" s="52">
        <f>IF(OR(C20&lt;&gt;1,AF20=0),0,IF(G20="LIVE_HARM",'Risk Method'!$B$10,IF(G20="LIVE_ISSUE",MAX(E20,'Risk Method'!$B$9),IF(AND(OR(G20="SYSTEMIC",G20="MATTER_UNCLEAR"),D20&amp;""="3"),0,IF(G20="SYSTEMIC",IF(E20=0,0,MIN('Risk Method'!$B$9,E20+1)),E20)))))</f>
        <v>1</v>
      </c>
      <c r="M20" s="52" t="str">
        <f>IF(C20&lt;&gt;1,"Not assessed",IF(AF20=0,"Incomplete",VLOOKUP(L20,'Risk Method'!$F$6:$H$10,2,FALSE)))</f>
        <v>Low</v>
      </c>
      <c r="N20" s="52">
        <f>IF(OR(C20&lt;&gt;1,AF20=0),0,IF(G20="LIVE_HARM",'Risk Method'!$B$10,IF(G20="NONE",F20,IF(G20="SYSTEMIC",MIN('Risk Method'!$B$9,MAX(F20+1,IF(D20&amp;""="3",'Risk Method'!$B$9,0))),MAX(F20,'Risk Method'!$B$9)))))</f>
        <v>1</v>
      </c>
      <c r="O20" s="52" t="str">
        <f>IF(N20=0,"Not assessed",VLOOKUP(N20,'Risk Method'!$F$6:$H$10,3,FALSE))</f>
        <v>Low</v>
      </c>
      <c r="P20" s="52" t="str">
        <f>IF(OR(C20&lt;&gt;1,AF20=0),"",INDEX('Answer Outcomes'!$E$6:$E$350,$AF20))</f>
        <v>Maintain and test: turn induction into a supported start</v>
      </c>
      <c r="Q20" s="52" t="str">
        <f>IF(OR(C20&lt;&gt;1,AF20=0),"",INDEX('Answer Outcomes'!$G$6:$G$350,$AF20))</f>
        <v>A completed induction checklist does not establish that a person can safely perform the work or knows when to ask for help.</v>
      </c>
      <c r="R20" s="52" t="str">
        <f>IF(OR(C20&lt;&gt;1,AF20=0),"",IF(G20="LIVE_HARM","Protect people and contain the reported exposure now. Seek appropriate urgent assistance and arrange a competent review. Do not wait for this assessment or a sales appointment.",IF(OR(G20="LIVE_ISSUE",AND(G20="SYSTEMIC",D20&amp;""="3")),"Review the reported current matter and reconcile it with the maturity answer before relying on the result. Preserve relevant evidence, allocate an impartial owner and assess immediate safeguards. Context: "&amp;H20,IF(G20="DEADLINE","Confirm the actual deadline and complete the necessary checks before the affected event. "&amp;INDEX('Answer Outcomes'!$M$6:$M$350,$AF20),IF(G20="MATTER_UNCLEAR","Confirm promptly whether the time-sensitive matter exists and who owns the response. Do not treat uncertainty as proof of an incident. "&amp;INDEX('Answer Outcomes'!$M$6:$M$350,$AF20),INDEX('Answer Outcomes'!$M$6:$M$350,$AF20))))))</f>
        <v>Maintain the practice described. At the next relevant review, ask the starter to explain or demonstrate critical tasks and reporting routes; address any gap before unsupported work.</v>
      </c>
      <c r="S20" s="52" t="str">
        <f>IF(OR(C20&lt;&gt;1,AF20=0),"","1. "&amp;INDEX('Answer Outcomes'!$N$6:$N$350,$AF20)&amp;CHAR(10)&amp;"2. "&amp;INDEX('Answer Outcomes'!$O$6:$O$350,$AF20))</f>
        <v>1. Check whether changes in work, people or applicable requirements have made the original process less reliable.
2. Retain the review outcome and act on any new exception. An unresolved live issue overrides this maintenance pathway.</v>
      </c>
      <c r="T20" s="52" t="str">
        <f>IF(OR(C20&lt;&gt;1,AF20=0),"",IF(G20="NONE",INDEX('Answer Outcomes'!$L$6:$L$350,$AF20),"Context "&amp;G20&amp;": "&amp;H20&amp;". Scope: "&amp;I20&amp;". "&amp;IF(G20="DEADLINE","The deadline raises action urgency; it does not establish a breach or automatically raise the risk rating.",IF(D20&amp;""="3","The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0" s="52" t="str">
        <f>IF(OR(C20&lt;&gt;1,AF20=0),"",INDEX('Answer Outcomes'!$Q$6:$Q$350,$AF20))</f>
        <v>A current example of the practice and a proportionate recheck record. The new starter has completed the role-relevant induction, demonstrated the required understanding or capability and received follow-up support. Unresolved safety or capability restrictions remain active until addressed.</v>
      </c>
      <c r="V20" s="52" t="str">
        <f>IF(OR(C20&lt;&gt;1,AF20=0),"",INDEX('Answer Outcomes'!$T$6:$T$350,$AF20))</f>
        <v>Hiring manager / coordinator</v>
      </c>
      <c r="W20" s="52" t="str">
        <f>IF(N20=0,"",IF(N20='Risk Method'!$B$10,"Act now. Immediate protective action and appropriate urgent advice take precedence.",IF(N20='Risk Method'!$B$9,"Review or verify within "&amp;'Risk Method'!$B$11&amp;" business days, or before an earlier duty/event. Do not wait where harm or law requires immediate action.",IF(N20='Risk Method'!$B$8,"Agree and start a plan within "&amp;'Risk Method'!$B$12&amp;" days, or before an earlier affected event.","Maintain at the stated trigger; plan any discretionary improvement within "&amp;'Risk Method'!$B$13&amp;" days.")))&amp;IF(J20="",""," Next event: "&amp;J20))</f>
        <v>Maintain at the stated trigger; plan any discretionary improvement within 90 days.</v>
      </c>
      <c r="X20" s="52" t="str">
        <f>IF(OR(C20&lt;&gt;1,AF20=0),"",INDEX('Answer Outcomes'!$V$6:$V$350,$AF20))</f>
        <v>START_SAFE</v>
      </c>
      <c r="Y20" s="52" t="str">
        <f>IF(C20&lt;&gt;1,"",A20&amp;"_"&amp;D20)</f>
        <v>ONB03_3</v>
      </c>
      <c r="Z20" s="52">
        <f>IF(N20=0,0,N20*100000+L20*1000+INDEX('Answer Outcomes'!$I$6:$I$350,$AF20)*100+IF(G20="DEADLINE",50,0)+(75-ROW())/100)</f>
        <v>101300.55</v>
      </c>
      <c r="AA20" s="52">
        <f>IF(Z20=0,"",RANK(Z20,$Z$6:$Z$74,0))</f>
        <v>11</v>
      </c>
      <c r="AB20" s="52" t="str">
        <f>IF(AND(C20&lt;&gt;0,C20&lt;&gt;1),"Invalid eligibility",IF(AND(C20=0,G20&lt;&gt;"NONE"),"Context conflicts with exclusion",IF(C20=0,"",IF(AF20=0,"Missing or invalid answer",IF(AND(G20&lt;&gt;"NONE",G20&lt;&gt;"LIVE_HARM",G20&lt;&gt;"LIVE_ISSUE",G20&lt;&gt;"DEADLINE",G20&lt;&gt;"SYSTEMIC",G20&lt;&gt;"MATTER_UNCLEAR"),"Invalid context code",IF(AND(G20&lt;&gt;"NONE",OR(H20="",I20="")),"Override needs reason and scope",""))))))</f>
        <v/>
      </c>
      <c r="AC20" s="52" t="str">
        <f>IF(OR(C20&lt;&gt;1,AF20=0),"",INDEX('Answer Outcomes'!$S$6:$S$350,$AF20))</f>
        <v>A new starter, unfamiliar task or early incident.</v>
      </c>
      <c r="AD20" s="52" t="str">
        <f>IF(OR(C20&lt;&gt;1,AF20=0),"",INDEX('Answer Outcomes'!$Y$6:$Y$350,$AF20))</f>
        <v>https://www.safeworkaustralia.gov.au/safety-topic/managing-health-and-safety/identify-assess-and-control-hazards/managing-risks
https://www.fairwork.gov.au/sites/default/files/migration/711/managing-underperformance-best-practice-guide.pdf</v>
      </c>
      <c r="AE20" s="37" t="inlineStr">
        <is>
          <t>REC01;WHS01</t>
        </is>
      </c>
      <c r="AF20" s="52">
        <f>IF(C20&lt;&gt;1,0,IFERROR(MATCH(Y20,'Answer Outcomes'!$A$6:$A$350,0),0))</f>
        <v>74</v>
      </c>
      <c r="AG20" s="52">
        <f>IF(N20&lt;'Risk Method'!$B$8,0,IF(COUNTIFS($X$6:$X$74,X20,$Z$6:$Z$74,"&gt;"&amp;Z20)=0,Z20,0))</f>
        <v>0</v>
      </c>
      <c r="AH20" s="52" t="str">
        <f>IF(AG20=0,"",RANK(AG20,$AG$6:$AG$74,0))</f>
        <v/>
      </c>
      <c r="AI20" s="52">
        <f>IF(LEN(AB20)&gt;0,1,0)</f>
        <v>0</v>
      </c>
    </row>
    <row r="21" ht="44" customHeight="1">
      <c r="A21" s="38" t="inlineStr">
        <is>
          <t>POL01</t>
        </is>
      </c>
      <c r="B21" s="38" t="inlineStr">
        <is>
          <t>POL</t>
        </is>
      </c>
      <c r="C21" s="54">
        <f>'Score Sandbox'!F41</f>
        <v>1</v>
      </c>
      <c r="D21" s="54">
        <f>IF(COUNTBLANK('Score Sandbox'!G41)&gt;0,"",'Score Sandbox'!G41)</f>
        <v>3</v>
      </c>
      <c r="E21" s="54">
        <f>IF(OR(C21&lt;&gt;1,AF21=0),"",INDEX('Answer Outcomes'!$J$6:$J$350,$AF21))</f>
        <v>1</v>
      </c>
      <c r="F21" s="54">
        <f>IF(OR(C21&lt;&gt;1,AF21=0),"",INDEX('Answer Outcomes'!$K$6:$K$350,$AF21))</f>
        <v>1</v>
      </c>
      <c r="G21" s="53" t="inlineStr">
        <is>
          <t>NONE</t>
        </is>
      </c>
      <c r="H21" s="53" t="inlineStr"/>
      <c r="I21" s="53" t="inlineStr"/>
      <c r="J21" s="53" t="inlineStr"/>
      <c r="K21" s="53" t="inlineStr">
        <is>
          <t>Self-report only</t>
        </is>
      </c>
      <c r="L21" s="54">
        <f>IF(OR(C21&lt;&gt;1,AF21=0),0,IF(G21="LIVE_HARM",'Risk Method'!$B$10,IF(G21="LIVE_ISSUE",MAX(E21,'Risk Method'!$B$9),IF(AND(OR(G21="SYSTEMIC",G21="MATTER_UNCLEAR"),D21&amp;""="3"),0,IF(G21="SYSTEMIC",IF(E21=0,0,MIN('Risk Method'!$B$9,E21+1)),E21)))))</f>
        <v>1</v>
      </c>
      <c r="M21" s="54" t="str">
        <f>IF(C21&lt;&gt;1,"Not assessed",IF(AF21=0,"Incomplete",VLOOKUP(L21,'Risk Method'!$F$6:$H$10,2,FALSE)))</f>
        <v>Low</v>
      </c>
      <c r="N21" s="54">
        <f>IF(OR(C21&lt;&gt;1,AF21=0),0,IF(G21="LIVE_HARM",'Risk Method'!$B$10,IF(G21="NONE",F21,IF(G21="SYSTEMIC",MIN('Risk Method'!$B$9,MAX(F21+1,IF(D21&amp;""="3",'Risk Method'!$B$9,0))),MAX(F21,'Risk Method'!$B$9)))))</f>
        <v>1</v>
      </c>
      <c r="O21" s="54" t="str">
        <f>IF(N21=0,"Not assessed",VLOOKUP(N21,'Risk Method'!$F$6:$H$10,3,FALSE))</f>
        <v>Low</v>
      </c>
      <c r="P21" s="54" t="str">
        <f>IF(OR(C21&lt;&gt;1,AF21=0),"",INDEX('Answer Outcomes'!$E$6:$E$350,$AF21))</f>
        <v>Maintain and test: keep the policies that help people make the right decision</v>
      </c>
      <c r="Q21" s="54" t="str">
        <f>IF(OR(C21&lt;&gt;1,AF21=0),"",INDEX('Answer Outcomes'!$G$6:$G$350,$AF21))</f>
        <v>Generic or inaccessible policies can leave employees and managers without a reliable guide to important decisions.</v>
      </c>
      <c r="R21" s="54" t="str">
        <f>IF(OR(C21&lt;&gt;1,AF21=0),"",IF(G21="LIVE_HARM","Protect people and contain the reported exposure now. Seek appropriate urgent assistance and arrange a competent review. Do not wait for this assessment or a sales appointment.",IF(OR(G21="LIVE_ISSUE",AND(G21="SYSTEMIC",D21&amp;""="3")),"Review the reported current matter and reconcile it with the maturity answer before relying on the result. Preserve relevant evidence, allocate an impartial owner and assess immediate safeguards. Context: "&amp;H21,IF(G21="DEADLINE","Confirm the actual deadline and complete the necessary checks before the affected event. "&amp;INDEX('Answer Outcomes'!$M$6:$M$350,$AF21),IF(G21="MATTER_UNCLEAR","Confirm promptly whether the time-sensitive matter exists and who owns the response. Do not treat uncertainty as proof of an incident. "&amp;INDEX('Answer Outcomes'!$M$6:$M$350,$AF21),INDEX('Answer Outcomes'!$M$6:$M$350,$AF21))))))</f>
        <v>Maintain the practice described. At the next relevant review, test whether a worker and a manager can find the current policy and explain what they would do in a realistic situation.</v>
      </c>
      <c r="S21" s="54" t="str">
        <f>IF(OR(C21&lt;&gt;1,AF21=0),"","1. "&amp;INDEX('Answer Outcomes'!$N$6:$N$350,$AF21)&amp;CHAR(10)&amp;"2. "&amp;INDEX('Answer Outcomes'!$O$6:$O$350,$AF21))</f>
        <v>1. Check whether changes in work, people or applicable requirements have made the original process less reliable.
2. Retain the review outcome and act on any new exception. An unresolved live issue overrides this maintenance pathway.</v>
      </c>
      <c r="T21" s="54" t="str">
        <f>IF(OR(C21&lt;&gt;1,AF21=0),"",IF(G21="NONE",INDEX('Answer Outcomes'!$L$6:$L$350,$AF21),"Context "&amp;G21&amp;": "&amp;H21&amp;". Scope: "&amp;I21&amp;". "&amp;IF(G21="DEADLINE","The deadline raises action urgency; it does not establish a breach or automatically raise the risk rating.",IF(D21&amp;""="3","The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1" s="54" t="str">
        <f>IF(OR(C21&lt;&gt;1,AF21=0),"",INDEX('Answer Outcomes'!$Q$6:$Q$350,$AF21))</f>
        <v>A current example of the practice and a proportionate recheck record. A proportionate policy register with owners, current versions and accessible locations.</v>
      </c>
      <c r="V21" s="54" t="str">
        <f>IF(OR(C21&lt;&gt;1,AF21=0),"",INDEX('Answer Outcomes'!$T$6:$T$350,$AF21))</f>
        <v>Owner / HR lead</v>
      </c>
      <c r="W21" s="54" t="str">
        <f>IF(N21=0,"",IF(N21='Risk Method'!$B$10,"Act now. Immediate protective action and appropriate urgent advice take precedence.",IF(N21='Risk Method'!$B$9,"Review or verify within "&amp;'Risk Method'!$B$11&amp;" business days, or before an earlier duty/event. Do not wait where harm or law requires immediate action.",IF(N21='Risk Method'!$B$8,"Agree and start a plan within "&amp;'Risk Method'!$B$12&amp;" days, or before an earlier affected event.","Maintain at the stated trigger; plan any discretionary improvement within "&amp;'Risk Method'!$B$13&amp;" days.")))&amp;IF(J21="",""," Next event: "&amp;J21))</f>
        <v>Maintain at the stated trigger; plan any discretionary improvement within 90 days.</v>
      </c>
      <c r="X21" s="54" t="str">
        <f>IF(OR(C21&lt;&gt;1,AF21=0),"",INDEX('Answer Outcomes'!$V$6:$V$350,$AF21))</f>
        <v>POLICY</v>
      </c>
      <c r="Y21" s="54" t="str">
        <f>IF(C21&lt;&gt;1,"",A21&amp;"_"&amp;D21)</f>
        <v>POL01_3</v>
      </c>
      <c r="Z21" s="54">
        <f>IF(N21=0,0,N21*100000+L21*1000+INDEX('Answer Outcomes'!$I$6:$I$350,$AF21)*100+IF(G21="DEADLINE",50,0)+(75-ROW())/100)</f>
        <v>101200.54</v>
      </c>
      <c r="AA21" s="54">
        <f>IF(Z21=0,"",RANK(Z21,$Z$6:$Z$74,0))</f>
        <v>35</v>
      </c>
      <c r="AB21" s="54" t="str">
        <f>IF(AND(C21&lt;&gt;0,C21&lt;&gt;1),"Invalid eligibility",IF(AND(C21=0,G21&lt;&gt;"NONE"),"Context conflicts with exclusion",IF(C21=0,"",IF(AF21=0,"Missing or invalid answer",IF(AND(G21&lt;&gt;"NONE",G21&lt;&gt;"LIVE_HARM",G21&lt;&gt;"LIVE_ISSUE",G21&lt;&gt;"DEADLINE",G21&lt;&gt;"SYSTEMIC",G21&lt;&gt;"MATTER_UNCLEAR"),"Invalid context code",IF(AND(G21&lt;&gt;"NONE",OR(H21="",I21="")),"Override needs reason and scope",""))))))</f>
        <v/>
      </c>
      <c r="AC21" s="54" t="str">
        <f>IF(OR(C21&lt;&gt;1,AF21=0),"",INDEX('Answer Outcomes'!$S$6:$S$350,$AF21))</f>
        <v>Changed work, law, workforce or repeated uncertainty about a process.</v>
      </c>
      <c r="AD21" s="54" t="str">
        <f>IF(OR(C21&lt;&gt;1,AF21=0),"",INDEX('Answer Outcomes'!$Y$6:$Y$350,$AF21))</f>
        <v>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v>
      </c>
      <c r="AE21" s="38" t="inlineStr">
        <is>
          <t>None</t>
        </is>
      </c>
      <c r="AF21" s="54">
        <f>IF(C21&lt;&gt;1,0,IFERROR(MATCH(Y21,'Answer Outcomes'!$A$6:$A$350,0),0))</f>
        <v>79</v>
      </c>
      <c r="AG21" s="54">
        <f>IF(N21&lt;'Risk Method'!$B$8,0,IF(COUNTIFS($X$6:$X$74,X21,$Z$6:$Z$74,"&gt;"&amp;Z21)=0,Z21,0))</f>
        <v>0</v>
      </c>
      <c r="AH21" s="54" t="str">
        <f>IF(AG21=0,"",RANK(AG21,$AG$6:$AG$74,0))</f>
        <v/>
      </c>
      <c r="AI21" s="54">
        <f>IF(LEN(AB21)&gt;0,1,0)</f>
        <v>0</v>
      </c>
    </row>
    <row r="22" ht="44" customHeight="1">
      <c r="A22" s="37" t="inlineStr">
        <is>
          <t>POL02</t>
        </is>
      </c>
      <c r="B22" s="37" t="inlineStr">
        <is>
          <t>POL</t>
        </is>
      </c>
      <c r="C22" s="52">
        <f>'Score Sandbox'!F42</f>
        <v>1</v>
      </c>
      <c r="D22" s="52">
        <f>IF(COUNTBLANK('Score Sandbox'!G42)&gt;0,"",'Score Sandbox'!G42)</f>
        <v>3</v>
      </c>
      <c r="E22" s="52">
        <f>IF(OR(C22&lt;&gt;1,AF22=0),"",INDEX('Answer Outcomes'!$J$6:$J$350,$AF22))</f>
        <v>1</v>
      </c>
      <c r="F22" s="52">
        <f>IF(OR(C22&lt;&gt;1,AF22=0),"",INDEX('Answer Outcomes'!$K$6:$K$350,$AF22))</f>
        <v>1</v>
      </c>
      <c r="G22" s="53" t="inlineStr">
        <is>
          <t>NONE</t>
        </is>
      </c>
      <c r="H22" s="53" t="inlineStr"/>
      <c r="I22" s="53" t="inlineStr"/>
      <c r="J22" s="53" t="inlineStr"/>
      <c r="K22" s="53" t="inlineStr">
        <is>
          <t>Self-report only</t>
        </is>
      </c>
      <c r="L22" s="52">
        <f>IF(OR(C22&lt;&gt;1,AF22=0),0,IF(G22="LIVE_HARM",'Risk Method'!$B$10,IF(G22="LIVE_ISSUE",MAX(E22,'Risk Method'!$B$9),IF(AND(OR(G22="SYSTEMIC",G22="MATTER_UNCLEAR"),D22&amp;""="3"),0,IF(G22="SYSTEMIC",IF(E22=0,0,MIN('Risk Method'!$B$9,E22+1)),E22)))))</f>
        <v>1</v>
      </c>
      <c r="M22" s="52" t="str">
        <f>IF(C22&lt;&gt;1,"Not assessed",IF(AF22=0,"Incomplete",VLOOKUP(L22,'Risk Method'!$F$6:$H$10,2,FALSE)))</f>
        <v>Low</v>
      </c>
      <c r="N22" s="52">
        <f>IF(OR(C22&lt;&gt;1,AF22=0),0,IF(G22="LIVE_HARM",'Risk Method'!$B$10,IF(G22="NONE",F22,IF(G22="SYSTEMIC",MIN('Risk Method'!$B$9,MAX(F22+1,IF(D22&amp;""="3",'Risk Method'!$B$9,0))),MAX(F22,'Risk Method'!$B$9)))))</f>
        <v>1</v>
      </c>
      <c r="O22" s="52" t="str">
        <f>IF(N22=0,"Not assessed",VLOOKUP(N22,'Risk Method'!$F$6:$H$10,3,FALSE))</f>
        <v>Low</v>
      </c>
      <c r="P22" s="52" t="str">
        <f>IF(OR(C22&lt;&gt;1,AF22=0),"",INDEX('Answer Outcomes'!$E$6:$E$350,$AF22))</f>
        <v>Maintain and test: check the distance between the policy and daily practice</v>
      </c>
      <c r="Q22" s="52" t="str">
        <f>IF(OR(C22&lt;&gt;1,AF22=0),"",INDEX('Answer Outcomes'!$G$6:$G$350,$AF22))</f>
        <v>Rules applied selectively can weaken trust and leave decisions difficult to defend, including when a senior employee is involved.</v>
      </c>
      <c r="R22" s="52" t="str">
        <f>IF(OR(C22&lt;&gt;1,AF22=0),"",IF(G22="LIVE_HARM","Protect people and contain the reported exposure now. Seek appropriate urgent assistance and arrange a competent review. Do not wait for this assessment or a sales appointment.",IF(OR(G22="LIVE_ISSUE",AND(G22="SYSTEMIC",D22&amp;""="3")),"Review the reported current matter and reconcile it with the maturity answer before relying on the result. Preserve relevant evidence, allocate an impartial owner and assess immediate safeguards. Context: "&amp;H22,IF(G22="DEADLINE","Confirm the actual deadline and complete the necessary checks before the affected event. "&amp;INDEX('Answer Outcomes'!$M$6:$M$350,$AF22),IF(G22="MATTER_UNCLEAR","Confirm promptly whether the time-sensitive matter exists and who owns the response. Do not treat uncertainty as proof of an incident. "&amp;INDEX('Answer Outcomes'!$M$6:$M$350,$AF22),INDEX('Answer Outcomes'!$M$6:$M$350,$AF22))))))</f>
        <v>Maintain the practice described. At the next relevant review, address unexplained variation and check later decisions for improved consistency.</v>
      </c>
      <c r="S22" s="52" t="str">
        <f>IF(OR(C22&lt;&gt;1,AF22=0),"","1. "&amp;INDEX('Answer Outcomes'!$N$6:$N$350,$AF22)&amp;CHAR(10)&amp;"2. "&amp;INDEX('Answer Outcomes'!$O$6:$O$350,$AF22))</f>
        <v>1. Check whether changes in work, people or applicable requirements have made the original process less reliable.
2. Retain the review outcome and act on any new exception. An unresolved live issue overrides this maintenance pathway.</v>
      </c>
      <c r="T22" s="52" t="str">
        <f>IF(OR(C22&lt;&gt;1,AF22=0),"",IF(G22="NONE",INDEX('Answer Outcomes'!$L$6:$L$350,$AF22),"Context "&amp;G22&amp;": "&amp;H22&amp;". Scope: "&amp;I22&amp;". "&amp;IF(G22="DEADLINE","The deadline raises action urgency; it does not establish a breach or automatically raise the risk rating.",IF(D22&amp;""="3","The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2" s="52" t="str">
        <f>IF(OR(C22&lt;&gt;1,AF22=0),"",INDEX('Answer Outcomes'!$Q$6:$Q$350,$AF22))</f>
        <v>A current example of the practice and a proportionate recheck record. A practical implementation check shows that staff and managers understand the relevant expectations, use the process and handle exceptions consistently. Required guidance or process changes have been implemented and checked.</v>
      </c>
      <c r="V22" s="52" t="str">
        <f>IF(OR(C22&lt;&gt;1,AF22=0),"",INDEX('Answer Outcomes'!$T$6:$T$350,$AF22))</f>
        <v>Owner / HR lead</v>
      </c>
      <c r="W22" s="52" t="str">
        <f>IF(N22=0,"",IF(N22='Risk Method'!$B$10,"Act now. Immediate protective action and appropriate urgent advice take precedence.",IF(N22='Risk Method'!$B$9,"Review or verify within "&amp;'Risk Method'!$B$11&amp;" business days, or before an earlier duty/event. Do not wait where harm or law requires immediate action.",IF(N22='Risk Method'!$B$8,"Agree and start a plan within "&amp;'Risk Method'!$B$12&amp;" days, or before an earlier affected event.","Maintain at the stated trigger; plan any discretionary improvement within "&amp;'Risk Method'!$B$13&amp;" days.")))&amp;IF(J22="",""," Next event: "&amp;J22))</f>
        <v>Maintain at the stated trigger; plan any discretionary improvement within 90 days.</v>
      </c>
      <c r="X22" s="52" t="str">
        <f>IF(OR(C22&lt;&gt;1,AF22=0),"",INDEX('Answer Outcomes'!$V$6:$V$350,$AF22))</f>
        <v>POLICY</v>
      </c>
      <c r="Y22" s="52" t="str">
        <f>IF(C22&lt;&gt;1,"",A22&amp;"_"&amp;D22)</f>
        <v>POL02_3</v>
      </c>
      <c r="Z22" s="52">
        <f>IF(N22=0,0,N22*100000+L22*1000+INDEX('Answer Outcomes'!$I$6:$I$350,$AF22)*100+IF(G22="DEADLINE",50,0)+(75-ROW())/100)</f>
        <v>101200.53</v>
      </c>
      <c r="AA22" s="52">
        <f>IF(Z22=0,"",RANK(Z22,$Z$6:$Z$74,0))</f>
        <v>36</v>
      </c>
      <c r="AB22" s="52" t="str">
        <f>IF(AND(C22&lt;&gt;0,C22&lt;&gt;1),"Invalid eligibility",IF(AND(C22=0,G22&lt;&gt;"NONE"),"Context conflicts with exclusion",IF(C22=0,"",IF(AF22=0,"Missing or invalid answer",IF(AND(G22&lt;&gt;"NONE",G22&lt;&gt;"LIVE_HARM",G22&lt;&gt;"LIVE_ISSUE",G22&lt;&gt;"DEADLINE",G22&lt;&gt;"SYSTEMIC",G22&lt;&gt;"MATTER_UNCLEAR"),"Invalid context code",IF(AND(G22&lt;&gt;"NONE",OR(H22="",I22="")),"Override needs reason and scope",""))))))</f>
        <v/>
      </c>
      <c r="AC22" s="52" t="str">
        <f>IF(OR(C22&lt;&gt;1,AF22=0),"",INDEX('Answer Outcomes'!$S$6:$S$350,$AF22))</f>
        <v>A policy change, exception or repeated manager inconsistency.</v>
      </c>
      <c r="AD22" s="52" t="str">
        <f>IF(OR(C22&lt;&gt;1,AF22=0),"",INDEX('Answer Outcomes'!$Y$6:$Y$350,$AF22))</f>
        <v>https://humanrights.gov.au/resource-hub/resources-for-organisations-businesses/positive-duty-pdfs/guidelines-for-complying-with-the-positive-duty-under-the-sex-discrimination-act-1984-cth
https://www.fairwork.gov.au/sites/default/files/migration/711/managing-underperformance-best-practice-guide.pdf</v>
      </c>
      <c r="AE22" s="37" t="inlineStr">
        <is>
          <t>POL01</t>
        </is>
      </c>
      <c r="AF22" s="52">
        <f>IF(C22&lt;&gt;1,0,IFERROR(MATCH(Y22,'Answer Outcomes'!$A$6:$A$350,0),0))</f>
        <v>84</v>
      </c>
      <c r="AG22" s="52">
        <f>IF(N22&lt;'Risk Method'!$B$8,0,IF(COUNTIFS($X$6:$X$74,X22,$Z$6:$Z$74,"&gt;"&amp;Z22)=0,Z22,0))</f>
        <v>0</v>
      </c>
      <c r="AH22" s="52" t="str">
        <f>IF(AG22=0,"",RANK(AG22,$AG$6:$AG$74,0))</f>
        <v/>
      </c>
      <c r="AI22" s="52">
        <f>IF(LEN(AB22)&gt;0,1,0)</f>
        <v>0</v>
      </c>
    </row>
    <row r="23" ht="44" customHeight="1">
      <c r="A23" s="38" t="inlineStr">
        <is>
          <t>POL03</t>
        </is>
      </c>
      <c r="B23" s="38" t="inlineStr">
        <is>
          <t>POL</t>
        </is>
      </c>
      <c r="C23" s="54">
        <f>'Score Sandbox'!F43</f>
        <v>1</v>
      </c>
      <c r="D23" s="54">
        <f>IF(COUNTBLANK('Score Sandbox'!G43)&gt;0,"",'Score Sandbox'!G43)</f>
        <v>3</v>
      </c>
      <c r="E23" s="54">
        <f>IF(OR(C23&lt;&gt;1,AF23=0),"",INDEX('Answer Outcomes'!$J$6:$J$350,$AF23))</f>
        <v>1</v>
      </c>
      <c r="F23" s="54">
        <f>IF(OR(C23&lt;&gt;1,AF23=0),"",INDEX('Answer Outcomes'!$K$6:$K$350,$AF23))</f>
        <v>1</v>
      </c>
      <c r="G23" s="53" t="inlineStr">
        <is>
          <t>NONE</t>
        </is>
      </c>
      <c r="H23" s="53" t="inlineStr"/>
      <c r="I23" s="53" t="inlineStr"/>
      <c r="J23" s="53" t="inlineStr"/>
      <c r="K23" s="53" t="inlineStr">
        <is>
          <t>Self-report only</t>
        </is>
      </c>
      <c r="L23" s="54">
        <f>IF(OR(C23&lt;&gt;1,AF23=0),0,IF(G23="LIVE_HARM",'Risk Method'!$B$10,IF(G23="LIVE_ISSUE",MAX(E23,'Risk Method'!$B$9),IF(AND(OR(G23="SYSTEMIC",G23="MATTER_UNCLEAR"),D23&amp;""="3"),0,IF(G23="SYSTEMIC",IF(E23=0,0,MIN('Risk Method'!$B$9,E23+1)),E23)))))</f>
        <v>1</v>
      </c>
      <c r="M23" s="54" t="str">
        <f>IF(C23&lt;&gt;1,"Not assessed",IF(AF23=0,"Incomplete",VLOOKUP(L23,'Risk Method'!$F$6:$H$10,2,FALSE)))</f>
        <v>Low</v>
      </c>
      <c r="N23" s="54">
        <f>IF(OR(C23&lt;&gt;1,AF23=0),0,IF(G23="LIVE_HARM",'Risk Method'!$B$10,IF(G23="NONE",F23,IF(G23="SYSTEMIC",MIN('Risk Method'!$B$9,MAX(F23+1,IF(D23&amp;""="3",'Risk Method'!$B$9,0))),MAX(F23,'Risk Method'!$B$9)))))</f>
        <v>1</v>
      </c>
      <c r="O23" s="54" t="str">
        <f>IF(N23=0,"Not assessed",VLOOKUP(N23,'Risk Method'!$F$6:$H$10,3,FALSE))</f>
        <v>Low</v>
      </c>
      <c r="P23" s="54" t="str">
        <f>IF(OR(C23&lt;&gt;1,AF23=0),"",INDEX('Answer Outcomes'!$E$6:$E$350,$AF23))</f>
        <v>Maintain and test: assess flexibility requests individually</v>
      </c>
      <c r="Q23" s="54" t="str">
        <f>IF(OR(C23&lt;&gt;1,AF23=0),"",INDEX('Answer Outcomes'!$G$6:$G$350,$AF23))</f>
        <v>A request handled only through a blanket policy or manager preference may miss the employee's circumstances and the applicable process.</v>
      </c>
      <c r="R23" s="54" t="str">
        <f>IF(OR(C23&lt;&gt;1,AF23=0),"",IF(G23="LIVE_HARM","Protect people and contain the reported exposure now. Seek appropriate urgent assistance and arrange a competent review. Do not wait for this assessment or a sales appointment.",IF(OR(G23="LIVE_ISSUE",AND(G23="SYSTEMIC",D23&amp;""="3")),"Review the reported current matter and reconcile it with the maturity answer before relying on the result. Preserve relevant evidence, allocate an impartial owner and assess immediate safeguards. Context: "&amp;H23,IF(G23="DEADLINE","Confirm the actual deadline and complete the necessary checks before the affected event. "&amp;INDEX('Answer Outcomes'!$M$6:$M$350,$AF23),IF(G23="MATTER_UNCLEAR","Confirm promptly whether the time-sensitive matter exists and who owns the response. Do not treat uncertainty as proof of an incident. "&amp;INDEX('Answer Outcomes'!$M$6:$M$350,$AF23),INDEX('Answer Outcomes'!$M$6:$M$350,$AF23))))))</f>
        <v>Maintain the practice described. At the next relevant review, track the response deadline and review any arrangement after implementation with the employee.</v>
      </c>
      <c r="S23" s="54" t="str">
        <f>IF(OR(C23&lt;&gt;1,AF23=0),"","1. "&amp;INDEX('Answer Outcomes'!$N$6:$N$350,$AF23)&amp;CHAR(10)&amp;"2. "&amp;INDEX('Answer Outcomes'!$O$6:$O$350,$AF23))</f>
        <v>1. Check whether changes in work, people or applicable requirements have made the original process less reliable.
2. Retain the review outcome and act on any new exception. An unresolved live issue overrides this maintenance pathway.</v>
      </c>
      <c r="T23" s="54" t="str">
        <f>IF(OR(C23&lt;&gt;1,AF23=0),"",IF(G23="NONE",INDEX('Answer Outcomes'!$L$6:$L$350,$AF23),"Context "&amp;G23&amp;": "&amp;H23&amp;". Scope: "&amp;I23&amp;". "&amp;IF(G23="DEADLINE","The deadline raises action urgency; it does not establish a breach or automatically raise the risk rating.",IF(D23&amp;""="3","The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3" s="54" t="str">
        <f>IF(OR(C23&lt;&gt;1,AF23=0),"",INDEX('Answer Outcomes'!$Q$6:$Q$350,$AF23))</f>
        <v>A current example of the practice and a proportionate recheck record. A tested request-handling process and, where a request exists, a documented decision and response meeting the applicable requirements. Agreed arrangements are implemented and reviewed; an unanswered request remains open.</v>
      </c>
      <c r="V23" s="54" t="str">
        <f>IF(OR(C23&lt;&gt;1,AF23=0),"",INDEX('Answer Outcomes'!$T$6:$T$350,$AF23))</f>
        <v>Owner / HR lead</v>
      </c>
      <c r="W23" s="54" t="str">
        <f>IF(N23=0,"",IF(N23='Risk Method'!$B$10,"Act now. Immediate protective action and appropriate urgent advice take precedence.",IF(N23='Risk Method'!$B$9,"Review or verify within "&amp;'Risk Method'!$B$11&amp;" business days, or before an earlier duty/event. Do not wait where harm or law requires immediate action.",IF(N23='Risk Method'!$B$8,"Agree and start a plan within "&amp;'Risk Method'!$B$12&amp;" days, or before an earlier affected event.","Maintain at the stated trigger; plan any discretionary improvement within "&amp;'Risk Method'!$B$13&amp;" days.")))&amp;IF(J23="",""," Next event: "&amp;J23))</f>
        <v>Maintain at the stated trigger; plan any discretionary improvement within 90 days.</v>
      </c>
      <c r="X23" s="54" t="str">
        <f>IF(OR(C23&lt;&gt;1,AF23=0),"",INDEX('Answer Outcomes'!$V$6:$V$350,$AF23))</f>
        <v>FLEXIBILITY</v>
      </c>
      <c r="Y23" s="54" t="str">
        <f>IF(C23&lt;&gt;1,"",A23&amp;"_"&amp;D23)</f>
        <v>POL03_3</v>
      </c>
      <c r="Z23" s="54">
        <f>IF(N23=0,0,N23*100000+L23*1000+INDEX('Answer Outcomes'!$I$6:$I$350,$AF23)*100+IF(G23="DEADLINE",50,0)+(75-ROW())/100)</f>
        <v>101300.52</v>
      </c>
      <c r="AA23" s="54">
        <f>IF(Z23=0,"",RANK(Z23,$Z$6:$Z$74,0))</f>
        <v>12</v>
      </c>
      <c r="AB23" s="54" t="str">
        <f>IF(AND(C23&lt;&gt;0,C23&lt;&gt;1),"Invalid eligibility",IF(AND(C23=0,G23&lt;&gt;"NONE"),"Context conflicts with exclusion",IF(C23=0,"",IF(AF23=0,"Missing or invalid answer",IF(AND(G23&lt;&gt;"NONE",G23&lt;&gt;"LIVE_HARM",G23&lt;&gt;"LIVE_ISSUE",G23&lt;&gt;"DEADLINE",G23&lt;&gt;"SYSTEMIC",G23&lt;&gt;"MATTER_UNCLEAR"),"Invalid context code",IF(AND(G23&lt;&gt;"NONE",OR(H23="",I23="")),"Override needs reason and scope",""))))))</f>
        <v/>
      </c>
      <c r="AC23" s="54" t="str">
        <f>IF(OR(C23&lt;&gt;1,AF23=0),"",INDEX('Answer Outcomes'!$S$6:$S$350,$AF23))</f>
        <v>An eligible request, changed circumstances or a proposed refusal.</v>
      </c>
      <c r="AD23" s="54" t="str">
        <f>IF(OR(C23&lt;&gt;1,AF23=0),"",INDEX('Answer Outcomes'!$Y$6:$Y$350,$AF23))</f>
        <v>https://www.fairwork.gov.au/tools-and-resources/fact-sheets/minimum-workplace-entitlements/requests-for-flexible-working-arrangements</v>
      </c>
      <c r="AE23" s="38" t="inlineStr">
        <is>
          <t>POL01</t>
        </is>
      </c>
      <c r="AF23" s="54">
        <f>IF(C23&lt;&gt;1,0,IFERROR(MATCH(Y23,'Answer Outcomes'!$A$6:$A$350,0),0))</f>
        <v>89</v>
      </c>
      <c r="AG23" s="54">
        <f>IF(N23&lt;'Risk Method'!$B$8,0,IF(COUNTIFS($X$6:$X$74,X23,$Z$6:$Z$74,"&gt;"&amp;Z23)=0,Z23,0))</f>
        <v>0</v>
      </c>
      <c r="AH23" s="54" t="str">
        <f>IF(AG23=0,"",RANK(AG23,$AG$6:$AG$74,0))</f>
        <v/>
      </c>
      <c r="AI23" s="54">
        <f>IF(LEN(AB23)&gt;0,1,0)</f>
        <v>0</v>
      </c>
    </row>
    <row r="24" ht="44" customHeight="1">
      <c r="A24" s="37" t="inlineStr">
        <is>
          <t>WHS01</t>
        </is>
      </c>
      <c r="B24" s="37" t="inlineStr">
        <is>
          <t>WHS</t>
        </is>
      </c>
      <c r="C24" s="52">
        <f>'Score Sandbox'!F44</f>
        <v>1</v>
      </c>
      <c r="D24" s="52">
        <f>IF(COUNTBLANK('Score Sandbox'!G44)&gt;0,"",'Score Sandbox'!G44)</f>
        <v>3</v>
      </c>
      <c r="E24" s="52">
        <f>IF(OR(C24&lt;&gt;1,AF24=0),"",INDEX('Answer Outcomes'!$J$6:$J$350,$AF24))</f>
        <v>1</v>
      </c>
      <c r="F24" s="52">
        <f>IF(OR(C24&lt;&gt;1,AF24=0),"",INDEX('Answer Outcomes'!$K$6:$K$350,$AF24))</f>
        <v>1</v>
      </c>
      <c r="G24" s="53" t="inlineStr">
        <is>
          <t>NONE</t>
        </is>
      </c>
      <c r="H24" s="53" t="inlineStr"/>
      <c r="I24" s="53" t="inlineStr"/>
      <c r="J24" s="53" t="inlineStr"/>
      <c r="K24" s="53" t="inlineStr">
        <is>
          <t>Self-report only</t>
        </is>
      </c>
      <c r="L24" s="52">
        <f>IF(OR(C24&lt;&gt;1,AF24=0),0,IF(G24="LIVE_HARM",'Risk Method'!$B$10,IF(G24="LIVE_ISSUE",MAX(E24,'Risk Method'!$B$9),IF(AND(OR(G24="SYSTEMIC",G24="MATTER_UNCLEAR"),D24&amp;""="3"),0,IF(G24="SYSTEMIC",IF(E24=0,0,MIN('Risk Method'!$B$9,E24+1)),E24)))))</f>
        <v>1</v>
      </c>
      <c r="M24" s="52" t="str">
        <f>IF(C24&lt;&gt;1,"Not assessed",IF(AF24=0,"Incomplete",VLOOKUP(L24,'Risk Method'!$F$6:$H$10,2,FALSE)))</f>
        <v>Low</v>
      </c>
      <c r="N24" s="52">
        <f>IF(OR(C24&lt;&gt;1,AF24=0),0,IF(G24="LIVE_HARM",'Risk Method'!$B$10,IF(G24="NONE",F24,IF(G24="SYSTEMIC",MIN('Risk Method'!$B$9,MAX(F24+1,IF(D24&amp;""="3",'Risk Method'!$B$9,0))),MAX(F24,'Risk Method'!$B$9)))))</f>
        <v>1</v>
      </c>
      <c r="O24" s="52" t="str">
        <f>IF(N24=0,"Not assessed",VLOOKUP(N24,'Risk Method'!$F$6:$H$10,3,FALSE))</f>
        <v>Low</v>
      </c>
      <c r="P24" s="52" t="str">
        <f>IF(OR(C24&lt;&gt;1,AF24=0),"",INDEX('Answer Outcomes'!$E$6:$E$350,$AF24))</f>
        <v>Maintain and test: check the work, not only the safety documents</v>
      </c>
      <c r="Q24" s="52" t="str">
        <f>IF(OR(C24&lt;&gt;1,AF24=0),"",INDEX('Answer Outcomes'!$G$6:$G$350,$AF24))</f>
        <v>Unidentified or ineffective controls can leave workers exposed to physical harm. The nature of the work determines the actual severity and likelihood.</v>
      </c>
      <c r="R24" s="52" t="str">
        <f>IF(OR(C24&lt;&gt;1,AF24=0),"",IF(G24="LIVE_HARM","Protect people and contain the reported exposure now. Seek appropriate urgent assistance and arrange a competent review. Do not wait for this assessment or a sales appointment.",IF(OR(G24="LIVE_ISSUE",AND(G24="SYSTEMIC",D24&amp;""="3")),"Review the reported current matter and reconcile it with the maturity answer before relying on the result. Preserve relevant evidence, allocate an impartial owner and assess immediate safeguards. Context: "&amp;H24,IF(G24="DEADLINE","Confirm the actual deadline and complete the necessary checks before the affected event. "&amp;INDEX('Answer Outcomes'!$M$6:$M$350,$AF24),IF(G24="MATTER_UNCLEAR","Confirm promptly whether the time-sensitive matter exists and who owns the response. Do not treat uncertainty as proof of an incident. "&amp;INDEX('Answer Outcomes'!$M$6:$M$350,$AF24),INDEX('Answer Outcomes'!$M$6:$M$350,$AF24))))))</f>
        <v>Maintain the practice described. At the next relevant review, check the controls in the work itself, including unusual tasks and workers away from the main site.</v>
      </c>
      <c r="S24" s="52" t="str">
        <f>IF(OR(C24&lt;&gt;1,AF24=0),"","1. "&amp;INDEX('Answer Outcomes'!$N$6:$N$350,$AF24)&amp;CHAR(10)&amp;"2. "&amp;INDEX('Answer Outcomes'!$O$6:$O$350,$AF24))</f>
        <v>1. Check whether changes in work, people or applicable requirements have made the original process less reliable.
2. Retain the review outcome and act on any new exception. An unresolved live issue overrides this maintenance pathway.</v>
      </c>
      <c r="T24" s="52" t="str">
        <f>IF(OR(C24&lt;&gt;1,AF24=0),"",IF(G24="NONE",INDEX('Answer Outcomes'!$L$6:$L$350,$AF24),"Context "&amp;G24&amp;": "&amp;H24&amp;". Scope: "&amp;I24&amp;". "&amp;IF(G24="DEADLINE","The deadline raises action urgency; it does not establish a breach or automatically raise the risk rating.",IF(D24&amp;""="3","The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4" s="52" t="str">
        <f>IF(OR(C24&lt;&gt;1,AF24=0),"",INDEX('Answer Outcomes'!$Q$6:$Q$350,$AF24))</f>
        <v>A current example of the practice and a proportionate recheck record. A task-relevant risk and control record with workers' input and completed follow-up.</v>
      </c>
      <c r="V24" s="52" t="str">
        <f>IF(OR(C24&lt;&gt;1,AF24=0),"",INDEX('Answer Outcomes'!$T$6:$T$350,$AF24))</f>
        <v>Safety lead / owner</v>
      </c>
      <c r="W24" s="52" t="str">
        <f>IF(N24=0,"",IF(N24='Risk Method'!$B$10,"Act now. Immediate protective action and appropriate urgent advice take precedence.",IF(N24='Risk Method'!$B$9,"Review or verify within "&amp;'Risk Method'!$B$11&amp;" business days, or before an earlier duty/event. Do not wait where harm or law requires immediate action.",IF(N24='Risk Method'!$B$8,"Agree and start a plan within "&amp;'Risk Method'!$B$12&amp;" days, or before an earlier affected event.","Maintain at the stated trigger; plan any discretionary improvement within "&amp;'Risk Method'!$B$13&amp;" days.")))&amp;IF(J24="",""," Next event: "&amp;J24))</f>
        <v>Maintain at the stated trigger; plan any discretionary improvement within 90 days.</v>
      </c>
      <c r="X24" s="52" t="str">
        <f>IF(OR(C24&lt;&gt;1,AF24=0),"",INDEX('Answer Outcomes'!$V$6:$V$350,$AF24))</f>
        <v>SAFETY</v>
      </c>
      <c r="Y24" s="52" t="str">
        <f>IF(C24&lt;&gt;1,"",A24&amp;"_"&amp;D24)</f>
        <v>WHS01_3</v>
      </c>
      <c r="Z24" s="52">
        <f>IF(N24=0,0,N24*100000+L24*1000+INDEX('Answer Outcomes'!$I$6:$I$350,$AF24)*100+IF(G24="DEADLINE",50,0)+(75-ROW())/100)</f>
        <v>101300.51</v>
      </c>
      <c r="AA24" s="52">
        <f>IF(Z24=0,"",RANK(Z24,$Z$6:$Z$74,0))</f>
        <v>13</v>
      </c>
      <c r="AB24" s="52" t="str">
        <f>IF(AND(C24&lt;&gt;0,C24&lt;&gt;1),"Invalid eligibility",IF(AND(C24=0,G24&lt;&gt;"NONE"),"Context conflicts with exclusion",IF(C24=0,"",IF(AF24=0,"Missing or invalid answer",IF(AND(G24&lt;&gt;"NONE",G24&lt;&gt;"LIVE_HARM",G24&lt;&gt;"LIVE_ISSUE",G24&lt;&gt;"DEADLINE",G24&lt;&gt;"SYSTEMIC",G24&lt;&gt;"MATTER_UNCLEAR"),"Invalid context code",IF(AND(G24&lt;&gt;"NONE",OR(H24="",I24="")),"Override needs reason and scope",""))))))</f>
        <v/>
      </c>
      <c r="AC24" s="52" t="str">
        <f>IF(OR(C24&lt;&gt;1,AF24=0),"",INDEX('Answer Outcomes'!$S$6:$S$350,$AF24))</f>
        <v>Changed work, equipment, location, incident or failed control.</v>
      </c>
      <c r="AD24" s="52" t="str">
        <f>IF(OR(C24&lt;&gt;1,AF24=0),"",INDEX('Answer Outcomes'!$Y$6:$Y$350,$AF24))</f>
        <v>https://www.safeworkaustralia.gov.au/safety-topic/managing-health-and-safety/identify-assess-and-control-hazards/managing-risks</v>
      </c>
      <c r="AE24" s="37" t="inlineStr">
        <is>
          <t>None</t>
        </is>
      </c>
      <c r="AF24" s="52">
        <f>IF(C24&lt;&gt;1,0,IFERROR(MATCH(Y24,'Answer Outcomes'!$A$6:$A$350,0),0))</f>
        <v>94</v>
      </c>
      <c r="AG24" s="52">
        <f>IF(N24&lt;'Risk Method'!$B$8,0,IF(COUNTIFS($X$6:$X$74,X24,$Z$6:$Z$74,"&gt;"&amp;Z24)=0,Z24,0))</f>
        <v>0</v>
      </c>
      <c r="AH24" s="52" t="str">
        <f>IF(AG24=0,"",RANK(AG24,$AG$6:$AG$74,0))</f>
        <v/>
      </c>
      <c r="AI24" s="52">
        <f>IF(LEN(AB24)&gt;0,1,0)</f>
        <v>0</v>
      </c>
    </row>
    <row r="25" ht="44" customHeight="1">
      <c r="A25" s="38" t="inlineStr">
        <is>
          <t>WHS02</t>
        </is>
      </c>
      <c r="B25" s="38" t="inlineStr">
        <is>
          <t>WHS</t>
        </is>
      </c>
      <c r="C25" s="54">
        <f>'Score Sandbox'!F45</f>
        <v>1</v>
      </c>
      <c r="D25" s="54">
        <f>IF(COUNTBLANK('Score Sandbox'!G45)&gt;0,"",'Score Sandbox'!G45)</f>
        <v>3</v>
      </c>
      <c r="E25" s="54">
        <f>IF(OR(C25&lt;&gt;1,AF25=0),"",INDEX('Answer Outcomes'!$J$6:$J$350,$AF25))</f>
        <v>1</v>
      </c>
      <c r="F25" s="54">
        <f>IF(OR(C25&lt;&gt;1,AF25=0),"",INDEX('Answer Outcomes'!$K$6:$K$350,$AF25))</f>
        <v>1</v>
      </c>
      <c r="G25" s="53" t="inlineStr">
        <is>
          <t>NONE</t>
        </is>
      </c>
      <c r="H25" s="53" t="inlineStr"/>
      <c r="I25" s="53" t="inlineStr"/>
      <c r="J25" s="53" t="inlineStr"/>
      <c r="K25" s="53" t="inlineStr">
        <is>
          <t>Self-report only</t>
        </is>
      </c>
      <c r="L25" s="54">
        <f>IF(OR(C25&lt;&gt;1,AF25=0),0,IF(G25="LIVE_HARM",'Risk Method'!$B$10,IF(G25="LIVE_ISSUE",MAX(E25,'Risk Method'!$B$9),IF(AND(OR(G25="SYSTEMIC",G25="MATTER_UNCLEAR"),D25&amp;""="3"),0,IF(G25="SYSTEMIC",IF(E25=0,0,MIN('Risk Method'!$B$9,E25+1)),E25)))))</f>
        <v>1</v>
      </c>
      <c r="M25" s="54" t="str">
        <f>IF(C25&lt;&gt;1,"Not assessed",IF(AF25=0,"Incomplete",VLOOKUP(L25,'Risk Method'!$F$6:$H$10,2,FALSE)))</f>
        <v>Low</v>
      </c>
      <c r="N25" s="54">
        <f>IF(OR(C25&lt;&gt;1,AF25=0),0,IF(G25="LIVE_HARM",'Risk Method'!$B$10,IF(G25="NONE",F25,IF(G25="SYSTEMIC",MIN('Risk Method'!$B$9,MAX(F25+1,IF(D25&amp;""="3",'Risk Method'!$B$9,0))),MAX(F25,'Risk Method'!$B$9)))))</f>
        <v>1</v>
      </c>
      <c r="O25" s="54" t="str">
        <f>IF(N25=0,"Not assessed",VLOOKUP(N25,'Risk Method'!$F$6:$H$10,3,FALSE))</f>
        <v>Low</v>
      </c>
      <c r="P25" s="54" t="str">
        <f>IF(OR(C25&lt;&gt;1,AF25=0),"",INDEX('Answer Outcomes'!$E$6:$E$350,$AF25))</f>
        <v>Maintain and test: test whether the emergency arrangements work</v>
      </c>
      <c r="Q25" s="54" t="str">
        <f>IF(OR(C25&lt;&gt;1,AF25=0),"",INDEX('Answer Outcomes'!$G$6:$G$350,$AF25))</f>
        <v>A response gap may only become visible during an emergency, when there is little time to find an alternative.</v>
      </c>
      <c r="R25" s="54" t="str">
        <f>IF(OR(C25&lt;&gt;1,AF25=0),"",IF(G25="LIVE_HARM","Protect people and contain the reported exposure now. Seek appropriate urgent assistance and arrange a competent review. Do not wait for this assessment or a sales appointment.",IF(OR(G25="LIVE_ISSUE",AND(G25="SYSTEMIC",D25&amp;""="3")),"Review the reported current matter and reconcile it with the maturity answer before relying on the result. Preserve relevant evidence, allocate an impartial owner and assess immediate safeguards. Context: "&amp;H25,IF(G25="DEADLINE","Confirm the actual deadline and complete the necessary checks before the affected event. "&amp;INDEX('Answer Outcomes'!$M$6:$M$350,$AF25),IF(G25="MATTER_UNCLEAR","Confirm promptly whether the time-sensitive matter exists and who owns the response. Do not treat uncertainty as proof of an incident. "&amp;INDEX('Answer Outcomes'!$M$6:$M$350,$AF25),INDEX('Answer Outcomes'!$M$6:$M$350,$AF25))))))</f>
        <v>Maintain the practice described. At the next relevant review, run an appropriate drill or tabletop test; correct gaps and retest the part that failed.</v>
      </c>
      <c r="S25" s="54" t="str">
        <f>IF(OR(C25&lt;&gt;1,AF25=0),"","1. "&amp;INDEX('Answer Outcomes'!$N$6:$N$350,$AF25)&amp;CHAR(10)&amp;"2. "&amp;INDEX('Answer Outcomes'!$O$6:$O$350,$AF25))</f>
        <v>1. Check whether changes in work, people or applicable requirements have made the original process less reliable.
2. Retain the review outcome and act on any new exception. An unresolved live issue overrides this maintenance pathway.</v>
      </c>
      <c r="T25" s="54" t="str">
        <f>IF(OR(C25&lt;&gt;1,AF25=0),"",IF(G25="NONE",INDEX('Answer Outcomes'!$L$6:$L$350,$AF25),"Context "&amp;G25&amp;": "&amp;H25&amp;". Scope: "&amp;I25&amp;". "&amp;IF(G25="DEADLINE","The deadline raises action urgency; it does not establish a breach or automatically raise the risk rating.",IF(D25&amp;""="3","The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5" s="54" t="str">
        <f>IF(OR(C25&lt;&gt;1,AF25=0),"",INDEX('Answer Outcomes'!$Q$6:$Q$350,$AF25))</f>
        <v>A current example of the practice and a proportionate recheck record. A reviewed emergency plan and readiness check covering relevant people, shifts and locations.</v>
      </c>
      <c r="V25" s="54" t="str">
        <f>IF(OR(C25&lt;&gt;1,AF25=0),"",INDEX('Answer Outcomes'!$T$6:$T$350,$AF25))</f>
        <v>Safety lead / owner</v>
      </c>
      <c r="W25" s="54" t="str">
        <f>IF(N25=0,"",IF(N25='Risk Method'!$B$10,"Act now. Immediate protective action and appropriate urgent advice take precedence.",IF(N25='Risk Method'!$B$9,"Review or verify within "&amp;'Risk Method'!$B$11&amp;" business days, or before an earlier duty/event. Do not wait where harm or law requires immediate action.",IF(N25='Risk Method'!$B$8,"Agree and start a plan within "&amp;'Risk Method'!$B$12&amp;" days, or before an earlier affected event.","Maintain at the stated trigger; plan any discretionary improvement within "&amp;'Risk Method'!$B$13&amp;" days.")))&amp;IF(J25="",""," Next event: "&amp;J25))</f>
        <v>Maintain at the stated trigger; plan any discretionary improvement within 90 days.</v>
      </c>
      <c r="X25" s="54" t="str">
        <f>IF(OR(C25&lt;&gt;1,AF25=0),"",INDEX('Answer Outcomes'!$V$6:$V$350,$AF25))</f>
        <v>SAFETY</v>
      </c>
      <c r="Y25" s="54" t="str">
        <f>IF(C25&lt;&gt;1,"",A25&amp;"_"&amp;D25)</f>
        <v>WHS02_3</v>
      </c>
      <c r="Z25" s="54">
        <f>IF(N25=0,0,N25*100000+L25*1000+INDEX('Answer Outcomes'!$I$6:$I$350,$AF25)*100+IF(G25="DEADLINE",50,0)+(75-ROW())/100)</f>
        <v>101300.5</v>
      </c>
      <c r="AA25" s="54">
        <f>IF(Z25=0,"",RANK(Z25,$Z$6:$Z$74,0))</f>
        <v>14</v>
      </c>
      <c r="AB25" s="54" t="str">
        <f>IF(AND(C25&lt;&gt;0,C25&lt;&gt;1),"Invalid eligibility",IF(AND(C25=0,G25&lt;&gt;"NONE"),"Context conflicts with exclusion",IF(C25=0,"",IF(AF25=0,"Missing or invalid answer",IF(AND(G25&lt;&gt;"NONE",G25&lt;&gt;"LIVE_HARM",G25&lt;&gt;"LIVE_ISSUE",G25&lt;&gt;"DEADLINE",G25&lt;&gt;"SYSTEMIC",G25&lt;&gt;"MATTER_UNCLEAR"),"Invalid context code",IF(AND(G25&lt;&gt;"NONE",OR(H25="",I25="")),"Override needs reason and scope",""))))))</f>
        <v/>
      </c>
      <c r="AC25" s="54" t="str">
        <f>IF(OR(C25&lt;&gt;1,AF25=0),"",INDEX('Answer Outcomes'!$S$6:$S$350,$AF25))</f>
        <v>Changed premises, shifts, responders or foreseeable emergency scenarios.</v>
      </c>
      <c r="AD25" s="54" t="str">
        <f>IF(OR(C25&lt;&gt;1,AF25=0),"",INDEX('Answer Outcomes'!$Y$6:$Y$350,$AF25))</f>
        <v>https://www.safeworkaustralia.gov.au/safety-topic/managing-health-and-safety/identify-assess-and-control-hazards/managing-risks</v>
      </c>
      <c r="AE25" s="38" t="inlineStr">
        <is>
          <t>WHS01</t>
        </is>
      </c>
      <c r="AF25" s="54">
        <f>IF(C25&lt;&gt;1,0,IFERROR(MATCH(Y25,'Answer Outcomes'!$A$6:$A$350,0),0))</f>
        <v>99</v>
      </c>
      <c r="AG25" s="54">
        <f>IF(N25&lt;'Risk Method'!$B$8,0,IF(COUNTIFS($X$6:$X$74,X25,$Z$6:$Z$74,"&gt;"&amp;Z25)=0,Z25,0))</f>
        <v>0</v>
      </c>
      <c r="AH25" s="54" t="str">
        <f>IF(AG25=0,"",RANK(AG25,$AG$6:$AG$74,0))</f>
        <v/>
      </c>
      <c r="AI25" s="54">
        <f>IF(LEN(AB25)&gt;0,1,0)</f>
        <v>0</v>
      </c>
    </row>
    <row r="26" ht="44" customHeight="1">
      <c r="A26" s="37" t="inlineStr">
        <is>
          <t>WHS03</t>
        </is>
      </c>
      <c r="B26" s="37" t="inlineStr">
        <is>
          <t>WHS</t>
        </is>
      </c>
      <c r="C26" s="52">
        <f>'Score Sandbox'!F46</f>
        <v>1</v>
      </c>
      <c r="D26" s="52">
        <f>IF(COUNTBLANK('Score Sandbox'!G46)&gt;0,"",'Score Sandbox'!G46)</f>
        <v>3</v>
      </c>
      <c r="E26" s="52">
        <f>IF(OR(C26&lt;&gt;1,AF26=0),"",INDEX('Answer Outcomes'!$J$6:$J$350,$AF26))</f>
        <v>1</v>
      </c>
      <c r="F26" s="52">
        <f>IF(OR(C26&lt;&gt;1,AF26=0),"",INDEX('Answer Outcomes'!$K$6:$K$350,$AF26))</f>
        <v>1</v>
      </c>
      <c r="G26" s="53" t="inlineStr">
        <is>
          <t>NONE</t>
        </is>
      </c>
      <c r="H26" s="53" t="inlineStr"/>
      <c r="I26" s="53" t="inlineStr"/>
      <c r="J26" s="53" t="inlineStr"/>
      <c r="K26" s="53" t="inlineStr">
        <is>
          <t>Self-report only</t>
        </is>
      </c>
      <c r="L26" s="52">
        <f>IF(OR(C26&lt;&gt;1,AF26=0),0,IF(G26="LIVE_HARM",'Risk Method'!$B$10,IF(G26="LIVE_ISSUE",MAX(E26,'Risk Method'!$B$9),IF(AND(OR(G26="SYSTEMIC",G26="MATTER_UNCLEAR"),D26&amp;""="3"),0,IF(G26="SYSTEMIC",IF(E26=0,0,MIN('Risk Method'!$B$9,E26+1)),E26)))))</f>
        <v>1</v>
      </c>
      <c r="M26" s="52" t="str">
        <f>IF(C26&lt;&gt;1,"Not assessed",IF(AF26=0,"Incomplete",VLOOKUP(L26,'Risk Method'!$F$6:$H$10,2,FALSE)))</f>
        <v>Low</v>
      </c>
      <c r="N26" s="52">
        <f>IF(OR(C26&lt;&gt;1,AF26=0),0,IF(G26="LIVE_HARM",'Risk Method'!$B$10,IF(G26="NONE",F26,IF(G26="SYSTEMIC",MIN('Risk Method'!$B$9,MAX(F26+1,IF(D26&amp;""="3",'Risk Method'!$B$9,0))),MAX(F26,'Risk Method'!$B$9)))))</f>
        <v>1</v>
      </c>
      <c r="O26" s="52" t="str">
        <f>IF(N26=0,"Not assessed",VLOOKUP(N26,'Risk Method'!$F$6:$H$10,3,FALSE))</f>
        <v>Low</v>
      </c>
      <c r="P26" s="52" t="str">
        <f>IF(OR(C26&lt;&gt;1,AF26=0),"",INDEX('Answer Outcomes'!$E$6:$E$350,$AF26))</f>
        <v>Maintain and test: verify the scope of workers' compensation cover</v>
      </c>
      <c r="Q26" s="52" t="str">
        <f>IF(OR(C26&lt;&gt;1,AF26=0),"",INDEX('Answer Outcomes'!$G$6:$G$350,$AF26))</f>
        <v>An inaccurate declaration or unsupported assumption about an exemption may leave required coverage unresolved.</v>
      </c>
      <c r="R26" s="52" t="str">
        <f>IF(OR(C26&lt;&gt;1,AF26=0),"",IF(G26="LIVE_HARM","Protect people and contain the reported exposure now. Seek appropriate urgent assistance and arrange a competent review. Do not wait for this assessment or a sales appointment.",IF(OR(G26="LIVE_ISSUE",AND(G26="SYSTEMIC",D26&amp;""="3")),"Review the reported current matter and reconcile it with the maturity answer before relying on the result. Preserve relevant evidence, allocate an impartial owner and assess immediate safeguards. Context: "&amp;H26,IF(G26="DEADLINE","Confirm the actual deadline and complete the necessary checks before the affected event. "&amp;INDEX('Answer Outcomes'!$M$6:$M$350,$AF26),IF(G26="MATTER_UNCLEAR","Confirm promptly whether the time-sensitive matter exists and who owns the response. Do not treat uncertainty as proof of an incident. "&amp;INDEX('Answer Outcomes'!$M$6:$M$350,$AF26),INDEX('Answer Outcomes'!$M$6:$M$350,$AF26))))))</f>
        <v>Maintain the practice described. At the next relevant review, retain the supported coverage position and introduce a trigger for changes before the next renewal.</v>
      </c>
      <c r="S26" s="52" t="str">
        <f>IF(OR(C26&lt;&gt;1,AF26=0),"","1. "&amp;INDEX('Answer Outcomes'!$N$6:$N$350,$AF26)&amp;CHAR(10)&amp;"2. "&amp;INDEX('Answer Outcomes'!$O$6:$O$350,$AF26))</f>
        <v>1. Check whether changes in work, people or applicable requirements have made the original process less reliable.
2. Retain the review outcome and act on any new exception. An unresolved live issue overrides this maintenance pathway.</v>
      </c>
      <c r="T26" s="52" t="str">
        <f>IF(OR(C26&lt;&gt;1,AF26=0),"",IF(G26="NONE",INDEX('Answer Outcomes'!$L$6:$L$350,$AF26),"Context "&amp;G26&amp;": "&amp;H26&amp;". Scope: "&amp;I26&amp;". "&amp;IF(G26="DEADLINE","The deadline raises action urgency; it does not establish a breach or automatically raise the risk rating.",IF(D26&amp;""="3","The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6" s="52" t="str">
        <f>IF(OR(C26&lt;&gt;1,AF26=0),"",INDEX('Answer Outcomes'!$Q$6:$Q$350,$AF26))</f>
        <v>A current example of the practice and a proportionate recheck record. Current cover or a supported exemption assessment, with accurate declarations and a review owner.</v>
      </c>
      <c r="V26" s="52" t="str">
        <f>IF(OR(C26&lt;&gt;1,AF26=0),"",INDEX('Answer Outcomes'!$T$6:$T$350,$AF26))</f>
        <v>Safety lead / owner</v>
      </c>
      <c r="W26" s="52" t="str">
        <f>IF(N26=0,"",IF(N26='Risk Method'!$B$10,"Act now. Immediate protective action and appropriate urgent advice take precedence.",IF(N26='Risk Method'!$B$9,"Review or verify within "&amp;'Risk Method'!$B$11&amp;" business days, or before an earlier duty/event. Do not wait where harm or law requires immediate action.",IF(N26='Risk Method'!$B$8,"Agree and start a plan within "&amp;'Risk Method'!$B$12&amp;" days, or before an earlier affected event.","Maintain at the stated trigger; plan any discretionary improvement within "&amp;'Risk Method'!$B$13&amp;" days.")))&amp;IF(J26="",""," Next event: "&amp;J26))</f>
        <v>Maintain at the stated trigger; plan any discretionary improvement within 90 days.</v>
      </c>
      <c r="X26" s="52" t="str">
        <f>IF(OR(C26&lt;&gt;1,AF26=0),"",INDEX('Answer Outcomes'!$V$6:$V$350,$AF26))</f>
        <v>INJURY</v>
      </c>
      <c r="Y26" s="52" t="str">
        <f>IF(C26&lt;&gt;1,"",A26&amp;"_"&amp;D26)</f>
        <v>WHS03_3</v>
      </c>
      <c r="Z26" s="52">
        <f>IF(N26=0,0,N26*100000+L26*1000+INDEX('Answer Outcomes'!$I$6:$I$350,$AF26)*100+IF(G26="DEADLINE",50,0)+(75-ROW())/100)</f>
        <v>101300.49</v>
      </c>
      <c r="AA26" s="52">
        <f>IF(Z26=0,"",RANK(Z26,$Z$6:$Z$74,0))</f>
        <v>15</v>
      </c>
      <c r="AB26" s="52" t="str">
        <f>IF(AND(C26&lt;&gt;0,C26&lt;&gt;1),"Invalid eligibility",IF(AND(C26=0,G26&lt;&gt;"NONE"),"Context conflicts with exclusion",IF(C26=0,"",IF(AF26=0,"Missing or invalid answer",IF(AND(G26&lt;&gt;"NONE",G26&lt;&gt;"LIVE_HARM",G26&lt;&gt;"LIVE_ISSUE",G26&lt;&gt;"DEADLINE",G26&lt;&gt;"SYSTEMIC",G26&lt;&gt;"MATTER_UNCLEAR"),"Invalid context code",IF(AND(G26&lt;&gt;"NONE",OR(H26="",I26="")),"Override needs reason and scope",""))))))</f>
        <v/>
      </c>
      <c r="AC26" s="52" t="str">
        <f>IF(OR(C26&lt;&gt;1,AF26=0),"",INDEX('Answer Outcomes'!$S$6:$S$350,$AF26))</f>
        <v>Changed workers, activities, wages, locations or scheme requirements.</v>
      </c>
      <c r="AD26" s="52" t="str">
        <f>IF(OR(C26&lt;&gt;1,AF26=0),"",INDEX('Answer Outcomes'!$Y$6:$Y$350,$AF26))</f>
        <v>https://www.safeworkaustralia.gov.au/workers-compensation</v>
      </c>
      <c r="AE26" s="37" t="inlineStr">
        <is>
          <t>CON02</t>
        </is>
      </c>
      <c r="AF26" s="52">
        <f>IF(C26&lt;&gt;1,0,IFERROR(MATCH(Y26,'Answer Outcomes'!$A$6:$A$350,0),0))</f>
        <v>104</v>
      </c>
      <c r="AG26" s="52">
        <f>IF(N26&lt;'Risk Method'!$B$8,0,IF(COUNTIFS($X$6:$X$74,X26,$Z$6:$Z$74,"&gt;"&amp;Z26)=0,Z26,0))</f>
        <v>0</v>
      </c>
      <c r="AH26" s="52" t="str">
        <f>IF(AG26=0,"",RANK(AG26,$AG$6:$AG$74,0))</f>
        <v/>
      </c>
      <c r="AI26" s="52">
        <f>IF(LEN(AB26)&gt;0,1,0)</f>
        <v>0</v>
      </c>
    </row>
    <row r="27" ht="44" customHeight="1">
      <c r="A27" s="38" t="inlineStr">
        <is>
          <t>WHS04</t>
        </is>
      </c>
      <c r="B27" s="38" t="inlineStr">
        <is>
          <t>WHS</t>
        </is>
      </c>
      <c r="C27" s="54">
        <f>'Score Sandbox'!F47</f>
        <v>1</v>
      </c>
      <c r="D27" s="54">
        <f>IF(COUNTBLANK('Score Sandbox'!G47)&gt;0,"",'Score Sandbox'!G47)</f>
        <v>3</v>
      </c>
      <c r="E27" s="54">
        <f>IF(OR(C27&lt;&gt;1,AF27=0),"",INDEX('Answer Outcomes'!$J$6:$J$350,$AF27))</f>
        <v>1</v>
      </c>
      <c r="F27" s="54">
        <f>IF(OR(C27&lt;&gt;1,AF27=0),"",INDEX('Answer Outcomes'!$K$6:$K$350,$AF27))</f>
        <v>1</v>
      </c>
      <c r="G27" s="53" t="inlineStr">
        <is>
          <t>NONE</t>
        </is>
      </c>
      <c r="H27" s="53" t="inlineStr"/>
      <c r="I27" s="53" t="inlineStr"/>
      <c r="J27" s="53" t="inlineStr"/>
      <c r="K27" s="53" t="inlineStr">
        <is>
          <t>Self-report only</t>
        </is>
      </c>
      <c r="L27" s="54">
        <f>IF(OR(C27&lt;&gt;1,AF27=0),0,IF(G27="LIVE_HARM",'Risk Method'!$B$10,IF(G27="LIVE_ISSUE",MAX(E27,'Risk Method'!$B$9),IF(AND(OR(G27="SYSTEMIC",G27="MATTER_UNCLEAR"),D27&amp;""="3"),0,IF(G27="SYSTEMIC",IF(E27=0,0,MIN('Risk Method'!$B$9,E27+1)),E27)))))</f>
        <v>1</v>
      </c>
      <c r="M27" s="54" t="str">
        <f>IF(C27&lt;&gt;1,"Not assessed",IF(AF27=0,"Incomplete",VLOOKUP(L27,'Risk Method'!$F$6:$H$10,2,FALSE)))</f>
        <v>Low</v>
      </c>
      <c r="N27" s="54">
        <f>IF(OR(C27&lt;&gt;1,AF27=0),0,IF(G27="LIVE_HARM",'Risk Method'!$B$10,IF(G27="NONE",F27,IF(G27="SYSTEMIC",MIN('Risk Method'!$B$9,MAX(F27+1,IF(D27&amp;""="3",'Risk Method'!$B$9,0))),MAX(F27,'Risk Method'!$B$9)))))</f>
        <v>1</v>
      </c>
      <c r="O27" s="54" t="str">
        <f>IF(N27=0,"Not assessed",VLOOKUP(N27,'Risk Method'!$F$6:$H$10,3,FALSE))</f>
        <v>Low</v>
      </c>
      <c r="P27" s="54" t="str">
        <f>IF(OR(C27&lt;&gt;1,AF27=0),"",INDEX('Answer Outcomes'!$E$6:$E$350,$AF27))</f>
        <v>Maintain and test: clarify the handovers after an injury</v>
      </c>
      <c r="Q27" s="54" t="str">
        <f>IF(OR(C27&lt;&gt;1,AF27=0),"",INDEX('Answer Outcomes'!$G$6:$G$350,$AF27))</f>
        <v>Delay or uncertainty after an incident can compromise immediate care, required notifications and recovery support.</v>
      </c>
      <c r="R27" s="54" t="str">
        <f>IF(OR(C27&lt;&gt;1,AF27=0),"",IF(G27="LIVE_HARM","Protect people and contain the reported exposure now. Seek appropriate urgent assistance and arrange a competent review. Do not wait for this assessment or a sales appointment.",IF(OR(G27="LIVE_ISSUE",AND(G27="SYSTEMIC",D27&amp;""="3")),"Review the reported current matter and reconcile it with the maturity answer before relying on the result. Preserve relevant evidence, allocate an impartial owner and assess immediate safeguards. Context: "&amp;H27,IF(G27="DEADLINE","Confirm the actual deadline and complete the necessary checks before the affected event. "&amp;INDEX('Answer Outcomes'!$M$6:$M$350,$AF27),IF(G27="MATTER_UNCLEAR","Confirm promptly whether the time-sensitive matter exists and who owns the response. Do not treat uncertainty as proof of an incident. "&amp;INDEX('Answer Outcomes'!$M$6:$M$350,$AF27),INDEX('Answer Outcomes'!$M$6:$M$350,$AF27))))))</f>
        <v>Maintain the practice described. At the next relevant review, walk through a realistic scenario and confirm each handover reaches the responsible person on time.</v>
      </c>
      <c r="S27" s="54" t="str">
        <f>IF(OR(C27&lt;&gt;1,AF27=0),"","1. "&amp;INDEX('Answer Outcomes'!$N$6:$N$350,$AF27)&amp;CHAR(10)&amp;"2. "&amp;INDEX('Answer Outcomes'!$O$6:$O$350,$AF27))</f>
        <v>1. Check whether changes in work, people or applicable requirements have made the original process less reliable.
2. Retain the review outcome and act on any new exception. An unresolved live issue overrides this maintenance pathway.</v>
      </c>
      <c r="T27" s="54" t="str">
        <f>IF(OR(C27&lt;&gt;1,AF27=0),"",IF(G27="NONE",INDEX('Answer Outcomes'!$L$6:$L$350,$AF27),"Context "&amp;G27&amp;": "&amp;H27&amp;". Scope: "&amp;I27&amp;". "&amp;IF(G27="DEADLINE","The deadline raises action urgency; it does not establish a breach or automatically raise the risk rating.",IF(D27&amp;""="3","The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7" s="54" t="str">
        <f>IF(OR(C27&lt;&gt;1,AF27=0),"",INDEX('Answer Outcomes'!$Q$6:$Q$350,$AF27))</f>
        <v>A current example of the practice and a proportionate recheck record. A tested response checklist with named responsibilities and current insurer/regulator contacts.</v>
      </c>
      <c r="V27" s="54" t="str">
        <f>IF(OR(C27&lt;&gt;1,AF27=0),"",INDEX('Answer Outcomes'!$T$6:$T$350,$AF27))</f>
        <v>Safety lead / owner</v>
      </c>
      <c r="W27" s="54" t="str">
        <f>IF(N27=0,"",IF(N27='Risk Method'!$B$10,"Act now. Immediate protective action and appropriate urgent advice take precedence.",IF(N27='Risk Method'!$B$9,"Review or verify within "&amp;'Risk Method'!$B$11&amp;" business days, or before an earlier duty/event. Do not wait where harm or law requires immediate action.",IF(N27='Risk Method'!$B$8,"Agree and start a plan within "&amp;'Risk Method'!$B$12&amp;" days, or before an earlier affected event.","Maintain at the stated trigger; plan any discretionary improvement within "&amp;'Risk Method'!$B$13&amp;" days.")))&amp;IF(J27="",""," Next event: "&amp;J27))</f>
        <v>Maintain at the stated trigger; plan any discretionary improvement within 90 days.</v>
      </c>
      <c r="X27" s="54" t="str">
        <f>IF(OR(C27&lt;&gt;1,AF27=0),"",INDEX('Answer Outcomes'!$V$6:$V$350,$AF27))</f>
        <v>INJURY</v>
      </c>
      <c r="Y27" s="54" t="str">
        <f>IF(C27&lt;&gt;1,"",A27&amp;"_"&amp;D27)</f>
        <v>WHS04_3</v>
      </c>
      <c r="Z27" s="54">
        <f>IF(N27=0,0,N27*100000+L27*1000+INDEX('Answer Outcomes'!$I$6:$I$350,$AF27)*100+IF(G27="DEADLINE",50,0)+(75-ROW())/100)</f>
        <v>101300.48</v>
      </c>
      <c r="AA27" s="54">
        <f>IF(Z27=0,"",RANK(Z27,$Z$6:$Z$74,0))</f>
        <v>16</v>
      </c>
      <c r="AB27" s="54" t="str">
        <f>IF(AND(C27&lt;&gt;0,C27&lt;&gt;1),"Invalid eligibility",IF(AND(C27=0,G27&lt;&gt;"NONE"),"Context conflicts with exclusion",IF(C27=0,"",IF(AF27=0,"Missing or invalid answer",IF(AND(G27&lt;&gt;"NONE",G27&lt;&gt;"LIVE_HARM",G27&lt;&gt;"LIVE_ISSUE",G27&lt;&gt;"DEADLINE",G27&lt;&gt;"SYSTEMIC",G27&lt;&gt;"MATTER_UNCLEAR"),"Invalid context code",IF(AND(G27&lt;&gt;"NONE",OR(H27="",I27="")),"Override needs reason and scope",""))))))</f>
        <v/>
      </c>
      <c r="AC27" s="54" t="str">
        <f>IF(OR(C27&lt;&gt;1,AF27=0),"",INDEX('Answer Outcomes'!$S$6:$S$350,$AF27))</f>
        <v>An incident, changed notification rules or failed handover.</v>
      </c>
      <c r="AD27" s="54" t="str">
        <f>IF(OR(C27&lt;&gt;1,AF27=0),"",INDEX('Answer Outcomes'!$Y$6:$Y$350,$AF27))</f>
        <v>https://www.safeworkaustralia.gov.au/safety-topic/managing-health-and-safety/identify-assess-and-control-hazards/managing-risks
https://www.safeworkaustralia.gov.au/workers-compensation</v>
      </c>
      <c r="AE27" s="38" t="inlineStr">
        <is>
          <t>WHS01;WHS03</t>
        </is>
      </c>
      <c r="AF27" s="54">
        <f>IF(C27&lt;&gt;1,0,IFERROR(MATCH(Y27,'Answer Outcomes'!$A$6:$A$350,0),0))</f>
        <v>109</v>
      </c>
      <c r="AG27" s="54">
        <f>IF(N27&lt;'Risk Method'!$B$8,0,IF(COUNTIFS($X$6:$X$74,X27,$Z$6:$Z$74,"&gt;"&amp;Z27)=0,Z27,0))</f>
        <v>0</v>
      </c>
      <c r="AH27" s="54" t="str">
        <f>IF(AG27=0,"",RANK(AG27,$AG$6:$AG$74,0))</f>
        <v/>
      </c>
      <c r="AI27" s="54">
        <f>IF(LEN(AB27)&gt;0,1,0)</f>
        <v>0</v>
      </c>
    </row>
    <row r="28" ht="44" customHeight="1">
      <c r="A28" s="37" t="inlineStr">
        <is>
          <t>PER01</t>
        </is>
      </c>
      <c r="B28" s="37" t="inlineStr">
        <is>
          <t>PER</t>
        </is>
      </c>
      <c r="C28" s="52">
        <f>'Score Sandbox'!F48</f>
        <v>1</v>
      </c>
      <c r="D28" s="52">
        <f>IF(COUNTBLANK('Score Sandbox'!G48)&gt;0,"",'Score Sandbox'!G48)</f>
        <v>3</v>
      </c>
      <c r="E28" s="52">
        <f>IF(OR(C28&lt;&gt;1,AF28=0),"",INDEX('Answer Outcomes'!$J$6:$J$350,$AF28))</f>
        <v>1</v>
      </c>
      <c r="F28" s="52">
        <f>IF(OR(C28&lt;&gt;1,AF28=0),"",INDEX('Answer Outcomes'!$K$6:$K$350,$AF28))</f>
        <v>1</v>
      </c>
      <c r="G28" s="53" t="inlineStr">
        <is>
          <t>NONE</t>
        </is>
      </c>
      <c r="H28" s="53" t="inlineStr"/>
      <c r="I28" s="53" t="inlineStr"/>
      <c r="J28" s="53" t="inlineStr"/>
      <c r="K28" s="53" t="inlineStr">
        <is>
          <t>Self-report only</t>
        </is>
      </c>
      <c r="L28" s="52">
        <f>IF(OR(C28&lt;&gt;1,AF28=0),0,IF(G28="LIVE_HARM",'Risk Method'!$B$10,IF(G28="LIVE_ISSUE",MAX(E28,'Risk Method'!$B$9),IF(AND(OR(G28="SYSTEMIC",G28="MATTER_UNCLEAR"),D28&amp;""="3"),0,IF(G28="SYSTEMIC",IF(E28=0,0,MIN('Risk Method'!$B$9,E28+1)),E28)))))</f>
        <v>1</v>
      </c>
      <c r="M28" s="52" t="str">
        <f>IF(C28&lt;&gt;1,"Not assessed",IF(AF28=0,"Incomplete",VLOOKUP(L28,'Risk Method'!$F$6:$H$10,2,FALSE)))</f>
        <v>Low</v>
      </c>
      <c r="N28" s="52">
        <f>IF(OR(C28&lt;&gt;1,AF28=0),0,IF(G28="LIVE_HARM",'Risk Method'!$B$10,IF(G28="NONE",F28,IF(G28="SYSTEMIC",MIN('Risk Method'!$B$9,MAX(F28+1,IF(D28&amp;""="3",'Risk Method'!$B$9,0))),MAX(F28,'Risk Method'!$B$9)))))</f>
        <v>1</v>
      </c>
      <c r="O28" s="52" t="str">
        <f>IF(N28=0,"Not assessed",VLOOKUP(N28,'Risk Method'!$F$6:$H$10,3,FALSE))</f>
        <v>Low</v>
      </c>
      <c r="P28" s="52" t="str">
        <f>IF(OR(C28&lt;&gt;1,AF28=0),"",INDEX('Answer Outcomes'!$E$6:$E$350,$AF28))</f>
        <v>Maintain and test: make expectations and follow-up visible</v>
      </c>
      <c r="Q28" s="52" t="str">
        <f>IF(OR(C28&lt;&gt;1,AF28=0),"",INDEX('Answer Outcomes'!$G$6:$G$350,$AF28))</f>
        <v>Unclear expectations make it difficult to distinguish a capability gap from a problem in instructions, workload or support.</v>
      </c>
      <c r="R28" s="52" t="str">
        <f>IF(OR(C28&lt;&gt;1,AF28=0),"",IF(G28="LIVE_HARM","Protect people and contain the reported exposure now. Seek appropriate urgent assistance and arrange a competent review. Do not wait for this assessment or a sales appointment.",IF(OR(G28="LIVE_ISSUE",AND(G28="SYSTEMIC",D28&amp;""="3")),"Review the reported current matter and reconcile it with the maturity answer before relying on the result. Preserve relevant evidence, allocate an impartial owner and assess immediate safeguards. Context: "&amp;H28,IF(G28="DEADLINE","Confirm the actual deadline and complete the necessary checks before the affected event. "&amp;INDEX('Answer Outcomes'!$M$6:$M$350,$AF28),IF(G28="MATTER_UNCLEAR","Confirm promptly whether the time-sensitive matter exists and who owns the response. Do not treat uncertainty as proof of an incident. "&amp;INDEX('Answer Outcomes'!$M$6:$M$350,$AF28),INDEX('Answer Outcomes'!$M$6:$M$350,$AF28))))))</f>
        <v>Maintain the practice described. At the next relevant review, check whether agreed actions happened and whether the employee can describe what good performance looks like.</v>
      </c>
      <c r="S28" s="52" t="str">
        <f>IF(OR(C28&lt;&gt;1,AF28=0),"","1. "&amp;INDEX('Answer Outcomes'!$N$6:$N$350,$AF28)&amp;CHAR(10)&amp;"2. "&amp;INDEX('Answer Outcomes'!$O$6:$O$350,$AF28))</f>
        <v>1. Check whether changes in work, people or applicable requirements have made the original process less reliable.
2. Retain the review outcome and act on any new exception. An unresolved live issue overrides this maintenance pathway.</v>
      </c>
      <c r="T28" s="52" t="str">
        <f>IF(OR(C28&lt;&gt;1,AF28=0),"",IF(G28="NONE",INDEX('Answer Outcomes'!$L$6:$L$350,$AF28),"Context "&amp;G28&amp;": "&amp;H28&amp;". Scope: "&amp;I28&amp;". "&amp;IF(G28="DEADLINE","The deadline raises action urgency; it does not establish a breach or automatically raise the risk rating.",IF(D28&amp;""="3","The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8" s="52" t="str">
        <f>IF(OR(C28&lt;&gt;1,AF28=0),"",INDEX('Answer Outcomes'!$Q$6:$Q$350,$AF28))</f>
        <v>A current example of the practice and a proportionate recheck record. Current role goals and recent check-in notes showing feedback, support and follow-up.</v>
      </c>
      <c r="V28" s="52" t="str">
        <f>IF(OR(C28&lt;&gt;1,AF28=0),"",INDEX('Answer Outcomes'!$T$6:$T$350,$AF28))</f>
        <v>People manager</v>
      </c>
      <c r="W28" s="52" t="str">
        <f>IF(N28=0,"",IF(N28='Risk Method'!$B$10,"Act now. Immediate protective action and appropriate urgent advice take precedence.",IF(N28='Risk Method'!$B$9,"Review or verify within "&amp;'Risk Method'!$B$11&amp;" business days, or before an earlier duty/event. Do not wait where harm or law requires immediate action.",IF(N28='Risk Method'!$B$8,"Agree and start a plan within "&amp;'Risk Method'!$B$12&amp;" days, or before an earlier affected event.","Maintain at the stated trigger; plan any discretionary improvement within "&amp;'Risk Method'!$B$13&amp;" days.")))&amp;IF(J28="",""," Next event: "&amp;J28))</f>
        <v>Maintain at the stated trigger; plan any discretionary improvement within 90 days.</v>
      </c>
      <c r="X28" s="52" t="str">
        <f>IF(OR(C28&lt;&gt;1,AF28=0),"",INDEX('Answer Outcomes'!$V$6:$V$350,$AF28))</f>
        <v>PERFORMANCE</v>
      </c>
      <c r="Y28" s="52" t="str">
        <f>IF(C28&lt;&gt;1,"",A28&amp;"_"&amp;D28)</f>
        <v>PER01_3</v>
      </c>
      <c r="Z28" s="52">
        <f>IF(N28=0,0,N28*100000+L28*1000+INDEX('Answer Outcomes'!$I$6:$I$350,$AF28)*100+IF(G28="DEADLINE",50,0)+(75-ROW())/100)</f>
        <v>101200.47</v>
      </c>
      <c r="AA28" s="52">
        <f>IF(Z28=0,"",RANK(Z28,$Z$6:$Z$74,0))</f>
        <v>37</v>
      </c>
      <c r="AB28" s="52" t="str">
        <f>IF(AND(C28&lt;&gt;0,C28&lt;&gt;1),"Invalid eligibility",IF(AND(C28=0,G28&lt;&gt;"NONE"),"Context conflicts with exclusion",IF(C28=0,"",IF(AF28=0,"Missing or invalid answer",IF(AND(G28&lt;&gt;"NONE",G28&lt;&gt;"LIVE_HARM",G28&lt;&gt;"LIVE_ISSUE",G28&lt;&gt;"DEADLINE",G28&lt;&gt;"SYSTEMIC",G28&lt;&gt;"MATTER_UNCLEAR"),"Invalid context code",IF(AND(G28&lt;&gt;"NONE",OR(H28="",I28="")),"Override needs reason and scope",""))))))</f>
        <v/>
      </c>
      <c r="AC28" s="52" t="str">
        <f>IF(OR(C28&lt;&gt;1,AF28=0),"",INDEX('Answer Outcomes'!$S$6:$S$350,$AF28))</f>
        <v>Changed priorities, role requirements or repeated missed expectations.</v>
      </c>
      <c r="AD28" s="52" t="str">
        <f>IF(OR(C28&lt;&gt;1,AF28=0),"",INDEX('Answer Outcomes'!$Y$6:$Y$350,$AF28))</f>
        <v>https://www.fairwork.gov.au/sites/default/files/migration/711/managing-underperformance-best-practice-guide.pdf</v>
      </c>
      <c r="AE28" s="37" t="inlineStr">
        <is>
          <t>REC01</t>
        </is>
      </c>
      <c r="AF28" s="52">
        <f>IF(C28&lt;&gt;1,0,IFERROR(MATCH(Y28,'Answer Outcomes'!$A$6:$A$350,0),0))</f>
        <v>114</v>
      </c>
      <c r="AG28" s="52">
        <f>IF(N28&lt;'Risk Method'!$B$8,0,IF(COUNTIFS($X$6:$X$74,X28,$Z$6:$Z$74,"&gt;"&amp;Z28)=0,Z28,0))</f>
        <v>0</v>
      </c>
      <c r="AH28" s="52" t="str">
        <f>IF(AG28=0,"",RANK(AG28,$AG$6:$AG$74,0))</f>
        <v/>
      </c>
      <c r="AI28" s="52">
        <f>IF(LEN(AB28)&gt;0,1,0)</f>
        <v>0</v>
      </c>
    </row>
    <row r="29" ht="44" customHeight="1">
      <c r="A29" s="38" t="inlineStr">
        <is>
          <t>PER02</t>
        </is>
      </c>
      <c r="B29" s="38" t="inlineStr">
        <is>
          <t>PER</t>
        </is>
      </c>
      <c r="C29" s="54">
        <f>'Score Sandbox'!F49</f>
        <v>1</v>
      </c>
      <c r="D29" s="54">
        <f>IF(COUNTBLANK('Score Sandbox'!G49)&gt;0,"",'Score Sandbox'!G49)</f>
        <v>3</v>
      </c>
      <c r="E29" s="54">
        <f>IF(OR(C29&lt;&gt;1,AF29=0),"",INDEX('Answer Outcomes'!$J$6:$J$350,$AF29))</f>
        <v>1</v>
      </c>
      <c r="F29" s="54">
        <f>IF(OR(C29&lt;&gt;1,AF29=0),"",INDEX('Answer Outcomes'!$K$6:$K$350,$AF29))</f>
        <v>1</v>
      </c>
      <c r="G29" s="53" t="inlineStr">
        <is>
          <t>NONE</t>
        </is>
      </c>
      <c r="H29" s="53" t="inlineStr"/>
      <c r="I29" s="53" t="inlineStr"/>
      <c r="J29" s="53" t="inlineStr"/>
      <c r="K29" s="53" t="inlineStr">
        <is>
          <t>Self-report only</t>
        </is>
      </c>
      <c r="L29" s="54">
        <f>IF(OR(C29&lt;&gt;1,AF29=0),0,IF(G29="LIVE_HARM",'Risk Method'!$B$10,IF(G29="LIVE_ISSUE",MAX(E29,'Risk Method'!$B$9),IF(AND(OR(G29="SYSTEMIC",G29="MATTER_UNCLEAR"),D29&amp;""="3"),0,IF(G29="SYSTEMIC",IF(E29=0,0,MIN('Risk Method'!$B$9,E29+1)),E29)))))</f>
        <v>1</v>
      </c>
      <c r="M29" s="54" t="str">
        <f>IF(C29&lt;&gt;1,"Not assessed",IF(AF29=0,"Incomplete",VLOOKUP(L29,'Risk Method'!$F$6:$H$10,2,FALSE)))</f>
        <v>Low</v>
      </c>
      <c r="N29" s="54">
        <f>IF(OR(C29&lt;&gt;1,AF29=0),0,IF(G29="LIVE_HARM",'Risk Method'!$B$10,IF(G29="NONE",F29,IF(G29="SYSTEMIC",MIN('Risk Method'!$B$9,MAX(F29+1,IF(D29&amp;""="3",'Risk Method'!$B$9,0))),MAX(F29,'Risk Method'!$B$9)))))</f>
        <v>1</v>
      </c>
      <c r="O29" s="54" t="str">
        <f>IF(N29=0,"Not assessed",VLOOKUP(N29,'Risk Method'!$F$6:$H$10,3,FALSE))</f>
        <v>Low</v>
      </c>
      <c r="P29" s="54" t="str">
        <f>IF(OR(C29&lt;&gt;1,AF29=0),"",INDEX('Answer Outcomes'!$E$6:$E$350,$AF29))</f>
        <v>Maintain and test: make probation a supported review, not a deadline scramble</v>
      </c>
      <c r="Q29" s="54" t="str">
        <f>IF(OR(C29&lt;&gt;1,AF29=0),"",INDEX('Answer Outcomes'!$G$6:$G$350,$AF29))</f>
        <v>Late feedback can leave both the business and the employee with little chance to address a concern before a decision is due.</v>
      </c>
      <c r="R29" s="54" t="str">
        <f>IF(OR(C29&lt;&gt;1,AF29=0),"",IF(G29="LIVE_HARM","Protect people and contain the reported exposure now. Seek appropriate urgent assistance and arrange a competent review. Do not wait for this assessment or a sales appointment.",IF(OR(G29="LIVE_ISSUE",AND(G29="SYSTEMIC",D29&amp;""="3")),"Review the reported current matter and reconcile it with the maturity answer before relying on the result. Preserve relevant evidence, allocate an impartial owner and assess immediate safeguards. Context: "&amp;H29,IF(G29="DEADLINE","Confirm the actual deadline and complete the necessary checks before the affected event. "&amp;INDEX('Answer Outcomes'!$M$6:$M$350,$AF29),IF(G29="MATTER_UNCLEAR","Confirm promptly whether the time-sensitive matter exists and who owns the response. Do not treat uncertainty as proof of an incident. "&amp;INDEX('Answer Outcomes'!$M$6:$M$350,$AF29),INDEX('Answer Outcomes'!$M$6:$M$350,$AF29))))))</f>
        <v>Maintain the practice described. At the next relevant review, before a decision, check the relevant legal requirements separately from the contract's probation date.</v>
      </c>
      <c r="S29" s="54" t="str">
        <f>IF(OR(C29&lt;&gt;1,AF29=0),"","1. "&amp;INDEX('Answer Outcomes'!$N$6:$N$350,$AF29)&amp;CHAR(10)&amp;"2. "&amp;INDEX('Answer Outcomes'!$O$6:$O$350,$AF29))</f>
        <v>1. Check whether changes in work, people or applicable requirements have made the original process less reliable.
2. Retain the review outcome and act on any new exception. An unresolved live issue overrides this maintenance pathway.</v>
      </c>
      <c r="T29" s="54" t="str">
        <f>IF(OR(C29&lt;&gt;1,AF29=0),"",IF(G29="NONE",INDEX('Answer Outcomes'!$L$6:$L$350,$AF29),"Context "&amp;G29&amp;": "&amp;H29&amp;". Scope: "&amp;I29&amp;". "&amp;IF(G29="DEADLINE","The deadline raises action urgency; it does not establish a breach or automatically raise the risk rating.",IF(D29&amp;""="3","The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29" s="54" t="str">
        <f>IF(OR(C29&lt;&gt;1,AF29=0),"",INDEX('Answer Outcomes'!$Q$6:$Q$350,$AF29))</f>
        <v>A current example of the practice and a proportionate recheck record. An early-review schedule and documented feedback, support and decision checks.</v>
      </c>
      <c r="V29" s="54" t="str">
        <f>IF(OR(C29&lt;&gt;1,AF29=0),"",INDEX('Answer Outcomes'!$T$6:$T$350,$AF29))</f>
        <v>People manager</v>
      </c>
      <c r="W29" s="54" t="str">
        <f>IF(N29=0,"",IF(N29='Risk Method'!$B$10,"Act now. Immediate protective action and appropriate urgent advice take precedence.",IF(N29='Risk Method'!$B$9,"Review or verify within "&amp;'Risk Method'!$B$11&amp;" business days, or before an earlier duty/event. Do not wait where harm or law requires immediate action.",IF(N29='Risk Method'!$B$8,"Agree and start a plan within "&amp;'Risk Method'!$B$12&amp;" days, or before an earlier affected event.","Maintain at the stated trigger; plan any discretionary improvement within "&amp;'Risk Method'!$B$13&amp;" days.")))&amp;IF(J29="",""," Next event: "&amp;J29))</f>
        <v>Maintain at the stated trigger; plan any discretionary improvement within 90 days.</v>
      </c>
      <c r="X29" s="54" t="str">
        <f>IF(OR(C29&lt;&gt;1,AF29=0),"",INDEX('Answer Outcomes'!$V$6:$V$350,$AF29))</f>
        <v>PERFORMANCE</v>
      </c>
      <c r="Y29" s="54" t="str">
        <f>IF(C29&lt;&gt;1,"",A29&amp;"_"&amp;D29)</f>
        <v>PER02_3</v>
      </c>
      <c r="Z29" s="54">
        <f>IF(N29=0,0,N29*100000+L29*1000+INDEX('Answer Outcomes'!$I$6:$I$350,$AF29)*100+IF(G29="DEADLINE",50,0)+(75-ROW())/100)</f>
        <v>101200.46</v>
      </c>
      <c r="AA29" s="54">
        <f>IF(Z29=0,"",RANK(Z29,$Z$6:$Z$74,0))</f>
        <v>38</v>
      </c>
      <c r="AB29" s="54" t="str">
        <f>IF(AND(C29&lt;&gt;0,C29&lt;&gt;1),"Invalid eligibility",IF(AND(C29=0,G29&lt;&gt;"NONE"),"Context conflicts with exclusion",IF(C29=0,"",IF(AF29=0,"Missing or invalid answer",IF(AND(G29&lt;&gt;"NONE",G29&lt;&gt;"LIVE_HARM",G29&lt;&gt;"LIVE_ISSUE",G29&lt;&gt;"DEADLINE",G29&lt;&gt;"SYSTEMIC",G29&lt;&gt;"MATTER_UNCLEAR"),"Invalid context code",IF(AND(G29&lt;&gt;"NONE",OR(H29="",I29="")),"Override needs reason and scope",""))))))</f>
        <v/>
      </c>
      <c r="AC29" s="54" t="str">
        <f>IF(OR(C29&lt;&gt;1,AF29=0),"",INDEX('Answer Outcomes'!$S$6:$S$350,$AF29))</f>
        <v>New starters, changed probation dates or an emerging early concern.</v>
      </c>
      <c r="AD29" s="54" t="str">
        <f>IF(OR(C29&lt;&gt;1,AF29=0),"",INDEX('Answer Outcomes'!$Y$6:$Y$350,$AF29))</f>
        <v>https://www.fairwork.gov.au/tools-and-resources/fact-sheets/minimum-workplace-entitlements/ending-employment
https://www.fairwork.gov.au/sites/default/files/migration/711/managing-underperformance-best-practice-guide.pdf</v>
      </c>
      <c r="AE29" s="38" t="inlineStr">
        <is>
          <t>PER01;EXT01</t>
        </is>
      </c>
      <c r="AF29" s="54">
        <f>IF(C29&lt;&gt;1,0,IFERROR(MATCH(Y29,'Answer Outcomes'!$A$6:$A$350,0),0))</f>
        <v>119</v>
      </c>
      <c r="AG29" s="54">
        <f>IF(N29&lt;'Risk Method'!$B$8,0,IF(COUNTIFS($X$6:$X$74,X29,$Z$6:$Z$74,"&gt;"&amp;Z29)=0,Z29,0))</f>
        <v>0</v>
      </c>
      <c r="AH29" s="54" t="str">
        <f>IF(AG29=0,"",RANK(AG29,$AG$6:$AG$74,0))</f>
        <v/>
      </c>
      <c r="AI29" s="54">
        <f>IF(LEN(AB29)&gt;0,1,0)</f>
        <v>0</v>
      </c>
    </row>
    <row r="30" ht="44" customHeight="1">
      <c r="A30" s="37" t="inlineStr">
        <is>
          <t>PER03</t>
        </is>
      </c>
      <c r="B30" s="37" t="inlineStr">
        <is>
          <t>PER</t>
        </is>
      </c>
      <c r="C30" s="52">
        <f>'Score Sandbox'!F50</f>
        <v>1</v>
      </c>
      <c r="D30" s="52">
        <f>IF(COUNTBLANK('Score Sandbox'!G50)&gt;0,"",'Score Sandbox'!G50)</f>
        <v>3</v>
      </c>
      <c r="E30" s="52">
        <f>IF(OR(C30&lt;&gt;1,AF30=0),"",INDEX('Answer Outcomes'!$J$6:$J$350,$AF30))</f>
        <v>1</v>
      </c>
      <c r="F30" s="52">
        <f>IF(OR(C30&lt;&gt;1,AF30=0),"",INDEX('Answer Outcomes'!$K$6:$K$350,$AF30))</f>
        <v>1</v>
      </c>
      <c r="G30" s="53" t="inlineStr">
        <is>
          <t>NONE</t>
        </is>
      </c>
      <c r="H30" s="53" t="inlineStr"/>
      <c r="I30" s="53" t="inlineStr"/>
      <c r="J30" s="53" t="inlineStr"/>
      <c r="K30" s="53" t="inlineStr">
        <is>
          <t>Self-report only</t>
        </is>
      </c>
      <c r="L30" s="52">
        <f>IF(OR(C30&lt;&gt;1,AF30=0),0,IF(G30="LIVE_HARM",'Risk Method'!$B$10,IF(G30="LIVE_ISSUE",MAX(E30,'Risk Method'!$B$9),IF(AND(OR(G30="SYSTEMIC",G30="MATTER_UNCLEAR"),D30&amp;""="3"),0,IF(G30="SYSTEMIC",IF(E30=0,0,MIN('Risk Method'!$B$9,E30+1)),E30)))))</f>
        <v>1</v>
      </c>
      <c r="M30" s="52" t="str">
        <f>IF(C30&lt;&gt;1,"Not assessed",IF(AF30=0,"Incomplete",VLOOKUP(L30,'Risk Method'!$F$6:$H$10,2,FALSE)))</f>
        <v>Low</v>
      </c>
      <c r="N30" s="52">
        <f>IF(OR(C30&lt;&gt;1,AF30=0),0,IF(G30="LIVE_HARM",'Risk Method'!$B$10,IF(G30="NONE",F30,IF(G30="SYSTEMIC",MIN('Risk Method'!$B$9,MAX(F30+1,IF(D30&amp;""="3",'Risk Method'!$B$9,0))),MAX(F30,'Risk Method'!$B$9)))))</f>
        <v>1</v>
      </c>
      <c r="O30" s="52" t="str">
        <f>IF(N30=0,"Not assessed",VLOOKUP(N30,'Risk Method'!$F$6:$H$10,3,FALSE))</f>
        <v>Low</v>
      </c>
      <c r="P30" s="52" t="str">
        <f>IF(OR(C30&lt;&gt;1,AF30=0),"",INDEX('Answer Outcomes'!$E$6:$E$350,$AF30))</f>
        <v>Maintain and test: make improvement expectations specific and fair</v>
      </c>
      <c r="Q30" s="52" t="str">
        <f>IF(OR(C30&lt;&gt;1,AF30=0),"",INDEX('Answer Outcomes'!$G$6:$G$350,$AF30))</f>
        <v>A process without clear evidence, reasonable support or genuine review can miss the cause of a performance problem and escalate it unnecessarily.</v>
      </c>
      <c r="R30" s="52" t="str">
        <f>IF(OR(C30&lt;&gt;1,AF30=0),"",IF(G30="LIVE_HARM","Protect people and contain the reported exposure now. Seek appropriate urgent assistance and arrange a competent review. Do not wait for this assessment or a sales appointment.",IF(OR(G30="LIVE_ISSUE",AND(G30="SYSTEMIC",D30&amp;""="3")),"Review the reported current matter and reconcile it with the maturity answer before relying on the result. Preserve relevant evidence, allocate an impartial owner and assess immediate safeguards. Context: "&amp;H30,IF(G30="DEADLINE","Confirm the actual deadline and complete the necessary checks before the affected event. "&amp;INDEX('Answer Outcomes'!$M$6:$M$350,$AF30),IF(G30="MATTER_UNCLEAR","Confirm promptly whether the time-sensitive matter exists and who owns the response. Do not treat uncertainty as proof of an incident. "&amp;INDEX('Answer Outcomes'!$M$6:$M$350,$AF30),INDEX('Answer Outcomes'!$M$6:$M$350,$AF30))))))</f>
        <v>Maintain the practice described. At the next relevant review, review the agreed improvement and support against the evidence; document a reasoned next decision.</v>
      </c>
      <c r="S30" s="52" t="str">
        <f>IF(OR(C30&lt;&gt;1,AF30=0),"","1. "&amp;INDEX('Answer Outcomes'!$N$6:$N$350,$AF30)&amp;CHAR(10)&amp;"2. "&amp;INDEX('Answer Outcomes'!$O$6:$O$350,$AF30))</f>
        <v>1. Check whether changes in work, people or applicable requirements have made the original process less reliable.
2. Retain the review outcome and act on any new exception. An unresolved live issue overrides this maintenance pathway.</v>
      </c>
      <c r="T30" s="52" t="str">
        <f>IF(OR(C30&lt;&gt;1,AF30=0),"",IF(G30="NONE",INDEX('Answer Outcomes'!$L$6:$L$350,$AF30),"Context "&amp;G30&amp;": "&amp;H30&amp;". Scope: "&amp;I30&amp;". "&amp;IF(G30="DEADLINE","The deadline raises action urgency; it does not establish a breach or automatically raise the risk rating.",IF(D30&amp;""="3","The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0" s="52" t="str">
        <f>IF(OR(C30&lt;&gt;1,AF30=0),"",INDEX('Answer Outcomes'!$Q$6:$Q$350,$AF30))</f>
        <v>A current example of the practice and a proportionate recheck record. A proportionate performance record that shows both the concern and the employee's opportunity to improve.</v>
      </c>
      <c r="V30" s="52" t="str">
        <f>IF(OR(C30&lt;&gt;1,AF30=0),"",INDEX('Answer Outcomes'!$T$6:$T$350,$AF30))</f>
        <v>People manager</v>
      </c>
      <c r="W30" s="52" t="str">
        <f>IF(N30=0,"",IF(N30='Risk Method'!$B$10,"Act now. Immediate protective action and appropriate urgent advice take precedence.",IF(N30='Risk Method'!$B$9,"Review or verify within "&amp;'Risk Method'!$B$11&amp;" business days, or before an earlier duty/event. Do not wait where harm or law requires immediate action.",IF(N30='Risk Method'!$B$8,"Agree and start a plan within "&amp;'Risk Method'!$B$12&amp;" days, or before an earlier affected event.","Maintain at the stated trigger; plan any discretionary improvement within "&amp;'Risk Method'!$B$13&amp;" days.")))&amp;IF(J30="",""," Next event: "&amp;J30))</f>
        <v>Maintain at the stated trigger; plan any discretionary improvement within 90 days.</v>
      </c>
      <c r="X30" s="52" t="str">
        <f>IF(OR(C30&lt;&gt;1,AF30=0),"",INDEX('Answer Outcomes'!$V$6:$V$350,$AF30))</f>
        <v>PERFORMANCE</v>
      </c>
      <c r="Y30" s="52" t="str">
        <f>IF(C30&lt;&gt;1,"",A30&amp;"_"&amp;D30)</f>
        <v>PER03_3</v>
      </c>
      <c r="Z30" s="52">
        <f>IF(N30=0,0,N30*100000+L30*1000+INDEX('Answer Outcomes'!$I$6:$I$350,$AF30)*100+IF(G30="DEADLINE",50,0)+(75-ROW())/100)</f>
        <v>101300.45</v>
      </c>
      <c r="AA30" s="52">
        <f>IF(Z30=0,"",RANK(Z30,$Z$6:$Z$74,0))</f>
        <v>17</v>
      </c>
      <c r="AB30" s="52" t="str">
        <f>IF(AND(C30&lt;&gt;0,C30&lt;&gt;1),"Invalid eligibility",IF(AND(C30=0,G30&lt;&gt;"NONE"),"Context conflicts with exclusion",IF(C30=0,"",IF(AF30=0,"Missing or invalid answer",IF(AND(G30&lt;&gt;"NONE",G30&lt;&gt;"LIVE_HARM",G30&lt;&gt;"LIVE_ISSUE",G30&lt;&gt;"DEADLINE",G30&lt;&gt;"SYSTEMIC",G30&lt;&gt;"MATTER_UNCLEAR"),"Invalid context code",IF(AND(G30&lt;&gt;"NONE",OR(H30="",I30="")),"Override needs reason and scope",""))))))</f>
        <v/>
      </c>
      <c r="AC30" s="52" t="str">
        <f>IF(OR(C30&lt;&gt;1,AF30=0),"",INDEX('Answer Outcomes'!$S$6:$S$350,$AF30))</f>
        <v>A sustained concern, failed support plan or proposed serious consequence.</v>
      </c>
      <c r="AD30" s="52" t="str">
        <f>IF(OR(C30&lt;&gt;1,AF30=0),"",INDEX('Answer Outcomes'!$Y$6:$Y$350,$AF30))</f>
        <v>https://www.fairwork.gov.au/sites/default/files/migration/711/managing-underperformance-best-practice-guide.pdf</v>
      </c>
      <c r="AE30" s="37" t="inlineStr">
        <is>
          <t>PER01;REC01</t>
        </is>
      </c>
      <c r="AF30" s="52">
        <f>IF(C30&lt;&gt;1,0,IFERROR(MATCH(Y30,'Answer Outcomes'!$A$6:$A$350,0),0))</f>
        <v>124</v>
      </c>
      <c r="AG30" s="52">
        <f>IF(N30&lt;'Risk Method'!$B$8,0,IF(COUNTIFS($X$6:$X$74,X30,$Z$6:$Z$74,"&gt;"&amp;Z30)=0,Z30,0))</f>
        <v>0</v>
      </c>
      <c r="AH30" s="52" t="str">
        <f>IF(AG30=0,"",RANK(AG30,$AG$6:$AG$74,0))</f>
        <v/>
      </c>
      <c r="AI30" s="52">
        <f>IF(LEN(AB30)&gt;0,1,0)</f>
        <v>0</v>
      </c>
    </row>
    <row r="31" ht="44" customHeight="1">
      <c r="A31" s="38" t="inlineStr">
        <is>
          <t>PER04</t>
        </is>
      </c>
      <c r="B31" s="38" t="inlineStr">
        <is>
          <t>PER</t>
        </is>
      </c>
      <c r="C31" s="54">
        <f>'Score Sandbox'!F51</f>
        <v>1</v>
      </c>
      <c r="D31" s="54">
        <f>IF(COUNTBLANK('Score Sandbox'!G51)&gt;0,"",'Score Sandbox'!G51)</f>
        <v>3</v>
      </c>
      <c r="E31" s="54">
        <f>IF(OR(C31&lt;&gt;1,AF31=0),"",INDEX('Answer Outcomes'!$J$6:$J$350,$AF31))</f>
        <v>1</v>
      </c>
      <c r="F31" s="54">
        <f>IF(OR(C31&lt;&gt;1,AF31=0),"",INDEX('Answer Outcomes'!$K$6:$K$350,$AF31))</f>
        <v>1</v>
      </c>
      <c r="G31" s="53" t="inlineStr">
        <is>
          <t>NONE</t>
        </is>
      </c>
      <c r="H31" s="53" t="inlineStr"/>
      <c r="I31" s="53" t="inlineStr"/>
      <c r="J31" s="53" t="inlineStr"/>
      <c r="K31" s="53" t="inlineStr">
        <is>
          <t>Self-report only</t>
        </is>
      </c>
      <c r="L31" s="54">
        <f>IF(OR(C31&lt;&gt;1,AF31=0),0,IF(G31="LIVE_HARM",'Risk Method'!$B$10,IF(G31="LIVE_ISSUE",MAX(E31,'Risk Method'!$B$9),IF(AND(OR(G31="SYSTEMIC",G31="MATTER_UNCLEAR"),D31&amp;""="3"),0,IF(G31="SYSTEMIC",IF(E31=0,0,MIN('Risk Method'!$B$9,E31+1)),E31)))))</f>
        <v>1</v>
      </c>
      <c r="M31" s="54" t="str">
        <f>IF(C31&lt;&gt;1,"Not assessed",IF(AF31=0,"Incomplete",VLOOKUP(L31,'Risk Method'!$F$6:$H$10,2,FALSE)))</f>
        <v>Low</v>
      </c>
      <c r="N31" s="54">
        <f>IF(OR(C31&lt;&gt;1,AF31=0),0,IF(G31="LIVE_HARM",'Risk Method'!$B$10,IF(G31="NONE",F31,IF(G31="SYSTEMIC",MIN('Risk Method'!$B$9,MAX(F31+1,IF(D31&amp;""="3",'Risk Method'!$B$9,0))),MAX(F31,'Risk Method'!$B$9)))))</f>
        <v>1</v>
      </c>
      <c r="O31" s="54" t="str">
        <f>IF(N31=0,"Not assessed",VLOOKUP(N31,'Risk Method'!$F$6:$H$10,3,FALSE))</f>
        <v>Low</v>
      </c>
      <c r="P31" s="54" t="str">
        <f>IF(OR(C31&lt;&gt;1,AF31=0),"",INDEX('Answer Outcomes'!$E$6:$E$350,$AF31))</f>
        <v>Maintain and test: put a decision check between allegation and action</v>
      </c>
      <c r="Q31" s="54" t="str">
        <f>IF(OR(C31&lt;&gt;1,AF31=0),"",INDEX('Answer Outcomes'!$G$6:$G$350,$AF31))</f>
        <v>A serious decision made before checking relevant facts and hearing a response can cause avoidable harm and expose the business to challenge.</v>
      </c>
      <c r="R31" s="54" t="str">
        <f>IF(OR(C31&lt;&gt;1,AF31=0),"",IF(G31="LIVE_HARM","Protect people and contain the reported exposure now. Seek appropriate urgent assistance and arrange a competent review. Do not wait for this assessment or a sales appointment.",IF(OR(G31="LIVE_ISSUE",AND(G31="SYSTEMIC",D31&amp;""="3")),"Review the reported current matter and reconcile it with the maturity answer before relying on the result. Preserve relevant evidence, allocate an impartial owner and assess immediate safeguards. Context: "&amp;H31,IF(G31="DEADLINE","Confirm the actual deadline and complete the necessary checks before the affected event. "&amp;INDEX('Answer Outcomes'!$M$6:$M$350,$AF31),IF(G31="MATTER_UNCLEAR","Confirm promptly whether the time-sensitive matter exists and who owns the response. Do not treat uncertainty as proof of an incident. "&amp;INDEX('Answer Outcomes'!$M$6:$M$350,$AF31),INDEX('Answer Outcomes'!$M$6:$M$350,$AF31))))))</f>
        <v>Maintain the practice described. At the next relevant review, check findings against the evidence and obtain appropriate advice before serious action; keep protective measures distinct from findings.</v>
      </c>
      <c r="S31" s="54" t="str">
        <f>IF(OR(C31&lt;&gt;1,AF31=0),"","1. "&amp;INDEX('Answer Outcomes'!$N$6:$N$350,$AF31)&amp;CHAR(10)&amp;"2. "&amp;INDEX('Answer Outcomes'!$O$6:$O$350,$AF31))</f>
        <v>1. Check whether changes in work, people or applicable requirements have made the original process less reliable.
2. Retain the review outcome and act on any new exception. An unresolved live issue overrides this maintenance pathway.</v>
      </c>
      <c r="T31" s="54" t="str">
        <f>IF(OR(C31&lt;&gt;1,AF31=0),"",IF(G31="NONE",INDEX('Answer Outcomes'!$L$6:$L$350,$AF31),"Context "&amp;G31&amp;": "&amp;H31&amp;". Scope: "&amp;I31&amp;". "&amp;IF(G31="DEADLINE","The deadline raises action urgency; it does not establish a breach or automatically raise the risk rating.",IF(D31&amp;""="3","The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1" s="54" t="str">
        <f>IF(OR(C31&lt;&gt;1,AF31=0),"",INDEX('Answer Outcomes'!$Q$6:$Q$350,$AF31))</f>
        <v>A current example of the practice and a proportionate recheck record. An escalation and decision checklist that separates allegations, evidence, responses and findings.</v>
      </c>
      <c r="V31" s="54" t="str">
        <f>IF(OR(C31&lt;&gt;1,AF31=0),"",INDEX('Answer Outcomes'!$T$6:$T$350,$AF31))</f>
        <v>People manager</v>
      </c>
      <c r="W31" s="54" t="str">
        <f>IF(N31=0,"",IF(N31='Risk Method'!$B$10,"Act now. Immediate protective action and appropriate urgent advice take precedence.",IF(N31='Risk Method'!$B$9,"Review or verify within "&amp;'Risk Method'!$B$11&amp;" business days, or before an earlier duty/event. Do not wait where harm or law requires immediate action.",IF(N31='Risk Method'!$B$8,"Agree and start a plan within "&amp;'Risk Method'!$B$12&amp;" days, or before an earlier affected event.","Maintain at the stated trigger; plan any discretionary improvement within "&amp;'Risk Method'!$B$13&amp;" days.")))&amp;IF(J31="",""," Next event: "&amp;J31))</f>
        <v>Maintain at the stated trigger; plan any discretionary improvement within 90 days.</v>
      </c>
      <c r="X31" s="54" t="str">
        <f>IF(OR(C31&lt;&gt;1,AF31=0),"",INDEX('Answer Outcomes'!$V$6:$V$350,$AF31))</f>
        <v>FAIR_DECISIONS</v>
      </c>
      <c r="Y31" s="54" t="str">
        <f>IF(C31&lt;&gt;1,"",A31&amp;"_"&amp;D31)</f>
        <v>PER04_3</v>
      </c>
      <c r="Z31" s="54">
        <f>IF(N31=0,0,N31*100000+L31*1000+INDEX('Answer Outcomes'!$I$6:$I$350,$AF31)*100+IF(G31="DEADLINE",50,0)+(75-ROW())/100)</f>
        <v>101300.44</v>
      </c>
      <c r="AA31" s="54">
        <f>IF(Z31=0,"",RANK(Z31,$Z$6:$Z$74,0))</f>
        <v>18</v>
      </c>
      <c r="AB31" s="54" t="str">
        <f>IF(AND(C31&lt;&gt;0,C31&lt;&gt;1),"Invalid eligibility",IF(AND(C31=0,G31&lt;&gt;"NONE"),"Context conflicts with exclusion",IF(C31=0,"",IF(AF31=0,"Missing or invalid answer",IF(AND(G31&lt;&gt;"NONE",G31&lt;&gt;"LIVE_HARM",G31&lt;&gt;"LIVE_ISSUE",G31&lt;&gt;"DEADLINE",G31&lt;&gt;"SYSTEMIC",G31&lt;&gt;"MATTER_UNCLEAR"),"Invalid context code",IF(AND(G31&lt;&gt;"NONE",OR(H31="",I31="")),"Override needs reason and scope",""))))))</f>
        <v/>
      </c>
      <c r="AC31" s="54" t="str">
        <f>IF(OR(C31&lt;&gt;1,AF31=0),"",INDEX('Answer Outcomes'!$S$6:$S$350,$AF31))</f>
        <v>A conduct allegation, conflict of interest or proposed serious sanction.</v>
      </c>
      <c r="AD31" s="54" t="str">
        <f>IF(OR(C31&lt;&gt;1,AF31=0),"",INDEX('Answer Outcomes'!$Y$6:$Y$350,$AF31))</f>
        <v>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v>
      </c>
      <c r="AE31" s="38" t="inlineStr">
        <is>
          <t>PSY04;EXT01</t>
        </is>
      </c>
      <c r="AF31" s="54">
        <f>IF(C31&lt;&gt;1,0,IFERROR(MATCH(Y31,'Answer Outcomes'!$A$6:$A$350,0),0))</f>
        <v>129</v>
      </c>
      <c r="AG31" s="54">
        <f>IF(N31&lt;'Risk Method'!$B$8,0,IF(COUNTIFS($X$6:$X$74,X31,$Z$6:$Z$74,"&gt;"&amp;Z31)=0,Z31,0))</f>
        <v>0</v>
      </c>
      <c r="AH31" s="54" t="str">
        <f>IF(AG31=0,"",RANK(AG31,$AG$6:$AG$74,0))</f>
        <v/>
      </c>
      <c r="AI31" s="54">
        <f>IF(LEN(AB31)&gt;0,1,0)</f>
        <v>0</v>
      </c>
    </row>
    <row r="32" ht="44" customHeight="1">
      <c r="A32" s="37" t="inlineStr">
        <is>
          <t>LND01</t>
        </is>
      </c>
      <c r="B32" s="37" t="inlineStr">
        <is>
          <t>LND</t>
        </is>
      </c>
      <c r="C32" s="52">
        <f>'Score Sandbox'!F52</f>
        <v>1</v>
      </c>
      <c r="D32" s="52">
        <f>IF(COUNTBLANK('Score Sandbox'!G52)&gt;0,"",'Score Sandbox'!G52)</f>
        <v>3</v>
      </c>
      <c r="E32" s="52">
        <f>IF(OR(C32&lt;&gt;1,AF32=0),"",INDEX('Answer Outcomes'!$J$6:$J$350,$AF32))</f>
        <v>1</v>
      </c>
      <c r="F32" s="52">
        <f>IF(OR(C32&lt;&gt;1,AF32=0),"",INDEX('Answer Outcomes'!$K$6:$K$350,$AF32))</f>
        <v>1</v>
      </c>
      <c r="G32" s="53" t="inlineStr">
        <is>
          <t>NONE</t>
        </is>
      </c>
      <c r="H32" s="53" t="inlineStr"/>
      <c r="I32" s="53" t="inlineStr"/>
      <c r="J32" s="53" t="inlineStr"/>
      <c r="K32" s="53" t="inlineStr">
        <is>
          <t>Self-report only</t>
        </is>
      </c>
      <c r="L32" s="52">
        <f>IF(OR(C32&lt;&gt;1,AF32=0),0,IF(G32="LIVE_HARM",'Risk Method'!$B$10,IF(G32="LIVE_ISSUE",MAX(E32,'Risk Method'!$B$9),IF(AND(OR(G32="SYSTEMIC",G32="MATTER_UNCLEAR"),D32&amp;""="3"),0,IF(G32="SYSTEMIC",IF(E32=0,0,MIN('Risk Method'!$B$9,E32+1)),E32)))))</f>
        <v>1</v>
      </c>
      <c r="M32" s="52" t="str">
        <f>IF(C32&lt;&gt;1,"Not assessed",IF(AF32=0,"Incomplete",VLOOKUP(L32,'Risk Method'!$F$6:$H$10,2,FALSE)))</f>
        <v>Low</v>
      </c>
      <c r="N32" s="52">
        <f>IF(OR(C32&lt;&gt;1,AF32=0),0,IF(G32="LIVE_HARM",'Risk Method'!$B$10,IF(G32="NONE",F32,IF(G32="SYSTEMIC",MIN('Risk Method'!$B$9,MAX(F32+1,IF(D32&amp;""="3",'Risk Method'!$B$9,0))),MAX(F32,'Risk Method'!$B$9)))))</f>
        <v>1</v>
      </c>
      <c r="O32" s="52" t="str">
        <f>IF(N32=0,"Not assessed",VLOOKUP(N32,'Risk Method'!$F$6:$H$10,3,FALSE))</f>
        <v>Low</v>
      </c>
      <c r="P32" s="52" t="str">
        <f>IF(OR(C32&lt;&gt;1,AF32=0),"",INDEX('Answer Outcomes'!$E$6:$E$350,$AF32))</f>
        <v>Maintain and test: connect development to the work ahead</v>
      </c>
      <c r="Q32" s="52" t="str">
        <f>IF(OR(C32&lt;&gt;1,AF32=0),"",INDEX('Answer Outcomes'!$G$6:$G$350,$AF32))</f>
        <v>Training disconnected from upcoming work can consume time without closing the capability gap that matters most.</v>
      </c>
      <c r="R32" s="52" t="str">
        <f>IF(OR(C32&lt;&gt;1,AF32=0),"",IF(G32="LIVE_HARM","Protect people and contain the reported exposure now. Seek appropriate urgent assistance and arrange a competent review. Do not wait for this assessment or a sales appointment.",IF(OR(G32="LIVE_ISSUE",AND(G32="SYSTEMIC",D32&amp;""="3")),"Review the reported current matter and reconcile it with the maturity answer before relying on the result. Preserve relevant evidence, allocate an impartial owner and assess immediate safeguards. Context: "&amp;H32,IF(G32="DEADLINE","Confirm the actual deadline and complete the necessary checks before the affected event. "&amp;INDEX('Answer Outcomes'!$M$6:$M$350,$AF32),IF(G32="MATTER_UNCLEAR","Confirm promptly whether the time-sensitive matter exists and who owns the response. Do not treat uncertainty as proof of an incident. "&amp;INDEX('Answer Outcomes'!$M$6:$M$350,$AF32),INDEX('Answer Outcomes'!$M$6:$M$350,$AF32))))))</f>
        <v>Maintain the practice described. At the next relevant review, check whether the planned work can be delivered with the capability available, not merely whether training was booked.</v>
      </c>
      <c r="S32" s="52" t="str">
        <f>IF(OR(C32&lt;&gt;1,AF32=0),"","1. "&amp;INDEX('Answer Outcomes'!$N$6:$N$350,$AF32)&amp;CHAR(10)&amp;"2. "&amp;INDEX('Answer Outcomes'!$O$6:$O$350,$AF32))</f>
        <v>1. Check whether changes in work, people or applicable requirements have made the original process less reliable.
2. Retain the review outcome and act on any new exception. An unresolved live issue overrides this maintenance pathway.</v>
      </c>
      <c r="T32" s="52" t="str">
        <f>IF(OR(C32&lt;&gt;1,AF32=0),"",IF(G32="NONE",INDEX('Answer Outcomes'!$L$6:$L$350,$AF32),"Context "&amp;G32&amp;": "&amp;H32&amp;". Scope: "&amp;I32&amp;". "&amp;IF(G32="DEADLINE","The deadline raises action urgency; it does not establish a breach or automatically raise the risk rating.",IF(D32&amp;""="3","The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2" s="52" t="str">
        <f>IF(OR(C32&lt;&gt;1,AF32=0),"",INDEX('Answer Outcomes'!$Q$6:$Q$350,$AF32))</f>
        <v>A current example of the practice and a proportionate recheck record. The priority skill gap has an agreed development action, responsible person and resources; the learning has been applied and reviewed against the intended work outcome. A plan alone records progress, not completion.</v>
      </c>
      <c r="V32" s="52" t="str">
        <f>IF(OR(C32&lt;&gt;1,AF32=0),"",INDEX('Answer Outcomes'!$T$6:$T$350,$AF32))</f>
        <v>Owner / people manager</v>
      </c>
      <c r="W32" s="52" t="str">
        <f>IF(N32=0,"",IF(N32='Risk Method'!$B$10,"Act now. Immediate protective action and appropriate urgent advice take precedence.",IF(N32='Risk Method'!$B$9,"Review or verify within "&amp;'Risk Method'!$B$11&amp;" business days, or before an earlier duty/event. Do not wait where harm or law requires immediate action.",IF(N32='Risk Method'!$B$8,"Agree and start a plan within "&amp;'Risk Method'!$B$12&amp;" days, or before an earlier affected event.","Maintain at the stated trigger; plan any discretionary improvement within "&amp;'Risk Method'!$B$13&amp;" days.")))&amp;IF(J32="",""," Next event: "&amp;J32))</f>
        <v>Maintain at the stated trigger; plan any discretionary improvement within 90 days.</v>
      </c>
      <c r="X32" s="52" t="str">
        <f>IF(OR(C32&lt;&gt;1,AF32=0),"",INDEX('Answer Outcomes'!$V$6:$V$350,$AF32))</f>
        <v>CAPABILITY</v>
      </c>
      <c r="Y32" s="52" t="str">
        <f>IF(C32&lt;&gt;1,"",A32&amp;"_"&amp;D32)</f>
        <v>LND01_3</v>
      </c>
      <c r="Z32" s="52">
        <f>IF(N32=0,0,N32*100000+L32*1000+INDEX('Answer Outcomes'!$I$6:$I$350,$AF32)*100+IF(G32="DEADLINE",50,0)+(75-ROW())/100)</f>
        <v>101200.43</v>
      </c>
      <c r="AA32" s="52">
        <f>IF(Z32=0,"",RANK(Z32,$Z$6:$Z$74,0))</f>
        <v>39</v>
      </c>
      <c r="AB32" s="52" t="str">
        <f>IF(AND(C32&lt;&gt;0,C32&lt;&gt;1),"Invalid eligibility",IF(AND(C32=0,G32&lt;&gt;"NONE"),"Context conflicts with exclusion",IF(C32=0,"",IF(AF32=0,"Missing or invalid answer",IF(AND(G32&lt;&gt;"NONE",G32&lt;&gt;"LIVE_HARM",G32&lt;&gt;"LIVE_ISSUE",G32&lt;&gt;"DEADLINE",G32&lt;&gt;"SYSTEMIC",G32&lt;&gt;"MATTER_UNCLEAR"),"Invalid context code",IF(AND(G32&lt;&gt;"NONE",OR(H32="",I32="")),"Override needs reason and scope",""))))))</f>
        <v/>
      </c>
      <c r="AC32" s="52" t="str">
        <f>IF(OR(C32&lt;&gt;1,AF32=0),"",INDEX('Answer Outcomes'!$S$6:$S$350,$AF32))</f>
        <v>Changed services, technology, customer requirements or key vacancies.</v>
      </c>
      <c r="AD32" s="52" t="str">
        <f>IF(OR(C32&lt;&gt;1,AF32=0),"",INDEX('Answer Outcomes'!$Y$6:$Y$350,$AF32))</f>
        <v>https://www.fairwork.gov.au/sites/default/files/migration/711/managing-underperformance-best-practice-guide.pdf</v>
      </c>
      <c r="AE32" s="37" t="inlineStr">
        <is>
          <t>REC01</t>
        </is>
      </c>
      <c r="AF32" s="52">
        <f>IF(C32&lt;&gt;1,0,IFERROR(MATCH(Y32,'Answer Outcomes'!$A$6:$A$350,0),0))</f>
        <v>134</v>
      </c>
      <c r="AG32" s="52">
        <f>IF(N32&lt;'Risk Method'!$B$8,0,IF(COUNTIFS($X$6:$X$74,X32,$Z$6:$Z$74,"&gt;"&amp;Z32)=0,Z32,0))</f>
        <v>0</v>
      </c>
      <c r="AH32" s="52" t="str">
        <f>IF(AG32=0,"",RANK(AG32,$AG$6:$AG$74,0))</f>
        <v/>
      </c>
      <c r="AI32" s="52">
        <f>IF(LEN(AB32)&gt;0,1,0)</f>
        <v>0</v>
      </c>
    </row>
    <row r="33" ht="44" customHeight="1">
      <c r="A33" s="38" t="inlineStr">
        <is>
          <t>LND02</t>
        </is>
      </c>
      <c r="B33" s="38" t="inlineStr">
        <is>
          <t>LND</t>
        </is>
      </c>
      <c r="C33" s="54">
        <f>'Score Sandbox'!F53</f>
        <v>1</v>
      </c>
      <c r="D33" s="54">
        <f>IF(COUNTBLANK('Score Sandbox'!G53)&gt;0,"",'Score Sandbox'!G53)</f>
        <v>3</v>
      </c>
      <c r="E33" s="54">
        <f>IF(OR(C33&lt;&gt;1,AF33=0),"",INDEX('Answer Outcomes'!$J$6:$J$350,$AF33))</f>
        <v>1</v>
      </c>
      <c r="F33" s="54">
        <f>IF(OR(C33&lt;&gt;1,AF33=0),"",INDEX('Answer Outcomes'!$K$6:$K$350,$AF33))</f>
        <v>1</v>
      </c>
      <c r="G33" s="53" t="inlineStr">
        <is>
          <t>NONE</t>
        </is>
      </c>
      <c r="H33" s="53" t="inlineStr"/>
      <c r="I33" s="53" t="inlineStr"/>
      <c r="J33" s="53" t="inlineStr"/>
      <c r="K33" s="53" t="inlineStr">
        <is>
          <t>Self-report only</t>
        </is>
      </c>
      <c r="L33" s="54">
        <f>IF(OR(C33&lt;&gt;1,AF33=0),0,IF(G33="LIVE_HARM",'Risk Method'!$B$10,IF(G33="LIVE_ISSUE",MAX(E33,'Risk Method'!$B$9),IF(AND(OR(G33="SYSTEMIC",G33="MATTER_UNCLEAR"),D33&amp;""="3"),0,IF(G33="SYSTEMIC",IF(E33=0,0,MIN('Risk Method'!$B$9,E33+1)),E33)))))</f>
        <v>1</v>
      </c>
      <c r="M33" s="54" t="str">
        <f>IF(C33&lt;&gt;1,"Not assessed",IF(AF33=0,"Incomplete",VLOOKUP(L33,'Risk Method'!$F$6:$H$10,2,FALSE)))</f>
        <v>Low</v>
      </c>
      <c r="N33" s="54">
        <f>IF(OR(C33&lt;&gt;1,AF33=0),0,IF(G33="LIVE_HARM",'Risk Method'!$B$10,IF(G33="NONE",F33,IF(G33="SYSTEMIC",MIN('Risk Method'!$B$9,MAX(F33+1,IF(D33&amp;""="3",'Risk Method'!$B$9,0))),MAX(F33,'Risk Method'!$B$9)))))</f>
        <v>1</v>
      </c>
      <c r="O33" s="54" t="str">
        <f>IF(N33=0,"Not assessed",VLOOKUP(N33,'Risk Method'!$F$6:$H$10,3,FALSE))</f>
        <v>Low</v>
      </c>
      <c r="P33" s="54" t="str">
        <f>IF(OR(C33&lt;&gt;1,AF33=0),"",INDEX('Answer Outcomes'!$E$6:$E$350,$AF33))</f>
        <v>Maintain and test: check what changed after the training</v>
      </c>
      <c r="Q33" s="54" t="str">
        <f>IF(OR(C33&lt;&gt;1,AF33=0),"",INDEX('Answer Outcomes'!$G$6:$G$350,$AF33))</f>
        <v>Attendance records do not show whether a person can apply a skill or whether the original problem improved.</v>
      </c>
      <c r="R33" s="54" t="str">
        <f>IF(OR(C33&lt;&gt;1,AF33=0),"",IF(G33="LIVE_HARM","Protect people and contain the reported exposure now. Seek appropriate urgent assistance and arrange a competent review. Do not wait for this assessment or a sales appointment.",IF(OR(G33="LIVE_ISSUE",AND(G33="SYSTEMIC",D33&amp;""="3")),"Review the reported current matter and reconcile it with the maturity answer before relying on the result. Preserve relevant evidence, allocate an impartial owner and assess immediate safeguards. Context: "&amp;H33,IF(G33="DEADLINE","Confirm the actual deadline and complete the necessary checks before the affected event. "&amp;INDEX('Answer Outcomes'!$M$6:$M$350,$AF33),IF(G33="MATTER_UNCLEAR","Confirm promptly whether the time-sensitive matter exists and who owns the response. Do not treat uncertainty as proof of an incident. "&amp;INDEX('Answer Outcomes'!$M$6:$M$350,$AF33),INDEX('Answer Outcomes'!$M$6:$M$350,$AF33))))))</f>
        <v>Maintain the practice described. At the next relevant review, observe the task or review a work outcome after learning; adjust the support where the change has not occurred.</v>
      </c>
      <c r="S33" s="54" t="str">
        <f>IF(OR(C33&lt;&gt;1,AF33=0),"","1. "&amp;INDEX('Answer Outcomes'!$N$6:$N$350,$AF33)&amp;CHAR(10)&amp;"2. "&amp;INDEX('Answer Outcomes'!$O$6:$O$350,$AF33))</f>
        <v>1. Check whether changes in work, people or applicable requirements have made the original process less reliable.
2. Retain the review outcome and act on any new exception. An unresolved live issue overrides this maintenance pathway.</v>
      </c>
      <c r="T33" s="54" t="str">
        <f>IF(OR(C33&lt;&gt;1,AF33=0),"",IF(G33="NONE",INDEX('Answer Outcomes'!$L$6:$L$350,$AF33),"Context "&amp;G33&amp;": "&amp;H33&amp;". Scope: "&amp;I33&amp;". "&amp;IF(G33="DEADLINE","The deadline raises action urgency; it does not establish a breach or automatically raise the risk rating.",IF(D33&amp;""="3","The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3" s="54" t="str">
        <f>IF(OR(C33&lt;&gt;1,AF33=0),"",INDEX('Answer Outcomes'!$Q$6:$Q$350,$AF33))</f>
        <v>A current example of the practice and a proportionate recheck record. A follow-up example shows whether the intended work outcome improved, and any remaining support or corrective learning has been delivered and checked.</v>
      </c>
      <c r="V33" s="54" t="str">
        <f>IF(OR(C33&lt;&gt;1,AF33=0),"",INDEX('Answer Outcomes'!$T$6:$T$350,$AF33))</f>
        <v>Owner / people manager</v>
      </c>
      <c r="W33" s="54" t="str">
        <f>IF(N33=0,"",IF(N33='Risk Method'!$B$10,"Act now. Immediate protective action and appropriate urgent advice take precedence.",IF(N33='Risk Method'!$B$9,"Review or verify within "&amp;'Risk Method'!$B$11&amp;" business days, or before an earlier duty/event. Do not wait where harm or law requires immediate action.",IF(N33='Risk Method'!$B$8,"Agree and start a plan within "&amp;'Risk Method'!$B$12&amp;" days, or before an earlier affected event.","Maintain at the stated trigger; plan any discretionary improvement within "&amp;'Risk Method'!$B$13&amp;" days.")))&amp;IF(J33="",""," Next event: "&amp;J33))</f>
        <v>Maintain at the stated trigger; plan any discretionary improvement within 90 days.</v>
      </c>
      <c r="X33" s="54" t="str">
        <f>IF(OR(C33&lt;&gt;1,AF33=0),"",INDEX('Answer Outcomes'!$V$6:$V$350,$AF33))</f>
        <v>CAPABILITY</v>
      </c>
      <c r="Y33" s="54" t="str">
        <f>IF(C33&lt;&gt;1,"",A33&amp;"_"&amp;D33)</f>
        <v>LND02_3</v>
      </c>
      <c r="Z33" s="54">
        <f>IF(N33=0,0,N33*100000+L33*1000+INDEX('Answer Outcomes'!$I$6:$I$350,$AF33)*100+IF(G33="DEADLINE",50,0)+(75-ROW())/100)</f>
        <v>101200.42</v>
      </c>
      <c r="AA33" s="54">
        <f>IF(Z33=0,"",RANK(Z33,$Z$6:$Z$74,0))</f>
        <v>40</v>
      </c>
      <c r="AB33" s="54" t="str">
        <f>IF(AND(C33&lt;&gt;0,C33&lt;&gt;1),"Invalid eligibility",IF(AND(C33=0,G33&lt;&gt;"NONE"),"Context conflicts with exclusion",IF(C33=0,"",IF(AF33=0,"Missing or invalid answer",IF(AND(G33&lt;&gt;"NONE",G33&lt;&gt;"LIVE_HARM",G33&lt;&gt;"LIVE_ISSUE",G33&lt;&gt;"DEADLINE",G33&lt;&gt;"SYSTEMIC",G33&lt;&gt;"MATTER_UNCLEAR"),"Invalid context code",IF(AND(G33&lt;&gt;"NONE",OR(H33="",I33="")),"Override needs reason and scope",""))))))</f>
        <v/>
      </c>
      <c r="AC33" s="54" t="str">
        <f>IF(OR(C33&lt;&gt;1,AF33=0),"",INDEX('Answer Outcomes'!$S$6:$S$350,$AF33))</f>
        <v>Completion of material training or continuing errors despite training.</v>
      </c>
      <c r="AD33" s="54" t="str">
        <f>IF(OR(C33&lt;&gt;1,AF33=0),"",INDEX('Answer Outcomes'!$Y$6:$Y$350,$AF33))</f>
        <v>https://www.fairwork.gov.au/sites/default/files/migration/711/managing-underperformance-best-practice-guide.pdf</v>
      </c>
      <c r="AE33" s="38" t="inlineStr">
        <is>
          <t>LND01;PER01</t>
        </is>
      </c>
      <c r="AF33" s="54">
        <f>IF(C33&lt;&gt;1,0,IFERROR(MATCH(Y33,'Answer Outcomes'!$A$6:$A$350,0),0))</f>
        <v>139</v>
      </c>
      <c r="AG33" s="54">
        <f>IF(N33&lt;'Risk Method'!$B$8,0,IF(COUNTIFS($X$6:$X$74,X33,$Z$6:$Z$74,"&gt;"&amp;Z33)=0,Z33,0))</f>
        <v>0</v>
      </c>
      <c r="AH33" s="54" t="str">
        <f>IF(AG33=0,"",RANK(AG33,$AG$6:$AG$74,0))</f>
        <v/>
      </c>
      <c r="AI33" s="54">
        <f>IF(LEN(AB33)&gt;0,1,0)</f>
        <v>0</v>
      </c>
    </row>
    <row r="34" ht="44" customHeight="1">
      <c r="A34" s="37" t="inlineStr">
        <is>
          <t>LND03</t>
        </is>
      </c>
      <c r="B34" s="37" t="inlineStr">
        <is>
          <t>LND</t>
        </is>
      </c>
      <c r="C34" s="52">
        <f>'Score Sandbox'!F54</f>
        <v>1</v>
      </c>
      <c r="D34" s="52">
        <f>IF(COUNTBLANK('Score Sandbox'!G54)&gt;0,"",'Score Sandbox'!G54)</f>
        <v>1</v>
      </c>
      <c r="E34" s="52">
        <f>IF(OR(C34&lt;&gt;1,AF34=0),"",INDEX('Answer Outcomes'!$J$6:$J$350,$AF34))</f>
        <v>3</v>
      </c>
      <c r="F34" s="52">
        <f>IF(OR(C34&lt;&gt;1,AF34=0),"",INDEX('Answer Outcomes'!$K$6:$K$350,$AF34))</f>
        <v>3</v>
      </c>
      <c r="G34" s="53" t="inlineStr">
        <is>
          <t>NONE</t>
        </is>
      </c>
      <c r="H34" s="53" t="inlineStr"/>
      <c r="I34" s="53" t="inlineStr"/>
      <c r="J34" s="53" t="inlineStr"/>
      <c r="K34" s="53" t="inlineStr">
        <is>
          <t>Self-report only</t>
        </is>
      </c>
      <c r="L34" s="52">
        <f>IF(OR(C34&lt;&gt;1,AF34=0),0,IF(G34="LIVE_HARM",'Risk Method'!$B$10,IF(G34="LIVE_ISSUE",MAX(E34,'Risk Method'!$B$9),IF(AND(OR(G34="SYSTEMIC",G34="MATTER_UNCLEAR"),D34&amp;""="3"),0,IF(G34="SYSTEMIC",IF(E34=0,0,MIN('Risk Method'!$B$9,E34+1)),E34)))))</f>
        <v>3</v>
      </c>
      <c r="M34" s="52" t="str">
        <f>IF(C34&lt;&gt;1,"Not assessed",IF(AF34=0,"Incomplete",VLOOKUP(L34,'Risk Method'!$F$6:$H$10,2,FALSE)))</f>
        <v>High</v>
      </c>
      <c r="N34" s="52">
        <f>IF(OR(C34&lt;&gt;1,AF34=0),0,IF(G34="LIVE_HARM",'Risk Method'!$B$10,IF(G34="NONE",F34,IF(G34="SYSTEMIC",MIN('Risk Method'!$B$9,MAX(F34+1,IF(D34&amp;""="3",'Risk Method'!$B$9,0))),MAX(F34,'Risk Method'!$B$9)))))</f>
        <v>3</v>
      </c>
      <c r="O34" s="52" t="str">
        <f>IF(N34=0,"Not assessed",VLOOKUP(N34,'Risk Method'!$F$6:$H$10,3,FALSE))</f>
        <v>High</v>
      </c>
      <c r="P34" s="52" t="str">
        <f>IF(OR(C34&lt;&gt;1,AF34=0),"",INDEX('Answer Outcomes'!$E$6:$E$350,$AF34))</f>
        <v>Reduce reliance on one person</v>
      </c>
      <c r="Q34" s="52" t="str">
        <f>IF(OR(C34&lt;&gt;1,AF34=0),"",INDEX('Answer Outcomes'!$G$6:$G$350,$AF34))</f>
        <v>If essential work depends on one unavailable person, payroll, client delivery or approvals can stop even when the rest of the team is capable.</v>
      </c>
      <c r="R34" s="52" t="str">
        <f>IF(OR(C34&lt;&gt;1,AF34=0),"",IF(G34="LIVE_HARM","Protect people and contain the reported exposure now. Seek appropriate urgent assistance and arrange a competent review. Do not wait for this assessment or a sales appointment.",IF(OR(G34="LIVE_ISSUE",AND(G34="SYSTEMIC",D34&amp;""="3")),"Review the reported current matter and reconcile it with the maturity answer before relying on the result. Preserve relevant evidence, allocate an impartial owner and assess immediate safeguards. Context: "&amp;H34,IF(G34="DEADLINE","Confirm the actual deadline and complete the necessary checks before the affected event. "&amp;INDEX('Answer Outcomes'!$M$6:$M$350,$AF34),IF(G34="MATTER_UNCLEAR","Confirm promptly whether the time-sensitive matter exists and who owns the response. Do not treat uncertainty as proof of an incident. "&amp;INDEX('Answer Outcomes'!$M$6:$M$350,$AF34),INDEX('Answer Outcomes'!$M$6:$M$350,$AF34))))))</f>
        <v>Replace the assumption with a current check. Choose one business-critical task with no tested backup. Document the essentials and have the nominated backup perform a supervised run-through.</v>
      </c>
      <c r="S34" s="52" t="str">
        <f>IF(OR(C34&lt;&gt;1,AF34=0),"","1. "&amp;INDEX('Answer Outcomes'!$N$6:$N$350,$AF34)&amp;CHAR(10)&amp;"2. "&amp;INDEX('Answer Outcomes'!$O$6:$O$350,$AF34))</f>
        <v>1. Name a capable backup or external alternative and prepare secure, usable instructions for the critical task.
2. Test the backup without relying on the usual person. Record what failed and retest it.</v>
      </c>
      <c r="T34" s="52" t="str">
        <f>IF(OR(C34&lt;&gt;1,AF34=0),"",IF(G34="NONE",INDEX('Answer Outcomes'!$L$6:$L$350,$AF34),"Context "&amp;G34&amp;": "&amp;H34&amp;". Scope: "&amp;I34&amp;". "&amp;IF(G34="DEADLINE","The deadline raises action urgency; it does not establish a breach or automatically raise the risk rating.",IF(D34&amp;""="3","The current context takes precedence over a reassuring maturity answer.","The rating remains provisional; the matter has not been independently verified."))))</f>
        <v>High provisional concern: an essential element remains unresolved. If essential work depends on one unavailable person, payroll, client delivery or approvals can stop even when the rest of the team is capable.</v>
      </c>
      <c r="U34" s="52" t="str">
        <f>IF(OR(C34&lt;&gt;1,AF34=0),"",INDEX('Answer Outcomes'!$Q$6:$Q$350,$AF34))</f>
        <v>A tested cover arrangement for priority tasks, including secure access and authorisations. Confirm that the change works in practice, not only that a document exists.</v>
      </c>
      <c r="V34" s="52" t="str">
        <f>IF(OR(C34&lt;&gt;1,AF34=0),"",INDEX('Answer Outcomes'!$T$6:$T$350,$AF34))</f>
        <v>Owner / people manager</v>
      </c>
      <c r="W34" s="52" t="str">
        <f>IF(N34=0,"",IF(N34='Risk Method'!$B$10,"Act now. Immediate protective action and appropriate urgent advice take precedence.",IF(N34='Risk Method'!$B$9,"Review or verify within "&amp;'Risk Method'!$B$11&amp;" business days, or before an earlier duty/event. Do not wait where harm or law requires immediate action.",IF(N34='Risk Method'!$B$8,"Agree and start a plan within "&amp;'Risk Method'!$B$12&amp;" days, or before an earlier affected event.","Maintain at the stated trigger; plan any discretionary improvement within "&amp;'Risk Method'!$B$13&amp;" days.")))&amp;IF(J34="",""," Next event: "&amp;J34))</f>
        <v>Review or verify within 2 business days, or before an earlier duty/event. Do not wait where harm or law requires immediate action.</v>
      </c>
      <c r="X34" s="52" t="str">
        <f>IF(OR(C34&lt;&gt;1,AF34=0),"",INDEX('Answer Outcomes'!$V$6:$V$350,$AF34))</f>
        <v>CAPABILITY</v>
      </c>
      <c r="Y34" s="52" t="str">
        <f>IF(C34&lt;&gt;1,"",A34&amp;"_"&amp;D34)</f>
        <v>LND03_1</v>
      </c>
      <c r="Z34" s="52">
        <f>IF(N34=0,0,N34*100000+L34*1000+INDEX('Answer Outcomes'!$I$6:$I$350,$AF34)*100+IF(G34="DEADLINE",50,0)+(75-ROW())/100)</f>
        <v>303300.41</v>
      </c>
      <c r="AA34" s="52">
        <f>IF(Z34=0,"",RANK(Z34,$Z$6:$Z$74,0))</f>
        <v>2</v>
      </c>
      <c r="AB34" s="52" t="str">
        <f>IF(AND(C34&lt;&gt;0,C34&lt;&gt;1),"Invalid eligibility",IF(AND(C34=0,G34&lt;&gt;"NONE"),"Context conflicts with exclusion",IF(C34=0,"",IF(AF34=0,"Missing or invalid answer",IF(AND(G34&lt;&gt;"NONE",G34&lt;&gt;"LIVE_HARM",G34&lt;&gt;"LIVE_ISSUE",G34&lt;&gt;"DEADLINE",G34&lt;&gt;"SYSTEMIC",G34&lt;&gt;"MATTER_UNCLEAR"),"Invalid context code",IF(AND(G34&lt;&gt;"NONE",OR(H34="",I34="")),"Override needs reason and scope",""))))))</f>
        <v/>
      </c>
      <c r="AC34" s="52" t="str">
        <f>IF(OR(C34&lt;&gt;1,AF34=0),"",INDEX('Answer Outcomes'!$S$6:$S$350,$AF34))</f>
        <v>Key leave, resignation, changed systems or a failed continuity test.</v>
      </c>
      <c r="AD34" s="52" t="str">
        <f>IF(OR(C34&lt;&gt;1,AF34=0),"",INDEX('Answer Outcomes'!$Y$6:$Y$350,$AF34))</f>
        <v/>
      </c>
      <c r="AE34" s="37" t="inlineStr">
        <is>
          <t>DAT03</t>
        </is>
      </c>
      <c r="AF34" s="52">
        <f>IF(C34&lt;&gt;1,0,IFERROR(MATCH(Y34,'Answer Outcomes'!$A$6:$A$350,0),0))</f>
        <v>142</v>
      </c>
      <c r="AG34" s="52">
        <f>IF(N34&lt;'Risk Method'!$B$8,0,IF(COUNTIFS($X$6:$X$74,X34,$Z$6:$Z$74,"&gt;"&amp;Z34)=0,Z34,0))</f>
        <v>303300.41</v>
      </c>
      <c r="AH34" s="52">
        <f>IF(AG34=0,"",RANK(AG34,$AG$6:$AG$74,0))</f>
        <v>2</v>
      </c>
      <c r="AI34" s="52">
        <f>IF(LEN(AB34)&gt;0,1,0)</f>
        <v>0</v>
      </c>
    </row>
    <row r="35" ht="44" customHeight="1">
      <c r="A35" s="38" t="inlineStr">
        <is>
          <t>CUL01</t>
        </is>
      </c>
      <c r="B35" s="38" t="inlineStr">
        <is>
          <t>CUL</t>
        </is>
      </c>
      <c r="C35" s="54">
        <f>'Score Sandbox'!F55</f>
        <v>1</v>
      </c>
      <c r="D35" s="54">
        <f>IF(COUNTBLANK('Score Sandbox'!G55)&gt;0,"",'Score Sandbox'!G55)</f>
        <v>3</v>
      </c>
      <c r="E35" s="54">
        <f>IF(OR(C35&lt;&gt;1,AF35=0),"",INDEX('Answer Outcomes'!$J$6:$J$350,$AF35))</f>
        <v>1</v>
      </c>
      <c r="F35" s="54">
        <f>IF(OR(C35&lt;&gt;1,AF35=0),"",INDEX('Answer Outcomes'!$K$6:$K$350,$AF35))</f>
        <v>1</v>
      </c>
      <c r="G35" s="53" t="inlineStr">
        <is>
          <t>NONE</t>
        </is>
      </c>
      <c r="H35" s="53" t="inlineStr"/>
      <c r="I35" s="53" t="inlineStr"/>
      <c r="J35" s="53" t="inlineStr"/>
      <c r="K35" s="53" t="inlineStr">
        <is>
          <t>Self-report only</t>
        </is>
      </c>
      <c r="L35" s="54">
        <f>IF(OR(C35&lt;&gt;1,AF35=0),0,IF(G35="LIVE_HARM",'Risk Method'!$B$10,IF(G35="LIVE_ISSUE",MAX(E35,'Risk Method'!$B$9),IF(AND(OR(G35="SYSTEMIC",G35="MATTER_UNCLEAR"),D35&amp;""="3"),0,IF(G35="SYSTEMIC",IF(E35=0,0,MIN('Risk Method'!$B$9,E35+1)),E35)))))</f>
        <v>1</v>
      </c>
      <c r="M35" s="54" t="str">
        <f>IF(C35&lt;&gt;1,"Not assessed",IF(AF35=0,"Incomplete",VLOOKUP(L35,'Risk Method'!$F$6:$H$10,2,FALSE)))</f>
        <v>Low</v>
      </c>
      <c r="N35" s="54">
        <f>IF(OR(C35&lt;&gt;1,AF35=0),0,IF(G35="LIVE_HARM",'Risk Method'!$B$10,IF(G35="NONE",F35,IF(G35="SYSTEMIC",MIN('Risk Method'!$B$9,MAX(F35+1,IF(D35&amp;""="3",'Risk Method'!$B$9,0))),MAX(F35,'Risk Method'!$B$9)))))</f>
        <v>1</v>
      </c>
      <c r="O35" s="54" t="str">
        <f>IF(N35=0,"Not assessed",VLOOKUP(N35,'Risk Method'!$F$6:$H$10,3,FALSE))</f>
        <v>Low</v>
      </c>
      <c r="P35" s="54" t="str">
        <f>IF(OR(C35&lt;&gt;1,AF35=0),"",INDEX('Answer Outcomes'!$E$6:$E$350,$AF35))</f>
        <v>Maintain and test: turn employee input into visible decisions</v>
      </c>
      <c r="Q35" s="54" t="str">
        <f>IF(OR(C35&lt;&gt;1,AF35=0),"",INDEX('Answer Outcomes'!$G$6:$G$350,$AF35))</f>
        <v>Silence can hide concerns, and repeated requests for feedback without a response can discourage further input.</v>
      </c>
      <c r="R35" s="54" t="str">
        <f>IF(OR(C35&lt;&gt;1,AF35=0),"",IF(G35="LIVE_HARM","Protect people and contain the reported exposure now. Seek appropriate urgent assistance and arrange a competent review. Do not wait for this assessment or a sales appointment.",IF(OR(G35="LIVE_ISSUE",AND(G35="SYSTEMIC",D35&amp;""="3")),"Review the reported current matter and reconcile it with the maturity answer before relying on the result. Preserve relevant evidence, allocate an impartial owner and assess immediate safeguards. Context: "&amp;H35,IF(G35="DEADLINE","Confirm the actual deadline and complete the necessary checks before the affected event. "&amp;INDEX('Answer Outcomes'!$M$6:$M$350,$AF35),IF(G35="MATTER_UNCLEAR","Confirm promptly whether the time-sensitive matter exists and who owns the response. Do not treat uncertainty as proof of an incident. "&amp;INDEX('Answer Outcomes'!$M$6:$M$350,$AF35),INDEX('Answer Outcomes'!$M$6:$M$350,$AF35))))))</f>
        <v>Maintain the practice described. At the next relevant review, return to employees with what was heard, what will change and the reasons for decisions; check whether action addressed the issue.</v>
      </c>
      <c r="S35" s="54" t="str">
        <f>IF(OR(C35&lt;&gt;1,AF35=0),"","1. "&amp;INDEX('Answer Outcomes'!$N$6:$N$350,$AF35)&amp;CHAR(10)&amp;"2. "&amp;INDEX('Answer Outcomes'!$O$6:$O$350,$AF35))</f>
        <v>1. Check whether changes in work, people or applicable requirements have made the original process less reliable.
2. Retain the review outcome and act on any new exception. An unresolved live issue overrides this maintenance pathway.</v>
      </c>
      <c r="T35" s="54" t="str">
        <f>IF(OR(C35&lt;&gt;1,AF35=0),"",IF(G35="NONE",INDEX('Answer Outcomes'!$L$6:$L$350,$AF35),"Context "&amp;G35&amp;": "&amp;H35&amp;". Scope: "&amp;I35&amp;". "&amp;IF(G35="DEADLINE","The deadline raises action urgency; it does not establish a breach or automatically raise the risk rating.",IF(D35&amp;""="3","The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5" s="54" t="str">
        <f>IF(OR(C35&lt;&gt;1,AF35=0),"",INDEX('Answer Outcomes'!$Q$6:$Q$350,$AF35))</f>
        <v>A current example of the practice and a proportionate recheck record. Feedback has been considered, the business has communicated its response and the agreed priority action has been implemented and checked with employees. A survey or summary alone does not close the action.</v>
      </c>
      <c r="V35" s="54" t="str">
        <f>IF(OR(C35&lt;&gt;1,AF35=0),"",INDEX('Answer Outcomes'!$T$6:$T$350,$AF35))</f>
        <v>Business leader</v>
      </c>
      <c r="W35" s="54" t="str">
        <f>IF(N35=0,"",IF(N35='Risk Method'!$B$10,"Act now. Immediate protective action and appropriate urgent advice take precedence.",IF(N35='Risk Method'!$B$9,"Review or verify within "&amp;'Risk Method'!$B$11&amp;" business days, or before an earlier duty/event. Do not wait where harm or law requires immediate action.",IF(N35='Risk Method'!$B$8,"Agree and start a plan within "&amp;'Risk Method'!$B$12&amp;" days, or before an earlier affected event.","Maintain at the stated trigger; plan any discretionary improvement within "&amp;'Risk Method'!$B$13&amp;" days.")))&amp;IF(J35="",""," Next event: "&amp;J35))</f>
        <v>Maintain at the stated trigger; plan any discretionary improvement within 90 days.</v>
      </c>
      <c r="X35" s="54" t="str">
        <f>IF(OR(C35&lt;&gt;1,AF35=0),"",INDEX('Answer Outcomes'!$V$6:$V$350,$AF35))</f>
        <v>CULTURE</v>
      </c>
      <c r="Y35" s="54" t="str">
        <f>IF(C35&lt;&gt;1,"",A35&amp;"_"&amp;D35)</f>
        <v>CUL01_3</v>
      </c>
      <c r="Z35" s="54">
        <f>IF(N35=0,0,N35*100000+L35*1000+INDEX('Answer Outcomes'!$I$6:$I$350,$AF35)*100+IF(G35="DEADLINE",50,0)+(75-ROW())/100)</f>
        <v>101200.4</v>
      </c>
      <c r="AA35" s="54">
        <f>IF(Z35=0,"",RANK(Z35,$Z$6:$Z$74,0))</f>
        <v>41</v>
      </c>
      <c r="AB35" s="54" t="str">
        <f>IF(AND(C35&lt;&gt;0,C35&lt;&gt;1),"Invalid eligibility",IF(AND(C35=0,G35&lt;&gt;"NONE"),"Context conflicts with exclusion",IF(C35=0,"",IF(AF35=0,"Missing or invalid answer",IF(AND(G35&lt;&gt;"NONE",G35&lt;&gt;"LIVE_HARM",G35&lt;&gt;"LIVE_ISSUE",G35&lt;&gt;"DEADLINE",G35&lt;&gt;"SYSTEMIC",G35&lt;&gt;"MATTER_UNCLEAR"),"Invalid context code",IF(AND(G35&lt;&gt;"NONE",OR(H35="",I35="")),"Override needs reason and scope",""))))))</f>
        <v/>
      </c>
      <c r="AC35" s="54" t="str">
        <f>IF(OR(C35&lt;&gt;1,AF35=0),"",INDEX('Answer Outcomes'!$S$6:$S$350,$AF35))</f>
        <v>Listening cycles, material change or evidence that people have stopped speaking up.</v>
      </c>
      <c r="AD35" s="54" t="str">
        <f>IF(OR(C35&lt;&gt;1,AF35=0),"",INDEX('Answer Outcomes'!$Y$6:$Y$350,$AF35))</f>
        <v>https://www.fairwork.gov.au/tools-and-resources/best-practice-guides/consultation-and-cooperation-in-the-workplace
https://humanrights.gov.au/resource-hub/resources-for-organisations-businesses/positive-duty-pdfs/guidelines-for-complying-with-the-positive-duty-under-the-sex-discrimination-act-1984-cth</v>
      </c>
      <c r="AE35" s="38" t="inlineStr">
        <is>
          <t>PSY04</t>
        </is>
      </c>
      <c r="AF35" s="54">
        <f>IF(C35&lt;&gt;1,0,IFERROR(MATCH(Y35,'Answer Outcomes'!$A$6:$A$350,0),0))</f>
        <v>149</v>
      </c>
      <c r="AG35" s="54">
        <f>IF(N35&lt;'Risk Method'!$B$8,0,IF(COUNTIFS($X$6:$X$74,X35,$Z$6:$Z$74,"&gt;"&amp;Z35)=0,Z35,0))</f>
        <v>0</v>
      </c>
      <c r="AH35" s="54" t="str">
        <f>IF(AG35=0,"",RANK(AG35,$AG$6:$AG$74,0))</f>
        <v/>
      </c>
      <c r="AI35" s="54">
        <f>IF(LEN(AB35)&gt;0,1,0)</f>
        <v>0</v>
      </c>
    </row>
    <row r="36" ht="44" customHeight="1">
      <c r="A36" s="37" t="inlineStr">
        <is>
          <t>CUL02</t>
        </is>
      </c>
      <c r="B36" s="37" t="inlineStr">
        <is>
          <t>CUL</t>
        </is>
      </c>
      <c r="C36" s="52">
        <f>'Score Sandbox'!F56</f>
        <v>1</v>
      </c>
      <c r="D36" s="52">
        <f>IF(COUNTBLANK('Score Sandbox'!G56)&gt;0,"",'Score Sandbox'!G56)</f>
        <v>3</v>
      </c>
      <c r="E36" s="52">
        <f>IF(OR(C36&lt;&gt;1,AF36=0),"",INDEX('Answer Outcomes'!$J$6:$J$350,$AF36))</f>
        <v>1</v>
      </c>
      <c r="F36" s="52">
        <f>IF(OR(C36&lt;&gt;1,AF36=0),"",INDEX('Answer Outcomes'!$K$6:$K$350,$AF36))</f>
        <v>1</v>
      </c>
      <c r="G36" s="53" t="inlineStr">
        <is>
          <t>NONE</t>
        </is>
      </c>
      <c r="H36" s="53" t="inlineStr"/>
      <c r="I36" s="53" t="inlineStr"/>
      <c r="J36" s="53" t="inlineStr"/>
      <c r="K36" s="53" t="inlineStr">
        <is>
          <t>Self-report only</t>
        </is>
      </c>
      <c r="L36" s="52">
        <f>IF(OR(C36&lt;&gt;1,AF36=0),0,IF(G36="LIVE_HARM",'Risk Method'!$B$10,IF(G36="LIVE_ISSUE",MAX(E36,'Risk Method'!$B$9),IF(AND(OR(G36="SYSTEMIC",G36="MATTER_UNCLEAR"),D36&amp;""="3"),0,IF(G36="SYSTEMIC",IF(E36=0,0,MIN('Risk Method'!$B$9,E36+1)),E36)))))</f>
        <v>1</v>
      </c>
      <c r="M36" s="52" t="str">
        <f>IF(C36&lt;&gt;1,"Not assessed",IF(AF36=0,"Incomplete",VLOOKUP(L36,'Risk Method'!$F$6:$H$10,2,FALSE)))</f>
        <v>Low</v>
      </c>
      <c r="N36" s="52">
        <f>IF(OR(C36&lt;&gt;1,AF36=0),0,IF(G36="LIVE_HARM",'Risk Method'!$B$10,IF(G36="NONE",F36,IF(G36="SYSTEMIC",MIN('Risk Method'!$B$9,MAX(F36+1,IF(D36&amp;""="3",'Risk Method'!$B$9,0))),MAX(F36,'Risk Method'!$B$9)))))</f>
        <v>1</v>
      </c>
      <c r="O36" s="52" t="str">
        <f>IF(N36=0,"Not assessed",VLOOKUP(N36,'Risk Method'!$F$6:$H$10,3,FALSE))</f>
        <v>Low</v>
      </c>
      <c r="P36" s="52" t="str">
        <f>IF(OR(C36&lt;&gt;1,AF36=0),"",INDEX('Answer Outcomes'!$E$6:$E$350,$AF36))</f>
        <v>Maintain and test: look beyond the turnover percentage</v>
      </c>
      <c r="Q36" s="52" t="str">
        <f>IF(OR(C36&lt;&gt;1,AF36=0),"",INDEX('Answer Outcomes'!$G$6:$G$350,$AF36))</f>
        <v>Waiting for resignations can make preventable causes harder to address and increase disruption in critical roles.</v>
      </c>
      <c r="R36" s="52" t="str">
        <f>IF(OR(C36&lt;&gt;1,AF36=0),"",IF(G36="LIVE_HARM","Protect people and contain the reported exposure now. Seek appropriate urgent assistance and arrange a competent review. Do not wait for this assessment or a sales appointment.",IF(OR(G36="LIVE_ISSUE",AND(G36="SYSTEMIC",D36&amp;""="3")),"Review the reported current matter and reconcile it with the maturity answer before relying on the result. Preserve relevant evidence, allocate an impartial owner and assess immediate safeguards. Context: "&amp;H36,IF(G36="DEADLINE","Confirm the actual deadline and complete the necessary checks before the affected event. "&amp;INDEX('Answer Outcomes'!$M$6:$M$350,$AF36),IF(G36="MATTER_UNCLEAR","Confirm promptly whether the time-sensitive matter exists and who owns the response. Do not treat uncertainty as proof of an incident. "&amp;INDEX('Answer Outcomes'!$M$6:$M$350,$AF36),INDEX('Answer Outcomes'!$M$6:$M$350,$AF36))))))</f>
        <v>Maintain the practice described. At the next relevant review, agree specific changes and revisit whether the reason for concern has improved.</v>
      </c>
      <c r="S36" s="52" t="str">
        <f>IF(OR(C36&lt;&gt;1,AF36=0),"","1. "&amp;INDEX('Answer Outcomes'!$N$6:$N$350,$AF36)&amp;CHAR(10)&amp;"2. "&amp;INDEX('Answer Outcomes'!$O$6:$O$350,$AF36))</f>
        <v>1. Check whether changes in work, people or applicable requirements have made the original process less reliable.
2. Retain the review outcome and act on any new exception. An unresolved live issue overrides this maintenance pathway.</v>
      </c>
      <c r="T36" s="52" t="str">
        <f>IF(OR(C36&lt;&gt;1,AF36=0),"",IF(G36="NONE",INDEX('Answer Outcomes'!$L$6:$L$350,$AF36),"Context "&amp;G36&amp;": "&amp;H36&amp;". Scope: "&amp;I36&amp;". "&amp;IF(G36="DEADLINE","The deadline raises action urgency; it does not establish a breach or automatically raise the risk rating.",IF(D36&amp;""="3","The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6" s="52" t="str">
        <f>IF(OR(C36&lt;&gt;1,AF36=0),"",INDEX('Answer Outcomes'!$Q$6:$Q$350,$AF36))</f>
        <v>A current example of the practice and a proportionate recheck record. The business has tested the main retention concerns, implemented targeted actions and reviewed subsequent feedback and departures. Do not claim a causal reduction in turnover from a short observation period.</v>
      </c>
      <c r="V36" s="52" t="str">
        <f>IF(OR(C36&lt;&gt;1,AF36=0),"",INDEX('Answer Outcomes'!$T$6:$T$350,$AF36))</f>
        <v>Business leader</v>
      </c>
      <c r="W36" s="52" t="str">
        <f>IF(N36=0,"",IF(N36='Risk Method'!$B$10,"Act now. Immediate protective action and appropriate urgent advice take precedence.",IF(N36='Risk Method'!$B$9,"Review or verify within "&amp;'Risk Method'!$B$11&amp;" business days, or before an earlier duty/event. Do not wait where harm or law requires immediate action.",IF(N36='Risk Method'!$B$8,"Agree and start a plan within "&amp;'Risk Method'!$B$12&amp;" days, or before an earlier affected event.","Maintain at the stated trigger; plan any discretionary improvement within "&amp;'Risk Method'!$B$13&amp;" days.")))&amp;IF(J36="",""," Next event: "&amp;J36))</f>
        <v>Maintain at the stated trigger; plan any discretionary improvement within 90 days.</v>
      </c>
      <c r="X36" s="52" t="str">
        <f>IF(OR(C36&lt;&gt;1,AF36=0),"",INDEX('Answer Outcomes'!$V$6:$V$350,$AF36))</f>
        <v>CULTURE</v>
      </c>
      <c r="Y36" s="52" t="str">
        <f>IF(C36&lt;&gt;1,"",A36&amp;"_"&amp;D36)</f>
        <v>CUL02_3</v>
      </c>
      <c r="Z36" s="52">
        <f>IF(N36=0,0,N36*100000+L36*1000+INDEX('Answer Outcomes'!$I$6:$I$350,$AF36)*100+IF(G36="DEADLINE",50,0)+(75-ROW())/100)</f>
        <v>101200.39</v>
      </c>
      <c r="AA36" s="52">
        <f>IF(Z36=0,"",RANK(Z36,$Z$6:$Z$74,0))</f>
        <v>42</v>
      </c>
      <c r="AB36" s="52" t="str">
        <f>IF(AND(C36&lt;&gt;0,C36&lt;&gt;1),"Invalid eligibility",IF(AND(C36=0,G36&lt;&gt;"NONE"),"Context conflicts with exclusion",IF(C36=0,"",IF(AF36=0,"Missing or invalid answer",IF(AND(G36&lt;&gt;"NONE",G36&lt;&gt;"LIVE_HARM",G36&lt;&gt;"LIVE_ISSUE",G36&lt;&gt;"DEADLINE",G36&lt;&gt;"SYSTEMIC",G36&lt;&gt;"MATTER_UNCLEAR"),"Invalid context code",IF(AND(G36&lt;&gt;"NONE",OR(H36="",I36="")),"Override needs reason and scope",""))))))</f>
        <v/>
      </c>
      <c r="AC36" s="52" t="str">
        <f>IF(OR(C36&lt;&gt;1,AF36=0),"",INDEX('Answer Outcomes'!$S$6:$S$350,$AF36))</f>
        <v>A key-person concern, repeated departures or a changed labour market.</v>
      </c>
      <c r="AD36" s="52" t="str">
        <f>IF(OR(C36&lt;&gt;1,AF36=0),"",INDEX('Answer Outcomes'!$Y$6:$Y$350,$AF36))</f>
        <v/>
      </c>
      <c r="AE36" s="37" t="inlineStr">
        <is>
          <t>CUL01;LND03</t>
        </is>
      </c>
      <c r="AF36" s="52">
        <f>IF(C36&lt;&gt;1,0,IFERROR(MATCH(Y36,'Answer Outcomes'!$A$6:$A$350,0),0))</f>
        <v>154</v>
      </c>
      <c r="AG36" s="52">
        <f>IF(N36&lt;'Risk Method'!$B$8,0,IF(COUNTIFS($X$6:$X$74,X36,$Z$6:$Z$74,"&gt;"&amp;Z36)=0,Z36,0))</f>
        <v>0</v>
      </c>
      <c r="AH36" s="52" t="str">
        <f>IF(AG36=0,"",RANK(AG36,$AG$6:$AG$74,0))</f>
        <v/>
      </c>
      <c r="AI36" s="52">
        <f>IF(LEN(AB36)&gt;0,1,0)</f>
        <v>0</v>
      </c>
    </row>
    <row r="37" ht="44" customHeight="1">
      <c r="A37" s="38" t="inlineStr">
        <is>
          <t>CUL03</t>
        </is>
      </c>
      <c r="B37" s="38" t="inlineStr">
        <is>
          <t>CUL</t>
        </is>
      </c>
      <c r="C37" s="54">
        <f>'Score Sandbox'!F57</f>
        <v>1</v>
      </c>
      <c r="D37" s="54">
        <f>IF(COUNTBLANK('Score Sandbox'!G57)&gt;0,"",'Score Sandbox'!G57)</f>
        <v>3</v>
      </c>
      <c r="E37" s="54">
        <f>IF(OR(C37&lt;&gt;1,AF37=0),"",INDEX('Answer Outcomes'!$J$6:$J$350,$AF37))</f>
        <v>1</v>
      </c>
      <c r="F37" s="54">
        <f>IF(OR(C37&lt;&gt;1,AF37=0),"",INDEX('Answer Outcomes'!$K$6:$K$350,$AF37))</f>
        <v>1</v>
      </c>
      <c r="G37" s="53" t="inlineStr">
        <is>
          <t>NONE</t>
        </is>
      </c>
      <c r="H37" s="53" t="inlineStr"/>
      <c r="I37" s="53" t="inlineStr"/>
      <c r="J37" s="53" t="inlineStr"/>
      <c r="K37" s="53" t="inlineStr">
        <is>
          <t>Self-report only</t>
        </is>
      </c>
      <c r="L37" s="54">
        <f>IF(OR(C37&lt;&gt;1,AF37=0),0,IF(G37="LIVE_HARM",'Risk Method'!$B$10,IF(G37="LIVE_ISSUE",MAX(E37,'Risk Method'!$B$9),IF(AND(OR(G37="SYSTEMIC",G37="MATTER_UNCLEAR"),D37&amp;""="3"),0,IF(G37="SYSTEMIC",IF(E37=0,0,MIN('Risk Method'!$B$9,E37+1)),E37)))))</f>
        <v>1</v>
      </c>
      <c r="M37" s="54" t="str">
        <f>IF(C37&lt;&gt;1,"Not assessed",IF(AF37=0,"Incomplete",VLOOKUP(L37,'Risk Method'!$F$6:$H$10,2,FALSE)))</f>
        <v>Low</v>
      </c>
      <c r="N37" s="54">
        <f>IF(OR(C37&lt;&gt;1,AF37=0),0,IF(G37="LIVE_HARM",'Risk Method'!$B$10,IF(G37="NONE",F37,IF(G37="SYSTEMIC",MIN('Risk Method'!$B$9,MAX(F37+1,IF(D37&amp;""="3",'Risk Method'!$B$9,0))),MAX(F37,'Risk Method'!$B$9)))))</f>
        <v>1</v>
      </c>
      <c r="O37" s="54" t="str">
        <f>IF(N37=0,"Not assessed",VLOOKUP(N37,'Risk Method'!$F$6:$H$10,3,FALSE))</f>
        <v>Low</v>
      </c>
      <c r="P37" s="54" t="str">
        <f>IF(OR(C37&lt;&gt;1,AF37=0),"",INDEX('Answer Outcomes'!$E$6:$E$350,$AF37))</f>
        <v>Maintain and test: make recognition fair and specific</v>
      </c>
      <c r="Q37" s="54" t="str">
        <f>IF(OR(C37&lt;&gt;1,AF37=0),"",INDEX('Answer Outcomes'!$G$6:$G$350,$AF37))</f>
        <v>Inconsistent recognition can leave useful contributions overlooked and make access to development feel arbitrary.</v>
      </c>
      <c r="R37" s="54" t="str">
        <f>IF(OR(C37&lt;&gt;1,AF37=0),"",IF(G37="LIVE_HARM","Protect people and contain the reported exposure now. Seek appropriate urgent assistance and arrange a competent review. Do not wait for this assessment or a sales appointment.",IF(OR(G37="LIVE_ISSUE",AND(G37="SYSTEMIC",D37&amp;""="3")),"Review the reported current matter and reconcile it with the maturity answer before relying on the result. Preserve relevant evidence, allocate an impartial owner and assess immediate safeguards. Context: "&amp;H37,IF(G37="DEADLINE","Confirm the actual deadline and complete the necessary checks before the affected event. "&amp;INDEX('Answer Outcomes'!$M$6:$M$350,$AF37),IF(G37="MATTER_UNCLEAR","Confirm promptly whether the time-sensitive matter exists and who owns the response. Do not treat uncertainty as proof of an incident. "&amp;INDEX('Answer Outcomes'!$M$6:$M$350,$AF37),INDEX('Answer Outcomes'!$M$6:$M$350,$AF37))))))</f>
        <v>Maintain the practice described. At the next relevant review, review a later allocation for fairness and ask whether the recognition was meaningful.</v>
      </c>
      <c r="S37" s="54" t="str">
        <f>IF(OR(C37&lt;&gt;1,AF37=0),"","1. "&amp;INDEX('Answer Outcomes'!$N$6:$N$350,$AF37)&amp;CHAR(10)&amp;"2. "&amp;INDEX('Answer Outcomes'!$O$6:$O$350,$AF37))</f>
        <v>1. Check whether changes in work, people or applicable requirements have made the original process less reliable.
2. Retain the review outcome and act on any new exception. An unresolved live issue overrides this maintenance pathway.</v>
      </c>
      <c r="T37" s="54" t="str">
        <f>IF(OR(C37&lt;&gt;1,AF37=0),"",IF(G37="NONE",INDEX('Answer Outcomes'!$L$6:$L$350,$AF37),"Context "&amp;G37&amp;": "&amp;H37&amp;". Scope: "&amp;I37&amp;". "&amp;IF(G37="DEADLINE","The deadline raises action urgency; it does not establish a breach or automatically raise the risk rating.",IF(D37&amp;""="3","The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7" s="54" t="str">
        <f>IF(OR(C37&lt;&gt;1,AF37=0),"",INDEX('Answer Outcomes'!$Q$6:$Q$350,$AF37))</f>
        <v>A current example of the practice and a proportionate recheck record. Recognition and development decisions have been checked for consistency and access, identified barriers have been addressed, and a later example shows the revised approach in use.</v>
      </c>
      <c r="V37" s="54" t="str">
        <f>IF(OR(C37&lt;&gt;1,AF37=0),"",INDEX('Answer Outcomes'!$T$6:$T$350,$AF37))</f>
        <v>Business leader</v>
      </c>
      <c r="W37" s="54" t="str">
        <f>IF(N37=0,"",IF(N37='Risk Method'!$B$10,"Act now. Immediate protective action and appropriate urgent advice take precedence.",IF(N37='Risk Method'!$B$9,"Review or verify within "&amp;'Risk Method'!$B$11&amp;" business days, or before an earlier duty/event. Do not wait where harm or law requires immediate action.",IF(N37='Risk Method'!$B$8,"Agree and start a plan within "&amp;'Risk Method'!$B$12&amp;" days, or before an earlier affected event.","Maintain at the stated trigger; plan any discretionary improvement within "&amp;'Risk Method'!$B$13&amp;" days.")))&amp;IF(J37="",""," Next event: "&amp;J37))</f>
        <v>Maintain at the stated trigger; plan any discretionary improvement within 90 days.</v>
      </c>
      <c r="X37" s="54" t="str">
        <f>IF(OR(C37&lt;&gt;1,AF37=0),"",INDEX('Answer Outcomes'!$V$6:$V$350,$AF37))</f>
        <v>CULTURE</v>
      </c>
      <c r="Y37" s="54" t="str">
        <f>IF(C37&lt;&gt;1,"",A37&amp;"_"&amp;D37)</f>
        <v>CUL03_3</v>
      </c>
      <c r="Z37" s="54">
        <f>IF(N37=0,0,N37*100000+L37*1000+INDEX('Answer Outcomes'!$I$6:$I$350,$AF37)*100+IF(G37="DEADLINE",50,0)+(75-ROW())/100)</f>
        <v>101100.38</v>
      </c>
      <c r="AA37" s="54">
        <f>IF(Z37=0,"",RANK(Z37,$Z$6:$Z$74,0))</f>
        <v>44</v>
      </c>
      <c r="AB37" s="54" t="str">
        <f>IF(AND(C37&lt;&gt;0,C37&lt;&gt;1),"Invalid eligibility",IF(AND(C37=0,G37&lt;&gt;"NONE"),"Context conflicts with exclusion",IF(C37=0,"",IF(AF37=0,"Missing or invalid answer",IF(AND(G37&lt;&gt;"NONE",G37&lt;&gt;"LIVE_HARM",G37&lt;&gt;"LIVE_ISSUE",G37&lt;&gt;"DEADLINE",G37&lt;&gt;"SYSTEMIC",G37&lt;&gt;"MATTER_UNCLEAR"),"Invalid context code",IF(AND(G37&lt;&gt;"NONE",OR(H37="",I37="")),"Override needs reason and scope",""))))))</f>
        <v/>
      </c>
      <c r="AC37" s="54" t="str">
        <f>IF(OR(C37&lt;&gt;1,AF37=0),"",INDEX('Answer Outcomes'!$S$6:$S$350,$AF37))</f>
        <v>Recognition cycles or concerns about unequal access to opportunities.</v>
      </c>
      <c r="AD37" s="54" t="str">
        <f>IF(OR(C37&lt;&gt;1,AF37=0),"",INDEX('Answer Outcomes'!$Y$6:$Y$350,$AF37))</f>
        <v>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v>
      </c>
      <c r="AE37" s="38" t="inlineStr">
        <is>
          <t>CUL01</t>
        </is>
      </c>
      <c r="AF37" s="54">
        <f>IF(C37&lt;&gt;1,0,IFERROR(MATCH(Y37,'Answer Outcomes'!$A$6:$A$350,0),0))</f>
        <v>159</v>
      </c>
      <c r="AG37" s="54">
        <f>IF(N37&lt;'Risk Method'!$B$8,0,IF(COUNTIFS($X$6:$X$74,X37,$Z$6:$Z$74,"&gt;"&amp;Z37)=0,Z37,0))</f>
        <v>0</v>
      </c>
      <c r="AH37" s="54" t="str">
        <f>IF(AG37=0,"",RANK(AG37,$AG$6:$AG$74,0))</f>
        <v/>
      </c>
      <c r="AI37" s="54">
        <f>IF(LEN(AB37)&gt;0,1,0)</f>
        <v>0</v>
      </c>
    </row>
    <row r="38" ht="44" customHeight="1">
      <c r="A38" s="37" t="inlineStr">
        <is>
          <t>CUL04</t>
        </is>
      </c>
      <c r="B38" s="37" t="inlineStr">
        <is>
          <t>CUL</t>
        </is>
      </c>
      <c r="C38" s="52">
        <f>'Score Sandbox'!F58</f>
        <v>1</v>
      </c>
      <c r="D38" s="52">
        <f>IF(COUNTBLANK('Score Sandbox'!G58)&gt;0,"",'Score Sandbox'!G58)</f>
        <v>3</v>
      </c>
      <c r="E38" s="52">
        <f>IF(OR(C38&lt;&gt;1,AF38=0),"",INDEX('Answer Outcomes'!$J$6:$J$350,$AF38))</f>
        <v>1</v>
      </c>
      <c r="F38" s="52">
        <f>IF(OR(C38&lt;&gt;1,AF38=0),"",INDEX('Answer Outcomes'!$K$6:$K$350,$AF38))</f>
        <v>1</v>
      </c>
      <c r="G38" s="53" t="inlineStr">
        <is>
          <t>NONE</t>
        </is>
      </c>
      <c r="H38" s="53" t="inlineStr"/>
      <c r="I38" s="53" t="inlineStr"/>
      <c r="J38" s="53" t="inlineStr"/>
      <c r="K38" s="53" t="inlineStr">
        <is>
          <t>Self-report only</t>
        </is>
      </c>
      <c r="L38" s="52">
        <f>IF(OR(C38&lt;&gt;1,AF38=0),0,IF(G38="LIVE_HARM",'Risk Method'!$B$10,IF(G38="LIVE_ISSUE",MAX(E38,'Risk Method'!$B$9),IF(AND(OR(G38="SYSTEMIC",G38="MATTER_UNCLEAR"),D38&amp;""="3"),0,IF(G38="SYSTEMIC",IF(E38=0,0,MIN('Risk Method'!$B$9,E38+1)),E38)))))</f>
        <v>1</v>
      </c>
      <c r="M38" s="52" t="str">
        <f>IF(C38&lt;&gt;1,"Not assessed",IF(AF38=0,"Incomplete",VLOOKUP(L38,'Risk Method'!$F$6:$H$10,2,FALSE)))</f>
        <v>Low</v>
      </c>
      <c r="N38" s="52">
        <f>IF(OR(C38&lt;&gt;1,AF38=0),0,IF(G38="LIVE_HARM",'Risk Method'!$B$10,IF(G38="NONE",F38,IF(G38="SYSTEMIC",MIN('Risk Method'!$B$9,MAX(F38+1,IF(D38&amp;""="3",'Risk Method'!$B$9,0))),MAX(F38,'Risk Method'!$B$9)))))</f>
        <v>1</v>
      </c>
      <c r="O38" s="52" t="str">
        <f>IF(N38=0,"Not assessed",VLOOKUP(N38,'Risk Method'!$F$6:$H$10,3,FALSE))</f>
        <v>Low</v>
      </c>
      <c r="P38" s="52" t="str">
        <f>IF(OR(C38&lt;&gt;1,AF38=0),"",INDEX('Answer Outcomes'!$E$6:$E$350,$AF38))</f>
        <v>Maintain and test: make leadership behaviour part of performance</v>
      </c>
      <c r="Q38" s="52" t="str">
        <f>IF(OR(C38&lt;&gt;1,AF38=0),"",INDEX('Answer Outcomes'!$G$6:$G$350,$AF38))</f>
        <v>A leader who delivers operational results can still create unresolved people problems unless behaviour is reviewed separately.</v>
      </c>
      <c r="R38" s="52" t="str">
        <f>IF(OR(C38&lt;&gt;1,AF38=0),"",IF(G38="LIVE_HARM","Protect people and contain the reported exposure now. Seek appropriate urgent assistance and arrange a competent review. Do not wait for this assessment or a sales appointment.",IF(OR(G38="LIVE_ISSUE",AND(G38="SYSTEMIC",D38&amp;""="3")),"Review the reported current matter and reconcile it with the maturity answer before relying on the result. Preserve relevant evidence, allocate an impartial owner and assess immediate safeguards. Context: "&amp;H38,IF(G38="DEADLINE","Confirm the actual deadline and complete the necessary checks before the affected event. "&amp;INDEX('Answer Outcomes'!$M$6:$M$350,$AF38),IF(G38="MATTER_UNCLEAR","Confirm promptly whether the time-sensitive matter exists and who owns the response. Do not treat uncertainty as proof of an incident. "&amp;INDEX('Answer Outcomes'!$M$6:$M$350,$AF38),INDEX('Answer Outcomes'!$M$6:$M$350,$AF38))))))</f>
        <v>Maintain the practice described. At the next relevant review, review actual examples and employee input, and address recurring concerns even where commercial results are strong.</v>
      </c>
      <c r="S38" s="52" t="str">
        <f>IF(OR(C38&lt;&gt;1,AF38=0),"","1. "&amp;INDEX('Answer Outcomes'!$N$6:$N$350,$AF38)&amp;CHAR(10)&amp;"2. "&amp;INDEX('Answer Outcomes'!$O$6:$O$350,$AF38))</f>
        <v>1. Check whether changes in work, people or applicable requirements have made the original process less reliable.
2. Retain the review outcome and act on any new exception. An unresolved live issue overrides this maintenance pathway.</v>
      </c>
      <c r="T38" s="52" t="str">
        <f>IF(OR(C38&lt;&gt;1,AF38=0),"",IF(G38="NONE",INDEX('Answer Outcomes'!$L$6:$L$350,$AF38),"Context "&amp;G38&amp;": "&amp;H38&amp;". Scope: "&amp;I38&amp;". "&amp;IF(G38="DEADLINE","The deadline raises action urgency; it does not establish a breach or automatically raise the risk rating.",IF(D38&amp;""="3","The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8" s="52" t="str">
        <f>IF(OR(C38&lt;&gt;1,AF38=0),"",INDEX('Answer Outcomes'!$Q$6:$Q$350,$AF38))</f>
        <v>A current example of the practice and a proportionate recheck record. People-leadership expectations and support are clear, and a sample of real decisions demonstrates their use. Inconsistent behaviour is addressed and followed up, not simply recorded in a leadership document.</v>
      </c>
      <c r="V38" s="52" t="str">
        <f>IF(OR(C38&lt;&gt;1,AF38=0),"",INDEX('Answer Outcomes'!$T$6:$T$350,$AF38))</f>
        <v>Business leader</v>
      </c>
      <c r="W38" s="52" t="str">
        <f>IF(N38=0,"",IF(N38='Risk Method'!$B$10,"Act now. Immediate protective action and appropriate urgent advice take precedence.",IF(N38='Risk Method'!$B$9,"Review or verify within "&amp;'Risk Method'!$B$11&amp;" business days, or before an earlier duty/event. Do not wait where harm or law requires immediate action.",IF(N38='Risk Method'!$B$8,"Agree and start a plan within "&amp;'Risk Method'!$B$12&amp;" days, or before an earlier affected event.","Maintain at the stated trigger; plan any discretionary improvement within "&amp;'Risk Method'!$B$13&amp;" days.")))&amp;IF(J38="",""," Next event: "&amp;J38))</f>
        <v>Maintain at the stated trigger; plan any discretionary improvement within 90 days.</v>
      </c>
      <c r="X38" s="52" t="str">
        <f>IF(OR(C38&lt;&gt;1,AF38=0),"",INDEX('Answer Outcomes'!$V$6:$V$350,$AF38))</f>
        <v>LEADERSHIP</v>
      </c>
      <c r="Y38" s="52" t="str">
        <f>IF(C38&lt;&gt;1,"",A38&amp;"_"&amp;D38)</f>
        <v>CUL04_3</v>
      </c>
      <c r="Z38" s="52">
        <f>IF(N38=0,0,N38*100000+L38*1000+INDEX('Answer Outcomes'!$I$6:$I$350,$AF38)*100+IF(G38="DEADLINE",50,0)+(75-ROW())/100)</f>
        <v>101200.37</v>
      </c>
      <c r="AA38" s="52">
        <f>IF(Z38=0,"",RANK(Z38,$Z$6:$Z$74,0))</f>
        <v>43</v>
      </c>
      <c r="AB38" s="52" t="str">
        <f>IF(AND(C38&lt;&gt;0,C38&lt;&gt;1),"Invalid eligibility",IF(AND(C38=0,G38&lt;&gt;"NONE"),"Context conflicts with exclusion",IF(C38=0,"",IF(AF38=0,"Missing or invalid answer",IF(AND(G38&lt;&gt;"NONE",G38&lt;&gt;"LIVE_HARM",G38&lt;&gt;"LIVE_ISSUE",G38&lt;&gt;"DEADLINE",G38&lt;&gt;"SYSTEMIC",G38&lt;&gt;"MATTER_UNCLEAR"),"Invalid context code",IF(AND(G38&lt;&gt;"NONE",OR(H38="",I38="")),"Override needs reason and scope",""))))))</f>
        <v/>
      </c>
      <c r="AC38" s="52" t="str">
        <f>IF(OR(C38&lt;&gt;1,AF38=0),"",INDEX('Answer Outcomes'!$S$6:$S$350,$AF38))</f>
        <v>Repeated team concerns, a new leader or a performance review.</v>
      </c>
      <c r="AD38" s="52" t="str">
        <f>IF(OR(C38&lt;&gt;1,AF38=0),"",INDEX('Answer Outcomes'!$Y$6:$Y$350,$AF38))</f>
        <v>https://humanrights.gov.au/resource-hub/resources-for-organisations-businesses/positive-duty-pdfs/guidelines-for-complying-with-the-positive-duty-under-the-sex-discrimination-act-1984-cth
https://www.fairwork.gov.au/sites/default/files/migration/711/managing-underperformance-best-practice-guide.pdf</v>
      </c>
      <c r="AE38" s="37" t="inlineStr">
        <is>
          <t>CUL01;PER01</t>
        </is>
      </c>
      <c r="AF38" s="52">
        <f>IF(C38&lt;&gt;1,0,IFERROR(MATCH(Y38,'Answer Outcomes'!$A$6:$A$350,0),0))</f>
        <v>164</v>
      </c>
      <c r="AG38" s="52">
        <f>IF(N38&lt;'Risk Method'!$B$8,0,IF(COUNTIFS($X$6:$X$74,X38,$Z$6:$Z$74,"&gt;"&amp;Z38)=0,Z38,0))</f>
        <v>0</v>
      </c>
      <c r="AH38" s="52" t="str">
        <f>IF(AG38=0,"",RANK(AG38,$AG$6:$AG$74,0))</f>
        <v/>
      </c>
      <c r="AI38" s="52">
        <f>IF(LEN(AB38)&gt;0,1,0)</f>
        <v>0</v>
      </c>
    </row>
    <row r="39" ht="44" customHeight="1">
      <c r="A39" s="38" t="inlineStr">
        <is>
          <t>DAT01</t>
        </is>
      </c>
      <c r="B39" s="38" t="inlineStr">
        <is>
          <t>DAT</t>
        </is>
      </c>
      <c r="C39" s="54">
        <f>'Score Sandbox'!F59</f>
        <v>1</v>
      </c>
      <c r="D39" s="54">
        <f>IF(COUNTBLANK('Score Sandbox'!G59)&gt;0,"",'Score Sandbox'!G59)</f>
        <v>3</v>
      </c>
      <c r="E39" s="54">
        <f>IF(OR(C39&lt;&gt;1,AF39=0),"",INDEX('Answer Outcomes'!$J$6:$J$350,$AF39))</f>
        <v>1</v>
      </c>
      <c r="F39" s="54">
        <f>IF(OR(C39&lt;&gt;1,AF39=0),"",INDEX('Answer Outcomes'!$K$6:$K$350,$AF39))</f>
        <v>1</v>
      </c>
      <c r="G39" s="53" t="inlineStr">
        <is>
          <t>NONE</t>
        </is>
      </c>
      <c r="H39" s="53" t="inlineStr"/>
      <c r="I39" s="53" t="inlineStr"/>
      <c r="J39" s="53" t="inlineStr"/>
      <c r="K39" s="53" t="inlineStr">
        <is>
          <t>Self-report only</t>
        </is>
      </c>
      <c r="L39" s="54">
        <f>IF(OR(C39&lt;&gt;1,AF39=0),0,IF(G39="LIVE_HARM",'Risk Method'!$B$10,IF(G39="LIVE_ISSUE",MAX(E39,'Risk Method'!$B$9),IF(AND(OR(G39="SYSTEMIC",G39="MATTER_UNCLEAR"),D39&amp;""="3"),0,IF(G39="SYSTEMIC",IF(E39=0,0,MIN('Risk Method'!$B$9,E39+1)),E39)))))</f>
        <v>1</v>
      </c>
      <c r="M39" s="54" t="str">
        <f>IF(C39&lt;&gt;1,"Not assessed",IF(AF39=0,"Incomplete",VLOOKUP(L39,'Risk Method'!$F$6:$H$10,2,FALSE)))</f>
        <v>Low</v>
      </c>
      <c r="N39" s="54">
        <f>IF(OR(C39&lt;&gt;1,AF39=0),0,IF(G39="LIVE_HARM",'Risk Method'!$B$10,IF(G39="NONE",F39,IF(G39="SYSTEMIC",MIN('Risk Method'!$B$9,MAX(F39+1,IF(D39&amp;""="3",'Risk Method'!$B$9,0))),MAX(F39,'Risk Method'!$B$9)))))</f>
        <v>1</v>
      </c>
      <c r="O39" s="54" t="str">
        <f>IF(N39=0,"Not assessed",VLOOKUP(N39,'Risk Method'!$F$6:$H$10,3,FALSE))</f>
        <v>Low</v>
      </c>
      <c r="P39" s="54" t="str">
        <f>IF(OR(C39&lt;&gt;1,AF39=0),"",INDEX('Answer Outcomes'!$E$6:$E$350,$AF39))</f>
        <v>Maintain and test: make the pay decision traceable</v>
      </c>
      <c r="Q39" s="54" t="str">
        <f>IF(OR(C39&lt;&gt;1,AF39=0),"",INDEX('Answer Outcomes'!$G$6:$G$350,$AF39))</f>
        <v>Missing source records make it harder to establish what work was performed and whether entitlements were paid correctly.</v>
      </c>
      <c r="R39" s="54" t="str">
        <f>IF(OR(C39&lt;&gt;1,AF39=0),"",IF(G39="LIVE_HARM","Protect people and contain the reported exposure now. Seek appropriate urgent assistance and arrange a competent review. Do not wait for this assessment or a sales appointment.",IF(OR(G39="LIVE_ISSUE",AND(G39="SYSTEMIC",D39&amp;""="3")),"Review the reported current matter and reconcile it with the maturity answer before relying on the result. Preserve relevant evidence, allocate an impartial owner and assess immediate safeguards. Context: "&amp;H39,IF(G39="DEADLINE","Confirm the actual deadline and complete the necessary checks before the affected event. "&amp;INDEX('Answer Outcomes'!$M$6:$M$350,$AF39),IF(G39="MATTER_UNCLEAR","Confirm promptly whether the time-sensitive matter exists and who owns the response. Do not treat uncertainty as proof of an incident. "&amp;INDEX('Answer Outcomes'!$M$6:$M$350,$AF39),INDEX('Answer Outcomes'!$M$6:$M$350,$AF39))))))</f>
        <v>Maintain the practice described. At the next relevant review, repeat the reconstruction using an ordinary and an exception payment and confirm another authorised person can follow it.</v>
      </c>
      <c r="S39" s="54" t="str">
        <f>IF(OR(C39&lt;&gt;1,AF39=0),"","1. "&amp;INDEX('Answer Outcomes'!$N$6:$N$350,$AF39)&amp;CHAR(10)&amp;"2. "&amp;INDEX('Answer Outcomes'!$O$6:$O$350,$AF39))</f>
        <v>1. Check whether changes in work, people or applicable requirements have made the original process less reliable.
2. Retain the review outcome and act on any new exception. An unresolved live issue overrides this maintenance pathway.</v>
      </c>
      <c r="T39" s="54" t="str">
        <f>IF(OR(C39&lt;&gt;1,AF39=0),"",IF(G39="NONE",INDEX('Answer Outcomes'!$L$6:$L$350,$AF39),"Context "&amp;G39&amp;": "&amp;H39&amp;". Scope: "&amp;I39&amp;". "&amp;IF(G39="DEADLINE","The deadline raises action urgency; it does not establish a breach or automatically raise the risk rating.",IF(D39&amp;""="3","The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39" s="54" t="str">
        <f>IF(OR(C39&lt;&gt;1,AF39=0),"",INDEX('Answer Outcomes'!$Q$6:$Q$350,$AF39))</f>
        <v>A current example of the practice and a proportionate recheck record. A reproducible pay trail, retention rules and records of corrections rather than unexplained changes.</v>
      </c>
      <c r="V39" s="54" t="str">
        <f>IF(OR(C39&lt;&gt;1,AF39=0),"",INDEX('Answer Outcomes'!$T$6:$T$350,$AF39))</f>
        <v>Payroll / systems lead</v>
      </c>
      <c r="W39" s="54" t="str">
        <f>IF(N39=0,"",IF(N39='Risk Method'!$B$10,"Act now. Immediate protective action and appropriate urgent advice take precedence.",IF(N39='Risk Method'!$B$9,"Review or verify within "&amp;'Risk Method'!$B$11&amp;" business days, or before an earlier duty/event. Do not wait where harm or law requires immediate action.",IF(N39='Risk Method'!$B$8,"Agree and start a plan within "&amp;'Risk Method'!$B$12&amp;" days, or before an earlier affected event.","Maintain at the stated trigger; plan any discretionary improvement within "&amp;'Risk Method'!$B$13&amp;" days.")))&amp;IF(J39="",""," Next event: "&amp;J39))</f>
        <v>Maintain at the stated trigger; plan any discretionary improvement within 90 days.</v>
      </c>
      <c r="X39" s="54" t="str">
        <f>IF(OR(C39&lt;&gt;1,AF39=0),"",INDEX('Answer Outcomes'!$V$6:$V$350,$AF39))</f>
        <v>PAY_ASSURANCE</v>
      </c>
      <c r="Y39" s="54" t="str">
        <f>IF(C39&lt;&gt;1,"",A39&amp;"_"&amp;D39)</f>
        <v>DAT01_3</v>
      </c>
      <c r="Z39" s="54">
        <f>IF(N39=0,0,N39*100000+L39*1000+INDEX('Answer Outcomes'!$I$6:$I$350,$AF39)*100+IF(G39="DEADLINE",50,0)+(75-ROW())/100)</f>
        <v>101300.36</v>
      </c>
      <c r="AA39" s="54">
        <f>IF(Z39=0,"",RANK(Z39,$Z$6:$Z$74,0))</f>
        <v>19</v>
      </c>
      <c r="AB39" s="54" t="str">
        <f>IF(AND(C39&lt;&gt;0,C39&lt;&gt;1),"Invalid eligibility",IF(AND(C39=0,G39&lt;&gt;"NONE"),"Context conflicts with exclusion",IF(C39=0,"",IF(AF39=0,"Missing or invalid answer",IF(AND(G39&lt;&gt;"NONE",G39&lt;&gt;"LIVE_HARM",G39&lt;&gt;"LIVE_ISSUE",G39&lt;&gt;"DEADLINE",G39&lt;&gt;"SYSTEMIC",G39&lt;&gt;"MATTER_UNCLEAR"),"Invalid context code",IF(AND(G39&lt;&gt;"NONE",OR(H39="",I39="")),"Override needs reason and scope",""))))))</f>
        <v/>
      </c>
      <c r="AC39" s="54" t="str">
        <f>IF(OR(C39&lt;&gt;1,AF39=0),"",INDEX('Answer Outcomes'!$S$6:$S$350,$AF39))</f>
        <v>A discrepancy, record-system change or missing source record.</v>
      </c>
      <c r="AD39" s="54" t="str">
        <f>IF(OR(C39&lt;&gt;1,AF39=0),"",INDEX('Answer Outcomes'!$Y$6:$Y$350,$AF39))</f>
        <v>https://www.fairwork.gov.au/tools-and-resources/fact-sheets/rights-and-obligations/record-keeping-pay-slips
https://www.fairwork.gov.au/newsroom/news/offsetting-and-record-keeping-salaried-employees</v>
      </c>
      <c r="AE39" s="38" t="inlineStr">
        <is>
          <t>PAY01</t>
        </is>
      </c>
      <c r="AF39" s="54">
        <f>IF(C39&lt;&gt;1,0,IFERROR(MATCH(Y39,'Answer Outcomes'!$A$6:$A$350,0),0))</f>
        <v>169</v>
      </c>
      <c r="AG39" s="54">
        <f>IF(N39&lt;'Risk Method'!$B$8,0,IF(COUNTIFS($X$6:$X$74,X39,$Z$6:$Z$74,"&gt;"&amp;Z39)=0,Z39,0))</f>
        <v>0</v>
      </c>
      <c r="AH39" s="54" t="str">
        <f>IF(AG39=0,"",RANK(AG39,$AG$6:$AG$74,0))</f>
        <v/>
      </c>
      <c r="AI39" s="54">
        <f>IF(LEN(AB39)&gt;0,1,0)</f>
        <v>0</v>
      </c>
    </row>
    <row r="40" ht="44" customHeight="1">
      <c r="A40" s="37" t="inlineStr">
        <is>
          <t>DAT02</t>
        </is>
      </c>
      <c r="B40" s="37" t="inlineStr">
        <is>
          <t>DAT</t>
        </is>
      </c>
      <c r="C40" s="52">
        <f>'Score Sandbox'!F60</f>
        <v>1</v>
      </c>
      <c r="D40" s="52">
        <f>IF(COUNTBLANK('Score Sandbox'!G60)&gt;0,"",'Score Sandbox'!G60)</f>
        <v>3</v>
      </c>
      <c r="E40" s="52">
        <f>IF(OR(C40&lt;&gt;1,AF40=0),"",INDEX('Answer Outcomes'!$J$6:$J$350,$AF40))</f>
        <v>1</v>
      </c>
      <c r="F40" s="52">
        <f>IF(OR(C40&lt;&gt;1,AF40=0),"",INDEX('Answer Outcomes'!$K$6:$K$350,$AF40))</f>
        <v>1</v>
      </c>
      <c r="G40" s="53" t="inlineStr">
        <is>
          <t>NONE</t>
        </is>
      </c>
      <c r="H40" s="53" t="inlineStr"/>
      <c r="I40" s="53" t="inlineStr"/>
      <c r="J40" s="53" t="inlineStr"/>
      <c r="K40" s="53" t="inlineStr">
        <is>
          <t>Self-report only</t>
        </is>
      </c>
      <c r="L40" s="52">
        <f>IF(OR(C40&lt;&gt;1,AF40=0),0,IF(G40="LIVE_HARM",'Risk Method'!$B$10,IF(G40="LIVE_ISSUE",MAX(E40,'Risk Method'!$B$9),IF(AND(OR(G40="SYSTEMIC",G40="MATTER_UNCLEAR"),D40&amp;""="3"),0,IF(G40="SYSTEMIC",IF(E40=0,0,MIN('Risk Method'!$B$9,E40+1)),E40)))))</f>
        <v>1</v>
      </c>
      <c r="M40" s="52" t="str">
        <f>IF(C40&lt;&gt;1,"Not assessed",IF(AF40=0,"Incomplete",VLOOKUP(L40,'Risk Method'!$F$6:$H$10,2,FALSE)))</f>
        <v>Low</v>
      </c>
      <c r="N40" s="52">
        <f>IF(OR(C40&lt;&gt;1,AF40=0),0,IF(G40="LIVE_HARM",'Risk Method'!$B$10,IF(G40="NONE",F40,IF(G40="SYSTEMIC",MIN('Risk Method'!$B$9,MAX(F40+1,IF(D40&amp;""="3",'Risk Method'!$B$9,0))),MAX(F40,'Risk Method'!$B$9)))))</f>
        <v>1</v>
      </c>
      <c r="O40" s="52" t="str">
        <f>IF(N40=0,"Not assessed",VLOOKUP(N40,'Risk Method'!$F$6:$H$10,3,FALSE))</f>
        <v>Low</v>
      </c>
      <c r="P40" s="52" t="str">
        <f>IF(OR(C40&lt;&gt;1,AF40=0),"",INDEX('Answer Outcomes'!$E$6:$E$350,$AF40))</f>
        <v>Maintain and test: protect information across the whole process</v>
      </c>
      <c r="Q40" s="52" t="str">
        <f>IF(OR(C40&lt;&gt;1,AF40=0),"",INDEX('Answer Outcomes'!$G$6:$G$350,$AF40))</f>
        <v>Excessive access or uncontrolled sharing can expose sensitive information, including material held outside the main HR system.</v>
      </c>
      <c r="R40" s="52" t="str">
        <f>IF(OR(C40&lt;&gt;1,AF40=0),"",IF(G40="LIVE_HARM","Protect people and contain the reported exposure now. Seek appropriate urgent assistance and arrange a competent review. Do not wait for this assessment or a sales appointment.",IF(OR(G40="LIVE_ISSUE",AND(G40="SYSTEMIC",D40&amp;""="3")),"Review the reported current matter and reconcile it with the maturity answer before relying on the result. Preserve relevant evidence, allocate an impartial owner and assess immediate safeguards. Context: "&amp;H40,IF(G40="DEADLINE","Confirm the actual deadline and complete the necessary checks before the affected event. "&amp;INDEX('Answer Outcomes'!$M$6:$M$350,$AF40),IF(G40="MATTER_UNCLEAR","Confirm promptly whether the time-sensitive matter exists and who owns the response. Do not treat uncertainty as proof of an incident. "&amp;INDEX('Answer Outcomes'!$M$6:$M$350,$AF40),INDEX('Answer Outcomes'!$M$6:$M$350,$AF40))))))</f>
        <v>Maintain the practice described. At the next relevant review, test a representative information flow and remove unnecessary copies or access through a controlled process, subject to retention and preservation requirements.</v>
      </c>
      <c r="S40" s="52" t="str">
        <f>IF(OR(C40&lt;&gt;1,AF40=0),"","1. "&amp;INDEX('Answer Outcomes'!$N$6:$N$350,$AF40)&amp;CHAR(10)&amp;"2. "&amp;INDEX('Answer Outcomes'!$O$6:$O$350,$AF40))</f>
        <v>1. Check whether changes in work, people or applicable requirements have made the original process less reliable.
2. Retain the review outcome and act on any new exception. An unresolved live issue overrides this maintenance pathway.</v>
      </c>
      <c r="T40" s="52" t="str">
        <f>IF(OR(C40&lt;&gt;1,AF40=0),"",IF(G40="NONE",INDEX('Answer Outcomes'!$L$6:$L$350,$AF40),"Context "&amp;G40&amp;": "&amp;H40&amp;". Scope: "&amp;I40&amp;". "&amp;IF(G40="DEADLINE","The deadline raises action urgency; it does not establish a breach or automatically raise the risk rating.",IF(D40&amp;""="3","The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0" s="52" t="str">
        <f>IF(OR(C40&lt;&gt;1,AF40=0),"",INDEX('Answer Outcomes'!$Q$6:$Q$350,$AF40))</f>
        <v>A current example of the practice and a proportionate recheck record. The information-handling and access review is complete, unnecessary access has been removed, applicable privacy and retention requirements are mapped and priority safeguards work in practice. An unresolved exposure stays open.</v>
      </c>
      <c r="V40" s="52" t="str">
        <f>IF(OR(C40&lt;&gt;1,AF40=0),"",INDEX('Answer Outcomes'!$T$6:$T$350,$AF40))</f>
        <v>Payroll / systems lead</v>
      </c>
      <c r="W40" s="52" t="str">
        <f>IF(N40=0,"",IF(N40='Risk Method'!$B$10,"Act now. Immediate protective action and appropriate urgent advice take precedence.",IF(N40='Risk Method'!$B$9,"Review or verify within "&amp;'Risk Method'!$B$11&amp;" business days, or before an earlier duty/event. Do not wait where harm or law requires immediate action.",IF(N40='Risk Method'!$B$8,"Agree and start a plan within "&amp;'Risk Method'!$B$12&amp;" days, or before an earlier affected event.","Maintain at the stated trigger; plan any discretionary improvement within "&amp;'Risk Method'!$B$13&amp;" days.")))&amp;IF(J40="",""," Next event: "&amp;J40))</f>
        <v>Maintain at the stated trigger; plan any discretionary improvement within 90 days.</v>
      </c>
      <c r="X40" s="52" t="str">
        <f>IF(OR(C40&lt;&gt;1,AF40=0),"",INDEX('Answer Outcomes'!$V$6:$V$350,$AF40))</f>
        <v>INFORMATION</v>
      </c>
      <c r="Y40" s="52" t="str">
        <f>IF(C40&lt;&gt;1,"",A40&amp;"_"&amp;D40)</f>
        <v>DAT02_3</v>
      </c>
      <c r="Z40" s="52">
        <f>IF(N40=0,0,N40*100000+L40*1000+INDEX('Answer Outcomes'!$I$6:$I$350,$AF40)*100+IF(G40="DEADLINE",50,0)+(75-ROW())/100)</f>
        <v>101300.35</v>
      </c>
      <c r="AA40" s="52">
        <f>IF(Z40=0,"",RANK(Z40,$Z$6:$Z$74,0))</f>
        <v>20</v>
      </c>
      <c r="AB40" s="52" t="str">
        <f>IF(AND(C40&lt;&gt;0,C40&lt;&gt;1),"Invalid eligibility",IF(AND(C40=0,G40&lt;&gt;"NONE"),"Context conflicts with exclusion",IF(C40=0,"",IF(AF40=0,"Missing or invalid answer",IF(AND(G40&lt;&gt;"NONE",G40&lt;&gt;"LIVE_HARM",G40&lt;&gt;"LIVE_ISSUE",G40&lt;&gt;"DEADLINE",G40&lt;&gt;"SYSTEMIC",G40&lt;&gt;"MATTER_UNCLEAR"),"Invalid context code",IF(AND(G40&lt;&gt;"NONE",OR(H40="",I40="")),"Override needs reason and scope",""))))))</f>
        <v/>
      </c>
      <c r="AC40" s="52" t="str">
        <f>IF(OR(C40&lt;&gt;1,AF40=0),"",INDEX('Answer Outcomes'!$S$6:$S$350,$AF40))</f>
        <v>New systems or providers, access changes or suspected disclosure.</v>
      </c>
      <c r="AD40" s="52" t="str">
        <f>IF(OR(C40&lt;&gt;1,AF40=0),"",INDEX('Answer Outcomes'!$Y$6:$Y$350,$AF40))</f>
        <v>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v>
      </c>
      <c r="AE40" s="37" t="inlineStr">
        <is>
          <t>None</t>
        </is>
      </c>
      <c r="AF40" s="52">
        <f>IF(C40&lt;&gt;1,0,IFERROR(MATCH(Y40,'Answer Outcomes'!$A$6:$A$350,0),0))</f>
        <v>174</v>
      </c>
      <c r="AG40" s="52">
        <f>IF(N40&lt;'Risk Method'!$B$8,0,IF(COUNTIFS($X$6:$X$74,X40,$Z$6:$Z$74,"&gt;"&amp;Z40)=0,Z40,0))</f>
        <v>0</v>
      </c>
      <c r="AH40" s="52" t="str">
        <f>IF(AG40=0,"",RANK(AG40,$AG$6:$AG$74,0))</f>
        <v/>
      </c>
      <c r="AI40" s="52">
        <f>IF(LEN(AB40)&gt;0,1,0)</f>
        <v>0</v>
      </c>
    </row>
    <row r="41" ht="44" customHeight="1">
      <c r="A41" s="38" t="inlineStr">
        <is>
          <t>DAT03</t>
        </is>
      </c>
      <c r="B41" s="38" t="inlineStr">
        <is>
          <t>DAT</t>
        </is>
      </c>
      <c r="C41" s="54">
        <f>'Score Sandbox'!F61</f>
        <v>1</v>
      </c>
      <c r="D41" s="54">
        <f>IF(COUNTBLANK('Score Sandbox'!G61)&gt;0,"",'Score Sandbox'!G61)</f>
        <v>3</v>
      </c>
      <c r="E41" s="54">
        <f>IF(OR(C41&lt;&gt;1,AF41=0),"",INDEX('Answer Outcomes'!$J$6:$J$350,$AF41))</f>
        <v>1</v>
      </c>
      <c r="F41" s="54">
        <f>IF(OR(C41&lt;&gt;1,AF41=0),"",INDEX('Answer Outcomes'!$K$6:$K$350,$AF41))</f>
        <v>1</v>
      </c>
      <c r="G41" s="53" t="inlineStr">
        <is>
          <t>NONE</t>
        </is>
      </c>
      <c r="H41" s="53" t="inlineStr"/>
      <c r="I41" s="53" t="inlineStr"/>
      <c r="J41" s="53" t="inlineStr"/>
      <c r="K41" s="53" t="inlineStr">
        <is>
          <t>Self-report only</t>
        </is>
      </c>
      <c r="L41" s="54">
        <f>IF(OR(C41&lt;&gt;1,AF41=0),0,IF(G41="LIVE_HARM",'Risk Method'!$B$10,IF(G41="LIVE_ISSUE",MAX(E41,'Risk Method'!$B$9),IF(AND(OR(G41="SYSTEMIC",G41="MATTER_UNCLEAR"),D41&amp;""="3"),0,IF(G41="SYSTEMIC",IF(E41=0,0,MIN('Risk Method'!$B$9,E41+1)),E41)))))</f>
        <v>1</v>
      </c>
      <c r="M41" s="54" t="str">
        <f>IF(C41&lt;&gt;1,"Not assessed",IF(AF41=0,"Incomplete",VLOOKUP(L41,'Risk Method'!$F$6:$H$10,2,FALSE)))</f>
        <v>Low</v>
      </c>
      <c r="N41" s="54">
        <f>IF(OR(C41&lt;&gt;1,AF41=0),0,IF(G41="LIVE_HARM",'Risk Method'!$B$10,IF(G41="NONE",F41,IF(G41="SYSTEMIC",MIN('Risk Method'!$B$9,MAX(F41+1,IF(D41&amp;""="3",'Risk Method'!$B$9,0))),MAX(F41,'Risk Method'!$B$9)))))</f>
        <v>1</v>
      </c>
      <c r="O41" s="54" t="str">
        <f>IF(N41=0,"Not assessed",VLOOKUP(N41,'Risk Method'!$F$6:$H$10,3,FALSE))</f>
        <v>Low</v>
      </c>
      <c r="P41" s="54" t="str">
        <f>IF(OR(C41&lt;&gt;1,AF41=0),"",INDEX('Answer Outcomes'!$E$6:$E$350,$AF41))</f>
        <v>Maintain and test: test retrieval before you need it</v>
      </c>
      <c r="Q41" s="54" t="str">
        <f>IF(OR(C41&lt;&gt;1,AF41=0),"",INDEX('Answer Outcomes'!$G$6:$G$350,$AF41))</f>
        <v>A backup that cannot be retrieved by an authorised person may fail when the usual administrator or system is unavailable.</v>
      </c>
      <c r="R41" s="54" t="str">
        <f>IF(OR(C41&lt;&gt;1,AF41=0),"",IF(G41="LIVE_HARM","Protect people and contain the reported exposure now. Seek appropriate urgent assistance and arrange a competent review. Do not wait for this assessment or a sales appointment.",IF(OR(G41="LIVE_ISSUE",AND(G41="SYSTEMIC",D41&amp;""="3")),"Review the reported current matter and reconcile it with the maturity answer before relying on the result. Preserve relevant evidence, allocate an impartial owner and assess immediate safeguards. Context: "&amp;H41,IF(G41="DEADLINE","Confirm the actual deadline and complete the necessary checks before the affected event. "&amp;INDEX('Answer Outcomes'!$M$6:$M$350,$AF41),IF(G41="MATTER_UNCLEAR","Confirm promptly whether the time-sensitive matter exists and who owns the response. Do not treat uncertainty as proof of an incident. "&amp;INDEX('Answer Outcomes'!$M$6:$M$350,$AF41),INDEX('Answer Outcomes'!$M$6:$M$350,$AF41))))))</f>
        <v>Maintain the practice described. At the next relevant review, run a retrieval test using a defined set of essential records and verify completeness and current versions.</v>
      </c>
      <c r="S41" s="54" t="str">
        <f>IF(OR(C41&lt;&gt;1,AF41=0),"","1. "&amp;INDEX('Answer Outcomes'!$N$6:$N$350,$AF41)&amp;CHAR(10)&amp;"2. "&amp;INDEX('Answer Outcomes'!$O$6:$O$350,$AF41))</f>
        <v>1. Check whether changes in work, people or applicable requirements have made the original process less reliable.
2. Retain the review outcome and act on any new exception. An unresolved live issue overrides this maintenance pathway.</v>
      </c>
      <c r="T41" s="54" t="str">
        <f>IF(OR(C41&lt;&gt;1,AF41=0),"",IF(G41="NONE",INDEX('Answer Outcomes'!$L$6:$L$350,$AF41),"Context "&amp;G41&amp;": "&amp;H41&amp;". Scope: "&amp;I41&amp;". "&amp;IF(G41="DEADLINE","The deadline raises action urgency; it does not establish a breach or automatically raise the risk rating.",IF(D41&amp;""="3","The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1" s="54" t="str">
        <f>IF(OR(C41&lt;&gt;1,AF41=0),"",INDEX('Answer Outcomes'!$Q$6:$Q$350,$AF41))</f>
        <v>A current example of the practice and a proportionate recheck record. A successful retrieval test, secure access arrangements and a record owner.</v>
      </c>
      <c r="V41" s="54" t="str">
        <f>IF(OR(C41&lt;&gt;1,AF41=0),"",INDEX('Answer Outcomes'!$T$6:$T$350,$AF41))</f>
        <v>Payroll / systems lead</v>
      </c>
      <c r="W41" s="54" t="str">
        <f>IF(N41=0,"",IF(N41='Risk Method'!$B$10,"Act now. Immediate protective action and appropriate urgent advice take precedence.",IF(N41='Risk Method'!$B$9,"Review or verify within "&amp;'Risk Method'!$B$11&amp;" business days, or before an earlier duty/event. Do not wait where harm or law requires immediate action.",IF(N41='Risk Method'!$B$8,"Agree and start a plan within "&amp;'Risk Method'!$B$12&amp;" days, or before an earlier affected event.","Maintain at the stated trigger; plan any discretionary improvement within "&amp;'Risk Method'!$B$13&amp;" days.")))&amp;IF(J41="",""," Next event: "&amp;J41))</f>
        <v>Maintain at the stated trigger; plan any discretionary improvement within 90 days.</v>
      </c>
      <c r="X41" s="54" t="str">
        <f>IF(OR(C41&lt;&gt;1,AF41=0),"",INDEX('Answer Outcomes'!$V$6:$V$350,$AF41))</f>
        <v>INFORMATION</v>
      </c>
      <c r="Y41" s="54" t="str">
        <f>IF(C41&lt;&gt;1,"",A41&amp;"_"&amp;D41)</f>
        <v>DAT03_3</v>
      </c>
      <c r="Z41" s="54">
        <f>IF(N41=0,0,N41*100000+L41*1000+INDEX('Answer Outcomes'!$I$6:$I$350,$AF41)*100+IF(G41="DEADLINE",50,0)+(75-ROW())/100)</f>
        <v>101300.34</v>
      </c>
      <c r="AA41" s="54">
        <f>IF(Z41=0,"",RANK(Z41,$Z$6:$Z$74,0))</f>
        <v>21</v>
      </c>
      <c r="AB41" s="54" t="str">
        <f>IF(AND(C41&lt;&gt;0,C41&lt;&gt;1),"Invalid eligibility",IF(AND(C41=0,G41&lt;&gt;"NONE"),"Context conflicts with exclusion",IF(C41=0,"",IF(AF41=0,"Missing or invalid answer",IF(AND(G41&lt;&gt;"NONE",G41&lt;&gt;"LIVE_HARM",G41&lt;&gt;"LIVE_ISSUE",G41&lt;&gt;"DEADLINE",G41&lt;&gt;"SYSTEMIC",G41&lt;&gt;"MATTER_UNCLEAR"),"Invalid context code",IF(AND(G41&lt;&gt;"NONE",OR(H41="",I41="")),"Override needs reason and scope",""))))))</f>
        <v/>
      </c>
      <c r="AC41" s="54" t="str">
        <f>IF(OR(C41&lt;&gt;1,AF41=0),"",INDEX('Answer Outcomes'!$S$6:$S$350,$AF41))</f>
        <v>System changes, administrator absence or a failed recovery test.</v>
      </c>
      <c r="AD41" s="54" t="str">
        <f>IF(OR(C41&lt;&gt;1,AF41=0),"",INDEX('Answer Outcomes'!$Y$6:$Y$350,$AF41))</f>
        <v>https://www.fairwork.gov.au/tools-and-resources/fact-sheets/rights-and-obligations/record-keeping-pay-slips
https://www.oaic.gov.au/privacy/privacy-guidance-for-organisations-and-government-agencies/organisations/employee-records-exemption</v>
      </c>
      <c r="AE41" s="38" t="inlineStr">
        <is>
          <t>DAT02</t>
        </is>
      </c>
      <c r="AF41" s="54">
        <f>IF(C41&lt;&gt;1,0,IFERROR(MATCH(Y41,'Answer Outcomes'!$A$6:$A$350,0),0))</f>
        <v>179</v>
      </c>
      <c r="AG41" s="54">
        <f>IF(N41&lt;'Risk Method'!$B$8,0,IF(COUNTIFS($X$6:$X$74,X41,$Z$6:$Z$74,"&gt;"&amp;Z41)=0,Z41,0))</f>
        <v>0</v>
      </c>
      <c r="AH41" s="54" t="str">
        <f>IF(AG41=0,"",RANK(AG41,$AG$6:$AG$74,0))</f>
        <v/>
      </c>
      <c r="AI41" s="54">
        <f>IF(LEN(AB41)&gt;0,1,0)</f>
        <v>0</v>
      </c>
    </row>
    <row r="42" ht="44" customHeight="1">
      <c r="A42" s="37" t="inlineStr">
        <is>
          <t>EXT01</t>
        </is>
      </c>
      <c r="B42" s="37" t="inlineStr">
        <is>
          <t>EXT</t>
        </is>
      </c>
      <c r="C42" s="52">
        <f>'Score Sandbox'!F62</f>
        <v>1</v>
      </c>
      <c r="D42" s="52">
        <f>IF(COUNTBLANK('Score Sandbox'!G62)&gt;0,"",'Score Sandbox'!G62)</f>
        <v>3</v>
      </c>
      <c r="E42" s="52">
        <f>IF(OR(C42&lt;&gt;1,AF42=0),"",INDEX('Answer Outcomes'!$J$6:$J$350,$AF42))</f>
        <v>1</v>
      </c>
      <c r="F42" s="52">
        <f>IF(OR(C42&lt;&gt;1,AF42=0),"",INDEX('Answer Outcomes'!$K$6:$K$350,$AF42))</f>
        <v>1</v>
      </c>
      <c r="G42" s="53" t="inlineStr">
        <is>
          <t>NONE</t>
        </is>
      </c>
      <c r="H42" s="53" t="inlineStr"/>
      <c r="I42" s="53" t="inlineStr"/>
      <c r="J42" s="53" t="inlineStr"/>
      <c r="K42" s="53" t="inlineStr">
        <is>
          <t>Self-report only</t>
        </is>
      </c>
      <c r="L42" s="52">
        <f>IF(OR(C42&lt;&gt;1,AF42=0),0,IF(G42="LIVE_HARM",'Risk Method'!$B$10,IF(G42="LIVE_ISSUE",MAX(E42,'Risk Method'!$B$9),IF(AND(OR(G42="SYSTEMIC",G42="MATTER_UNCLEAR"),D42&amp;""="3"),0,IF(G42="SYSTEMIC",IF(E42=0,0,MIN('Risk Method'!$B$9,E42+1)),E42)))))</f>
        <v>1</v>
      </c>
      <c r="M42" s="52" t="str">
        <f>IF(C42&lt;&gt;1,"Not assessed",IF(AF42=0,"Incomplete",VLOOKUP(L42,'Risk Method'!$F$6:$H$10,2,FALSE)))</f>
        <v>Low</v>
      </c>
      <c r="N42" s="52">
        <f>IF(OR(C42&lt;&gt;1,AF42=0),0,IF(G42="LIVE_HARM",'Risk Method'!$B$10,IF(G42="NONE",F42,IF(G42="SYSTEMIC",MIN('Risk Method'!$B$9,MAX(F42+1,IF(D42&amp;""="3",'Risk Method'!$B$9,0))),MAX(F42,'Risk Method'!$B$9)))))</f>
        <v>1</v>
      </c>
      <c r="O42" s="52" t="str">
        <f>IF(N42=0,"Not assessed",VLOOKUP(N42,'Risk Method'!$F$6:$H$10,3,FALSE))</f>
        <v>Low</v>
      </c>
      <c r="P42" s="52" t="str">
        <f>IF(OR(C42&lt;&gt;1,AF42=0),"",INDEX('Answer Outcomes'!$E$6:$E$350,$AF42))</f>
        <v>Maintain and test: review the decision before it becomes irreversible</v>
      </c>
      <c r="Q42" s="52" t="str">
        <f>IF(OR(C42&lt;&gt;1,AF42=0),"",INDEX('Answer Outcomes'!$G$6:$G$350,$AF42))</f>
        <v>A decision can be difficult to reverse once communicated. A probation clause or notice payment does not resolve every legal protection or process requirement.</v>
      </c>
      <c r="R42" s="52" t="str">
        <f>IF(OR(C42&lt;&gt;1,AF42=0),"",IF(G42="LIVE_HARM","Protect people and contain the reported exposure now. Seek appropriate urgent assistance and arrange a competent review. Do not wait for this assessment or a sales appointment.",IF(OR(G42="LIVE_ISSUE",AND(G42="SYSTEMIC",D42&amp;""="3")),"Review the reported current matter and reconcile it with the maturity answer before relying on the result. Preserve relevant evidence, allocate an impartial owner and assess immediate safeguards. Context: "&amp;H42,IF(G42="DEADLINE","Confirm the actual deadline and complete the necessary checks before the affected event. "&amp;INDEX('Answer Outcomes'!$M$6:$M$350,$AF42),IF(G42="MATTER_UNCLEAR","Confirm promptly whether the time-sensitive matter exists and who owns the response. Do not treat uncertainty as proof of an incident. "&amp;INDEX('Answer Outcomes'!$M$6:$M$350,$AF42),INDEX('Answer Outcomes'!$M$6:$M$350,$AF42))))))</f>
        <v>Maintain the practice described. At the next relevant review, have an appropriate reviewer test the reasoning and required process before communication, particularly for a live or contested matter.</v>
      </c>
      <c r="S42" s="52" t="str">
        <f>IF(OR(C42&lt;&gt;1,AF42=0),"","1. "&amp;INDEX('Answer Outcomes'!$N$6:$N$350,$AF42)&amp;CHAR(10)&amp;"2. "&amp;INDEX('Answer Outcomes'!$O$6:$O$350,$AF42))</f>
        <v>1. Check whether changes in work, people or applicable requirements have made the original process less reliable.
2. Retain the review outcome and act on any new exception. An unresolved live issue overrides this maintenance pathway.</v>
      </c>
      <c r="T42" s="52" t="str">
        <f>IF(OR(C42&lt;&gt;1,AF42=0),"",IF(G42="NONE",INDEX('Answer Outcomes'!$L$6:$L$350,$AF42),"Context "&amp;G42&amp;": "&amp;H42&amp;". Scope: "&amp;I42&amp;". "&amp;IF(G42="DEADLINE","The deadline raises action urgency; it does not establish a breach or automatically raise the risk rating.",IF(D42&amp;""="3","The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2" s="52" t="str">
        <f>IF(OR(C42&lt;&gt;1,AF42=0),"",INDEX('Answer Outcomes'!$Q$6:$Q$350,$AF42))</f>
        <v>A current example of the practice and a proportionate recheck record. A dated decision record with the applicable checks and approvals, prepared before the decision is communicated.</v>
      </c>
      <c r="V42" s="52" t="str">
        <f>IF(OR(C42&lt;&gt;1,AF42=0),"",INDEX('Answer Outcomes'!$T$6:$T$350,$AF42))</f>
        <v>Owner / HR lead</v>
      </c>
      <c r="W42" s="52" t="str">
        <f>IF(N42=0,"",IF(N42='Risk Method'!$B$10,"Act now. Immediate protective action and appropriate urgent advice take precedence.",IF(N42='Risk Method'!$B$9,"Review or verify within "&amp;'Risk Method'!$B$11&amp;" business days, or before an earlier duty/event. Do not wait where harm or law requires immediate action.",IF(N42='Risk Method'!$B$8,"Agree and start a plan within "&amp;'Risk Method'!$B$12&amp;" days, or before an earlier affected event.","Maintain at the stated trigger; plan any discretionary improvement within "&amp;'Risk Method'!$B$13&amp;" days.")))&amp;IF(J42="",""," Next event: "&amp;J42))</f>
        <v>Maintain at the stated trigger; plan any discretionary improvement within 90 days.</v>
      </c>
      <c r="X42" s="52" t="str">
        <f>IF(OR(C42&lt;&gt;1,AF42=0),"",INDEX('Answer Outcomes'!$V$6:$V$350,$AF42))</f>
        <v>FAIR_DECISIONS</v>
      </c>
      <c r="Y42" s="52" t="str">
        <f>IF(C42&lt;&gt;1,"",A42&amp;"_"&amp;D42)</f>
        <v>EXT01_3</v>
      </c>
      <c r="Z42" s="52">
        <f>IF(N42=0,0,N42*100000+L42*1000+INDEX('Answer Outcomes'!$I$6:$I$350,$AF42)*100+IF(G42="DEADLINE",50,0)+(75-ROW())/100)</f>
        <v>101300.33</v>
      </c>
      <c r="AA42" s="52">
        <f>IF(Z42=0,"",RANK(Z42,$Z$6:$Z$74,0))</f>
        <v>22</v>
      </c>
      <c r="AB42" s="52" t="str">
        <f>IF(AND(C42&lt;&gt;0,C42&lt;&gt;1),"Invalid eligibility",IF(AND(C42=0,G42&lt;&gt;"NONE"),"Context conflicts with exclusion",IF(C42=0,"",IF(AF42=0,"Missing or invalid answer",IF(AND(G42&lt;&gt;"NONE",G42&lt;&gt;"LIVE_HARM",G42&lt;&gt;"LIVE_ISSUE",G42&lt;&gt;"DEADLINE",G42&lt;&gt;"SYSTEMIC",G42&lt;&gt;"MATTER_UNCLEAR"),"Invalid context code",IF(AND(G42&lt;&gt;"NONE",OR(H42="",I42="")),"Override needs reason and scope",""))))))</f>
        <v/>
      </c>
      <c r="AC42" s="52" t="str">
        <f>IF(OR(C42&lt;&gt;1,AF42=0),"",INDEX('Answer Outcomes'!$S$6:$S$350,$AF42))</f>
        <v>Any proposed employer-initiated termination or disputed exit.</v>
      </c>
      <c r="AD42" s="52" t="str">
        <f>IF(OR(C42&lt;&gt;1,AF42=0),"",INDEX('Answer Outcomes'!$Y$6:$Y$350,$AF42))</f>
        <v>https://www.fairwork.gov.au/taxonomy/term/527
https://www.fairwork.gov.au/tools-and-resources/fact-sheets/minimum-workplace-entitlements/ending-employment</v>
      </c>
      <c r="AE42" s="37" t="inlineStr">
        <is>
          <t>None</t>
        </is>
      </c>
      <c r="AF42" s="52">
        <f>IF(C42&lt;&gt;1,0,IFERROR(MATCH(Y42,'Answer Outcomes'!$A$6:$A$350,0),0))</f>
        <v>184</v>
      </c>
      <c r="AG42" s="52">
        <f>IF(N42&lt;'Risk Method'!$B$8,0,IF(COUNTIFS($X$6:$X$74,X42,$Z$6:$Z$74,"&gt;"&amp;Z42)=0,Z42,0))</f>
        <v>0</v>
      </c>
      <c r="AH42" s="52" t="str">
        <f>IF(AG42=0,"",RANK(AG42,$AG$6:$AG$74,0))</f>
        <v/>
      </c>
      <c r="AI42" s="52">
        <f>IF(LEN(AB42)&gt;0,1,0)</f>
        <v>0</v>
      </c>
    </row>
    <row r="43" ht="44" customHeight="1">
      <c r="A43" s="38" t="inlineStr">
        <is>
          <t>EXT02</t>
        </is>
      </c>
      <c r="B43" s="38" t="inlineStr">
        <is>
          <t>EXT</t>
        </is>
      </c>
      <c r="C43" s="54">
        <f>'Score Sandbox'!F63</f>
        <v>1</v>
      </c>
      <c r="D43" s="54">
        <f>IF(COUNTBLANK('Score Sandbox'!G63)&gt;0,"",'Score Sandbox'!G63)</f>
        <v>3</v>
      </c>
      <c r="E43" s="54">
        <f>IF(OR(C43&lt;&gt;1,AF43=0),"",INDEX('Answer Outcomes'!$J$6:$J$350,$AF43))</f>
        <v>1</v>
      </c>
      <c r="F43" s="54">
        <f>IF(OR(C43&lt;&gt;1,AF43=0),"",INDEX('Answer Outcomes'!$K$6:$K$350,$AF43))</f>
        <v>1</v>
      </c>
      <c r="G43" s="53" t="inlineStr">
        <is>
          <t>NONE</t>
        </is>
      </c>
      <c r="H43" s="53" t="inlineStr"/>
      <c r="I43" s="53" t="inlineStr"/>
      <c r="J43" s="53" t="inlineStr"/>
      <c r="K43" s="53" t="inlineStr">
        <is>
          <t>Self-report only</t>
        </is>
      </c>
      <c r="L43" s="54">
        <f>IF(OR(C43&lt;&gt;1,AF43=0),0,IF(G43="LIVE_HARM",'Risk Method'!$B$10,IF(G43="LIVE_ISSUE",MAX(E43,'Risk Method'!$B$9),IF(AND(OR(G43="SYSTEMIC",G43="MATTER_UNCLEAR"),D43&amp;""="3"),0,IF(G43="SYSTEMIC",IF(E43=0,0,MIN('Risk Method'!$B$9,E43+1)),E43)))))</f>
        <v>1</v>
      </c>
      <c r="M43" s="54" t="str">
        <f>IF(C43&lt;&gt;1,"Not assessed",IF(AF43=0,"Incomplete",VLOOKUP(L43,'Risk Method'!$F$6:$H$10,2,FALSE)))</f>
        <v>Low</v>
      </c>
      <c r="N43" s="54">
        <f>IF(OR(C43&lt;&gt;1,AF43=0),0,IF(G43="LIVE_HARM",'Risk Method'!$B$10,IF(G43="NONE",F43,IF(G43="SYSTEMIC",MIN('Risk Method'!$B$9,MAX(F43+1,IF(D43&amp;""="3",'Risk Method'!$B$9,0))),MAX(F43,'Risk Method'!$B$9)))))</f>
        <v>1</v>
      </c>
      <c r="O43" s="54" t="str">
        <f>IF(N43=0,"Not assessed",VLOOKUP(N43,'Risk Method'!$F$6:$H$10,3,FALSE))</f>
        <v>Low</v>
      </c>
      <c r="P43" s="54" t="str">
        <f>IF(OR(C43&lt;&gt;1,AF43=0),"",INDEX('Answer Outcomes'!$E$6:$E$350,$AF43))</f>
        <v>Maintain and test: check final pay as a separate transaction</v>
      </c>
      <c r="Q43" s="54" t="str">
        <f>IF(OR(C43&lt;&gt;1,AF43=0),"",INDEX('Answer Outcomes'!$G$6:$G$350,$AF43))</f>
        <v>Final pay can include rules and entitlements that do not appear in ordinary payroll and should be checked as a separate transaction.</v>
      </c>
      <c r="R43" s="54" t="str">
        <f>IF(OR(C43&lt;&gt;1,AF43=0),"",IF(G43="LIVE_HARM","Protect people and contain the reported exposure now. Seek appropriate urgent assistance and arrange a competent review. Do not wait for this assessment or a sales appointment.",IF(OR(G43="LIVE_ISSUE",AND(G43="SYSTEMIC",D43&amp;""="3")),"Review the reported current matter and reconcile it with the maturity answer before relying on the result. Preserve relevant evidence, allocate an impartial owner and assess immediate safeguards. Context: "&amp;H43,IF(G43="DEADLINE","Confirm the actual deadline and complete the necessary checks before the affected event. "&amp;INDEX('Answer Outcomes'!$M$6:$M$350,$AF43),IF(G43="MATTER_UNCLEAR","Confirm promptly whether the time-sensitive matter exists and who owns the response. Do not treat uncertainty as proof of an incident. "&amp;INDEX('Answer Outcomes'!$M$6:$M$350,$AF43),INDEX('Answer Outcomes'!$M$6:$M$350,$AF43))))))</f>
        <v>Maintain the practice described. At the next relevant review, retain the calculation, appropriate review and payment record; check that employment documentation matches the decision.</v>
      </c>
      <c r="S43" s="54" t="str">
        <f>IF(OR(C43&lt;&gt;1,AF43=0),"","1. "&amp;INDEX('Answer Outcomes'!$N$6:$N$350,$AF43)&amp;CHAR(10)&amp;"2. "&amp;INDEX('Answer Outcomes'!$O$6:$O$350,$AF43))</f>
        <v>1. Check whether changes in work, people or applicable requirements have made the original process less reliable.
2. Retain the review outcome and act on any new exception. An unresolved live issue overrides this maintenance pathway.</v>
      </c>
      <c r="T43" s="54" t="str">
        <f>IF(OR(C43&lt;&gt;1,AF43=0),"",IF(G43="NONE",INDEX('Answer Outcomes'!$L$6:$L$350,$AF43),"Context "&amp;G43&amp;": "&amp;H43&amp;". Scope: "&amp;I43&amp;". "&amp;IF(G43="DEADLINE","The deadline raises action urgency; it does not establish a breach or automatically raise the risk rating.",IF(D43&amp;""="3","The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3" s="54" t="str">
        <f>IF(OR(C43&lt;&gt;1,AF43=0),"",INDEX('Answer Outcomes'!$Q$6:$Q$350,$AF43))</f>
        <v>A current example of the practice and a proportionate recheck record. A completed final-pay calculation and review, with written employment documentation.</v>
      </c>
      <c r="V43" s="54" t="str">
        <f>IF(OR(C43&lt;&gt;1,AF43=0),"",INDEX('Answer Outcomes'!$T$6:$T$350,$AF43))</f>
        <v>Owner / HR lead</v>
      </c>
      <c r="W43" s="54" t="str">
        <f>IF(N43=0,"",IF(N43='Risk Method'!$B$10,"Act now. Immediate protective action and appropriate urgent advice take precedence.",IF(N43='Risk Method'!$B$9,"Review or verify within "&amp;'Risk Method'!$B$11&amp;" business days, or before an earlier duty/event. Do not wait where harm or law requires immediate action.",IF(N43='Risk Method'!$B$8,"Agree and start a plan within "&amp;'Risk Method'!$B$12&amp;" days, or before an earlier affected event.","Maintain at the stated trigger; plan any discretionary improvement within "&amp;'Risk Method'!$B$13&amp;" days.")))&amp;IF(J43="",""," Next event: "&amp;J43))</f>
        <v>Maintain at the stated trigger; plan any discretionary improvement within 90 days.</v>
      </c>
      <c r="X43" s="54" t="str">
        <f>IF(OR(C43&lt;&gt;1,AF43=0),"",INDEX('Answer Outcomes'!$V$6:$V$350,$AF43))</f>
        <v>EXIT</v>
      </c>
      <c r="Y43" s="54" t="str">
        <f>IF(C43&lt;&gt;1,"",A43&amp;"_"&amp;D43)</f>
        <v>EXT02_3</v>
      </c>
      <c r="Z43" s="54">
        <f>IF(N43=0,0,N43*100000+L43*1000+INDEX('Answer Outcomes'!$I$6:$I$350,$AF43)*100+IF(G43="DEADLINE",50,0)+(75-ROW())/100)</f>
        <v>101300.32</v>
      </c>
      <c r="AA43" s="54">
        <f>IF(Z43=0,"",RANK(Z43,$Z$6:$Z$74,0))</f>
        <v>23</v>
      </c>
      <c r="AB43" s="54" t="str">
        <f>IF(AND(C43&lt;&gt;0,C43&lt;&gt;1),"Invalid eligibility",IF(AND(C43=0,G43&lt;&gt;"NONE"),"Context conflicts with exclusion",IF(C43=0,"",IF(AF43=0,"Missing or invalid answer",IF(AND(G43&lt;&gt;"NONE",G43&lt;&gt;"LIVE_HARM",G43&lt;&gt;"LIVE_ISSUE",G43&lt;&gt;"DEADLINE",G43&lt;&gt;"SYSTEMIC",G43&lt;&gt;"MATTER_UNCLEAR"),"Invalid context code",IF(AND(G43&lt;&gt;"NONE",OR(H43="",I43="")),"Override needs reason and scope",""))))))</f>
        <v/>
      </c>
      <c r="AC43" s="54" t="str">
        <f>IF(OR(C43&lt;&gt;1,AF43=0),"",INDEX('Answer Outcomes'!$S$6:$S$350,$AF43))</f>
        <v>Every departure and any unusual exit payment.</v>
      </c>
      <c r="AD43" s="54" t="str">
        <f>IF(OR(C43&lt;&gt;1,AF43=0),"",INDEX('Answer Outcomes'!$Y$6:$Y$350,$AF43))</f>
        <v>https://www.fairwork.gov.au/tools-and-resources/fact-sheets/minimum-workplace-entitlements/ending-employment
https://www.fairwork.gov.au/pay-and-wages/deductions-and-related-issues/deducting-pay
https://www.fairwork.gov.au/tools-and-resources/fact-sheets/rights-and-obligations/record-keeping-pay-slips</v>
      </c>
      <c r="AE43" s="38" t="inlineStr">
        <is>
          <t>PAY01;PAY03;EXT01</t>
        </is>
      </c>
      <c r="AF43" s="54">
        <f>IF(C43&lt;&gt;1,0,IFERROR(MATCH(Y43,'Answer Outcomes'!$A$6:$A$350,0),0))</f>
        <v>189</v>
      </c>
      <c r="AG43" s="54">
        <f>IF(N43&lt;'Risk Method'!$B$8,0,IF(COUNTIFS($X$6:$X$74,X43,$Z$6:$Z$74,"&gt;"&amp;Z43)=0,Z43,0))</f>
        <v>0</v>
      </c>
      <c r="AH43" s="54" t="str">
        <f>IF(AG43=0,"",RANK(AG43,$AG$6:$AG$74,0))</f>
        <v/>
      </c>
      <c r="AI43" s="54">
        <f>IF(LEN(AB43)&gt;0,1,0)</f>
        <v>0</v>
      </c>
    </row>
    <row r="44" ht="44" customHeight="1">
      <c r="A44" s="37" t="inlineStr">
        <is>
          <t>EXT03</t>
        </is>
      </c>
      <c r="B44" s="37" t="inlineStr">
        <is>
          <t>EXT</t>
        </is>
      </c>
      <c r="C44" s="52">
        <f>'Score Sandbox'!F64</f>
        <v>1</v>
      </c>
      <c r="D44" s="52">
        <f>IF(COUNTBLANK('Score Sandbox'!G64)&gt;0,"",'Score Sandbox'!G64)</f>
        <v>3</v>
      </c>
      <c r="E44" s="52">
        <f>IF(OR(C44&lt;&gt;1,AF44=0),"",INDEX('Answer Outcomes'!$J$6:$J$350,$AF44))</f>
        <v>1</v>
      </c>
      <c r="F44" s="52">
        <f>IF(OR(C44&lt;&gt;1,AF44=0),"",INDEX('Answer Outcomes'!$K$6:$K$350,$AF44))</f>
        <v>1</v>
      </c>
      <c r="G44" s="53" t="inlineStr">
        <is>
          <t>NONE</t>
        </is>
      </c>
      <c r="H44" s="53" t="inlineStr"/>
      <c r="I44" s="53" t="inlineStr"/>
      <c r="J44" s="53" t="inlineStr"/>
      <c r="K44" s="53" t="inlineStr">
        <is>
          <t>Self-report only</t>
        </is>
      </c>
      <c r="L44" s="52">
        <f>IF(OR(C44&lt;&gt;1,AF44=0),0,IF(G44="LIVE_HARM",'Risk Method'!$B$10,IF(G44="LIVE_ISSUE",MAX(E44,'Risk Method'!$B$9),IF(AND(OR(G44="SYSTEMIC",G44="MATTER_UNCLEAR"),D44&amp;""="3"),0,IF(G44="SYSTEMIC",IF(E44=0,0,MIN('Risk Method'!$B$9,E44+1)),E44)))))</f>
        <v>1</v>
      </c>
      <c r="M44" s="52" t="str">
        <f>IF(C44&lt;&gt;1,"Not assessed",IF(AF44=0,"Incomplete",VLOOKUP(L44,'Risk Method'!$F$6:$H$10,2,FALSE)))</f>
        <v>Low</v>
      </c>
      <c r="N44" s="52">
        <f>IF(OR(C44&lt;&gt;1,AF44=0),0,IF(G44="LIVE_HARM",'Risk Method'!$B$10,IF(G44="NONE",F44,IF(G44="SYSTEMIC",MIN('Risk Method'!$B$9,MAX(F44+1,IF(D44&amp;""="3",'Risk Method'!$B$9,0))),MAX(F44,'Risk Method'!$B$9)))))</f>
        <v>1</v>
      </c>
      <c r="O44" s="52" t="str">
        <f>IF(N44=0,"Not assessed",VLOOKUP(N44,'Risk Method'!$F$6:$H$10,3,FALSE))</f>
        <v>Low</v>
      </c>
      <c r="P44" s="52" t="str">
        <f>IF(OR(C44&lt;&gt;1,AF44=0),"",INDEX('Answer Outcomes'!$E$6:$E$350,$AF44))</f>
        <v>Maintain and test: close the operational gaps in an exit</v>
      </c>
      <c r="Q44" s="52" t="str">
        <f>IF(OR(C44&lt;&gt;1,AF44=0),"",INDEX('Answer Outcomes'!$G$6:$G$350,$AF44))</f>
        <v>Late or incomplete offboarding can leave information accessible and essential work without an owner.</v>
      </c>
      <c r="R44" s="52" t="str">
        <f>IF(OR(C44&lt;&gt;1,AF44=0),"",IF(G44="LIVE_HARM","Protect people and contain the reported exposure now. Seek appropriate urgent assistance and arrange a competent review. Do not wait for this assessment or a sales appointment.",IF(OR(G44="LIVE_ISSUE",AND(G44="SYSTEMIC",D44&amp;""="3")),"Review the reported current matter and reconcile it with the maturity answer before relying on the result. Preserve relevant evidence, allocate an impartial owner and assess immediate safeguards. Context: "&amp;H44,IF(G44="DEADLINE","Confirm the actual deadline and complete the necessary checks before the affected event. "&amp;INDEX('Answer Outcomes'!$M$6:$M$350,$AF44),IF(G44="MATTER_UNCLEAR","Confirm promptly whether the time-sensitive matter exists and who owns the response. Do not treat uncertainty as proof of an incident. "&amp;INDEX('Answer Outcomes'!$M$6:$M$350,$AF44),INDEX('Answer Outcomes'!$M$6:$M$350,$AF44))))))</f>
        <v>Maintain the practice described. At the next relevant review, confirm completion with systems and work owners, and test that essential information remains accessible to authorised staff.</v>
      </c>
      <c r="S44" s="52" t="str">
        <f>IF(OR(C44&lt;&gt;1,AF44=0),"","1. "&amp;INDEX('Answer Outcomes'!$N$6:$N$350,$AF44)&amp;CHAR(10)&amp;"2. "&amp;INDEX('Answer Outcomes'!$O$6:$O$350,$AF44))</f>
        <v>1. Check whether changes in work, people or applicable requirements have made the original process less reliable.
2. Retain the review outcome and act on any new exception. An unresolved live issue overrides this maintenance pathway.</v>
      </c>
      <c r="T44" s="52" t="str">
        <f>IF(OR(C44&lt;&gt;1,AF44=0),"",IF(G44="NONE",INDEX('Answer Outcomes'!$L$6:$L$350,$AF44),"Context "&amp;G44&amp;": "&amp;H44&amp;". Scope: "&amp;I44&amp;". "&amp;IF(G44="DEADLINE","The deadline raises action urgency; it does not establish a breach or automatically raise the risk rating.",IF(D44&amp;""="3","The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4" s="52" t="str">
        <f>IF(OR(C44&lt;&gt;1,AF44=0),"",INDEX('Answer Outcomes'!$Q$6:$Q$350,$AF44))</f>
        <v>A current example of the practice and a proportionate recheck record. A completed offboarding record showing access, property, handover and record retention.</v>
      </c>
      <c r="V44" s="52" t="str">
        <f>IF(OR(C44&lt;&gt;1,AF44=0),"",INDEX('Answer Outcomes'!$T$6:$T$350,$AF44))</f>
        <v>Owner / HR lead</v>
      </c>
      <c r="W44" s="52" t="str">
        <f>IF(N44=0,"",IF(N44='Risk Method'!$B$10,"Act now. Immediate protective action and appropriate urgent advice take precedence.",IF(N44='Risk Method'!$B$9,"Review or verify within "&amp;'Risk Method'!$B$11&amp;" business days, or before an earlier duty/event. Do not wait where harm or law requires immediate action.",IF(N44='Risk Method'!$B$8,"Agree and start a plan within "&amp;'Risk Method'!$B$12&amp;" days, or before an earlier affected event.","Maintain at the stated trigger; plan any discretionary improvement within "&amp;'Risk Method'!$B$13&amp;" days.")))&amp;IF(J44="",""," Next event: "&amp;J44))</f>
        <v>Maintain at the stated trigger; plan any discretionary improvement within 90 days.</v>
      </c>
      <c r="X44" s="52" t="str">
        <f>IF(OR(C44&lt;&gt;1,AF44=0),"",INDEX('Answer Outcomes'!$V$6:$V$350,$AF44))</f>
        <v>EXIT</v>
      </c>
      <c r="Y44" s="52" t="str">
        <f>IF(C44&lt;&gt;1,"",A44&amp;"_"&amp;D44)</f>
        <v>EXT03_3</v>
      </c>
      <c r="Z44" s="52">
        <f>IF(N44=0,0,N44*100000+L44*1000+INDEX('Answer Outcomes'!$I$6:$I$350,$AF44)*100+IF(G44="DEADLINE",50,0)+(75-ROW())/100)</f>
        <v>101300.31</v>
      </c>
      <c r="AA44" s="52">
        <f>IF(Z44=0,"",RANK(Z44,$Z$6:$Z$74,0))</f>
        <v>24</v>
      </c>
      <c r="AB44" s="52" t="str">
        <f>IF(AND(C44&lt;&gt;0,C44&lt;&gt;1),"Invalid eligibility",IF(AND(C44=0,G44&lt;&gt;"NONE"),"Context conflicts with exclusion",IF(C44=0,"",IF(AF44=0,"Missing or invalid answer",IF(AND(G44&lt;&gt;"NONE",G44&lt;&gt;"LIVE_HARM",G44&lt;&gt;"LIVE_ISSUE",G44&lt;&gt;"DEADLINE",G44&lt;&gt;"SYSTEMIC",G44&lt;&gt;"MATTER_UNCLEAR"),"Invalid context code",IF(AND(G44&lt;&gt;"NONE",OR(H44="",I44="")),"Override needs reason and scope",""))))))</f>
        <v/>
      </c>
      <c r="AC44" s="52" t="str">
        <f>IF(OR(C44&lt;&gt;1,AF44=0),"",INDEX('Answer Outcomes'!$S$6:$S$350,$AF44))</f>
        <v>Any departure, particularly one involving privileged system access.</v>
      </c>
      <c r="AD44" s="52" t="str">
        <f>IF(OR(C44&lt;&gt;1,AF44=0),"",INDEX('Answer Outcomes'!$Y$6:$Y$350,$AF44))</f>
        <v>https://www.fairwork.gov.au/tools-and-resources/fact-sheets/rights-and-obligations/record-keeping-pay-slips
https://www.oaic.gov.au/privacy/privacy-guidance-for-organisations-and-government-agencies/organisations/employee-records-exemption
https://www.fairwork.gov.au/pay-and-wages/deductions-and-related-issues/deducting-pay</v>
      </c>
      <c r="AE44" s="37" t="inlineStr">
        <is>
          <t>DAT02;DAT03</t>
        </is>
      </c>
      <c r="AF44" s="52">
        <f>IF(C44&lt;&gt;1,0,IFERROR(MATCH(Y44,'Answer Outcomes'!$A$6:$A$350,0),0))</f>
        <v>194</v>
      </c>
      <c r="AG44" s="52">
        <f>IF(N44&lt;'Risk Method'!$B$8,0,IF(COUNTIFS($X$6:$X$74,X44,$Z$6:$Z$74,"&gt;"&amp;Z44)=0,Z44,0))</f>
        <v>0</v>
      </c>
      <c r="AH44" s="52" t="str">
        <f>IF(AG44=0,"",RANK(AG44,$AG$6:$AG$74,0))</f>
        <v/>
      </c>
      <c r="AI44" s="52">
        <f>IF(LEN(AB44)&gt;0,1,0)</f>
        <v>0</v>
      </c>
    </row>
    <row r="45" ht="44" customHeight="1">
      <c r="A45" s="38" t="inlineStr">
        <is>
          <t>PSY01</t>
        </is>
      </c>
      <c r="B45" s="38" t="inlineStr">
        <is>
          <t>PSY</t>
        </is>
      </c>
      <c r="C45" s="54">
        <f>'Score Sandbox'!F65</f>
        <v>1</v>
      </c>
      <c r="D45" s="54">
        <f>IF(COUNTBLANK('Score Sandbox'!G65)&gt;0,"",'Score Sandbox'!G65)</f>
        <v>3</v>
      </c>
      <c r="E45" s="54">
        <f>IF(OR(C45&lt;&gt;1,AF45=0),"",INDEX('Answer Outcomes'!$J$6:$J$350,$AF45))</f>
        <v>1</v>
      </c>
      <c r="F45" s="54">
        <f>IF(OR(C45&lt;&gt;1,AF45=0),"",INDEX('Answer Outcomes'!$K$6:$K$350,$AF45))</f>
        <v>1</v>
      </c>
      <c r="G45" s="53" t="inlineStr">
        <is>
          <t>NONE</t>
        </is>
      </c>
      <c r="H45" s="53" t="inlineStr"/>
      <c r="I45" s="53" t="inlineStr"/>
      <c r="J45" s="53" t="inlineStr"/>
      <c r="K45" s="53" t="inlineStr">
        <is>
          <t>Self-report only</t>
        </is>
      </c>
      <c r="L45" s="54">
        <f>IF(OR(C45&lt;&gt;1,AF45=0),0,IF(G45="LIVE_HARM",'Risk Method'!$B$10,IF(G45="LIVE_ISSUE",MAX(E45,'Risk Method'!$B$9),IF(AND(OR(G45="SYSTEMIC",G45="MATTER_UNCLEAR"),D45&amp;""="3"),0,IF(G45="SYSTEMIC",IF(E45=0,0,MIN('Risk Method'!$B$9,E45+1)),E45)))))</f>
        <v>1</v>
      </c>
      <c r="M45" s="54" t="str">
        <f>IF(C45&lt;&gt;1,"Not assessed",IF(AF45=0,"Incomplete",VLOOKUP(L45,'Risk Method'!$F$6:$H$10,2,FALSE)))</f>
        <v>Low</v>
      </c>
      <c r="N45" s="54">
        <f>IF(OR(C45&lt;&gt;1,AF45=0),0,IF(G45="LIVE_HARM",'Risk Method'!$B$10,IF(G45="NONE",F45,IF(G45="SYSTEMIC",MIN('Risk Method'!$B$9,MAX(F45+1,IF(D45&amp;""="3",'Risk Method'!$B$9,0))),MAX(F45,'Risk Method'!$B$9)))))</f>
        <v>1</v>
      </c>
      <c r="O45" s="54" t="str">
        <f>IF(N45=0,"Not assessed",VLOOKUP(N45,'Risk Method'!$F$6:$H$10,3,FALSE))</f>
        <v>Low</v>
      </c>
      <c r="P45" s="54" t="str">
        <f>IF(OR(C45&lt;&gt;1,AF45=0),"",INDEX('Answer Outcomes'!$E$6:$E$350,$AF45))</f>
        <v>Maintain and test: identify what in the work could cause harm</v>
      </c>
      <c r="Q45" s="54" t="str">
        <f>IF(OR(C45&lt;&gt;1,AF45=0),"",INDEX('Answer Outcomes'!$G$6:$G$350,$AF45))</f>
        <v>Without worker input and a review of actual work, workload, isolation, poor support or other hazards may remain unrecognised.</v>
      </c>
      <c r="R45" s="54" t="str">
        <f>IF(OR(C45&lt;&gt;1,AF45=0),"",IF(G45="LIVE_HARM","Protect people and contain the reported exposure now. Seek appropriate urgent assistance and arrange a competent review. Do not wait for this assessment or a sales appointment.",IF(OR(G45="LIVE_ISSUE",AND(G45="SYSTEMIC",D45&amp;""="3")),"Review the reported current matter and reconcile it with the maturity answer before relying on the result. Preserve relevant evidence, allocate an impartial owner and assess immediate safeguards. Context: "&amp;H45,IF(G45="DEADLINE","Confirm the actual deadline and complete the necessary checks before the affected event. "&amp;INDEX('Answer Outcomes'!$M$6:$M$350,$AF45),IF(G45="MATTER_UNCLEAR","Confirm promptly whether the time-sensitive matter exists and who owns the response. Do not treat uncertainty as proof of an incident. "&amp;INDEX('Answer Outcomes'!$M$6:$M$350,$AF45),INDEX('Answer Outcomes'!$M$6:$M$350,$AF45))))))</f>
        <v>Maintain the practice described. At the next relevant review, check whether identified hazards lead to practical control actions and revisit roles or settings omitted from the review.</v>
      </c>
      <c r="S45" s="54" t="str">
        <f>IF(OR(C45&lt;&gt;1,AF45=0),"","1. "&amp;INDEX('Answer Outcomes'!$N$6:$N$350,$AF45)&amp;CHAR(10)&amp;"2. "&amp;INDEX('Answer Outcomes'!$O$6:$O$350,$AF45))</f>
        <v>1. Check whether changes in work, people or applicable requirements have made the original process less reliable.
2. Retain the review outcome and act on any new exception. An unresolved live issue overrides this maintenance pathway.</v>
      </c>
      <c r="T45" s="54" t="str">
        <f>IF(OR(C45&lt;&gt;1,AF45=0),"",IF(G45="NONE",INDEX('Answer Outcomes'!$L$6:$L$350,$AF45),"Context "&amp;G45&amp;": "&amp;H45&amp;". Scope: "&amp;I45&amp;". "&amp;IF(G45="DEADLINE","The deadline raises action urgency; it does not establish a breach or automatically raise the risk rating.",IF(D45&amp;""="3","The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5" s="54" t="str">
        <f>IF(OR(C45&lt;&gt;1,AF45=0),"",INDEX('Answer Outcomes'!$Q$6:$Q$350,$AF45))</f>
        <v>A current example of the practice and a proportionate recheck record. A proportionate psychosocial hazard assessment informed by workers and relevant evidence.</v>
      </c>
      <c r="V45" s="54" t="str">
        <f>IF(OR(C45&lt;&gt;1,AF45=0),"",INDEX('Answer Outcomes'!$T$6:$T$350,$AF45))</f>
        <v>Business leader / safety lead</v>
      </c>
      <c r="W45" s="54" t="str">
        <f>IF(N45=0,"",IF(N45='Risk Method'!$B$10,"Act now. Immediate protective action and appropriate urgent advice take precedence.",IF(N45='Risk Method'!$B$9,"Review or verify within "&amp;'Risk Method'!$B$11&amp;" business days, or before an earlier duty/event. Do not wait where harm or law requires immediate action.",IF(N45='Risk Method'!$B$8,"Agree and start a plan within "&amp;'Risk Method'!$B$12&amp;" days, or before an earlier affected event.","Maintain at the stated trigger; plan any discretionary improvement within "&amp;'Risk Method'!$B$13&amp;" days.")))&amp;IF(J45="",""," Next event: "&amp;J45))</f>
        <v>Maintain at the stated trigger; plan any discretionary improvement within 90 days.</v>
      </c>
      <c r="X45" s="54" t="str">
        <f>IF(OR(C45&lt;&gt;1,AF45=0),"",INDEX('Answer Outcomes'!$V$6:$V$350,$AF45))</f>
        <v>PSYCHOSOCIAL</v>
      </c>
      <c r="Y45" s="54" t="str">
        <f>IF(C45&lt;&gt;1,"",A45&amp;"_"&amp;D45)</f>
        <v>PSY01_3</v>
      </c>
      <c r="Z45" s="54">
        <f>IF(N45=0,0,N45*100000+L45*1000+INDEX('Answer Outcomes'!$I$6:$I$350,$AF45)*100+IF(G45="DEADLINE",50,0)+(75-ROW())/100)</f>
        <v>101300.3</v>
      </c>
      <c r="AA45" s="54">
        <f>IF(Z45=0,"",RANK(Z45,$Z$6:$Z$74,0))</f>
        <v>25</v>
      </c>
      <c r="AB45" s="54" t="str">
        <f>IF(AND(C45&lt;&gt;0,C45&lt;&gt;1),"Invalid eligibility",IF(AND(C45=0,G45&lt;&gt;"NONE"),"Context conflicts with exclusion",IF(C45=0,"",IF(AF45=0,"Missing or invalid answer",IF(AND(G45&lt;&gt;"NONE",G45&lt;&gt;"LIVE_HARM",G45&lt;&gt;"LIVE_ISSUE",G45&lt;&gt;"DEADLINE",G45&lt;&gt;"SYSTEMIC",G45&lt;&gt;"MATTER_UNCLEAR"),"Invalid context code",IF(AND(G45&lt;&gt;"NONE",OR(H45="",I45="")),"Override needs reason and scope",""))))))</f>
        <v/>
      </c>
      <c r="AC45" s="54" t="str">
        <f>IF(OR(C45&lt;&gt;1,AF45=0),"",INDEX('Answer Outcomes'!$S$6:$S$350,$AF45))</f>
        <v>Changed work, worker concerns, incident patterns or control failure.</v>
      </c>
      <c r="AD45" s="54" t="str">
        <f>IF(OR(C45&lt;&gt;1,AF45=0),"",INDEX('Answer Outcomes'!$Y$6:$Y$350,$AF45))</f>
        <v>https://www.safeworkaustralia.gov.au/safety-topic/managing-health-and-safety/mental-health/managing-risks/identifying-assessing-controlling-and-reviewing
https://www.safeworkaustralia.gov.au/safety-topic/managing-health-and-safety/mental-health/managing-risks/differences-between-whs-and-wellbeing</v>
      </c>
      <c r="AE45" s="38" t="inlineStr">
        <is>
          <t>None</t>
        </is>
      </c>
      <c r="AF45" s="54">
        <f>IF(C45&lt;&gt;1,0,IFERROR(MATCH(Y45,'Answer Outcomes'!$A$6:$A$350,0),0))</f>
        <v>199</v>
      </c>
      <c r="AG45" s="54">
        <f>IF(N45&lt;'Risk Method'!$B$8,0,IF(COUNTIFS($X$6:$X$74,X45,$Z$6:$Z$74,"&gt;"&amp;Z45)=0,Z45,0))</f>
        <v>0</v>
      </c>
      <c r="AH45" s="54" t="str">
        <f>IF(AG45=0,"",RANK(AG45,$AG$6:$AG$74,0))</f>
        <v/>
      </c>
      <c r="AI45" s="54">
        <f>IF(LEN(AB45)&gt;0,1,0)</f>
        <v>0</v>
      </c>
    </row>
    <row r="46" ht="44" customHeight="1">
      <c r="A46" s="37" t="inlineStr">
        <is>
          <t>PSY02</t>
        </is>
      </c>
      <c r="B46" s="37" t="inlineStr">
        <is>
          <t>PSY</t>
        </is>
      </c>
      <c r="C46" s="52">
        <f>'Score Sandbox'!F66</f>
        <v>1</v>
      </c>
      <c r="D46" s="52">
        <f>IF(COUNTBLANK('Score Sandbox'!G66)&gt;0,"",'Score Sandbox'!G66)</f>
        <v>3</v>
      </c>
      <c r="E46" s="52">
        <f>IF(OR(C46&lt;&gt;1,AF46=0),"",INDEX('Answer Outcomes'!$J$6:$J$350,$AF46))</f>
        <v>1</v>
      </c>
      <c r="F46" s="52">
        <f>IF(OR(C46&lt;&gt;1,AF46=0),"",INDEX('Answer Outcomes'!$K$6:$K$350,$AF46))</f>
        <v>1</v>
      </c>
      <c r="G46" s="53" t="inlineStr">
        <is>
          <t>NONE</t>
        </is>
      </c>
      <c r="H46" s="53" t="inlineStr"/>
      <c r="I46" s="53" t="inlineStr"/>
      <c r="J46" s="53" t="inlineStr"/>
      <c r="K46" s="53" t="inlineStr">
        <is>
          <t>Self-report only</t>
        </is>
      </c>
      <c r="L46" s="52">
        <f>IF(OR(C46&lt;&gt;1,AF46=0),0,IF(G46="LIVE_HARM",'Risk Method'!$B$10,IF(G46="LIVE_ISSUE",MAX(E46,'Risk Method'!$B$9),IF(AND(OR(G46="SYSTEMIC",G46="MATTER_UNCLEAR"),D46&amp;""="3"),0,IF(G46="SYSTEMIC",IF(E46=0,0,MIN('Risk Method'!$B$9,E46+1)),E46)))))</f>
        <v>1</v>
      </c>
      <c r="M46" s="52" t="str">
        <f>IF(C46&lt;&gt;1,"Not assessed",IF(AF46=0,"Incomplete",VLOOKUP(L46,'Risk Method'!$F$6:$H$10,2,FALSE)))</f>
        <v>Low</v>
      </c>
      <c r="N46" s="52">
        <f>IF(OR(C46&lt;&gt;1,AF46=0),0,IF(G46="LIVE_HARM",'Risk Method'!$B$10,IF(G46="NONE",F46,IF(G46="SYSTEMIC",MIN('Risk Method'!$B$9,MAX(F46+1,IF(D46&amp;""="3",'Risk Method'!$B$9,0))),MAX(F46,'Risk Method'!$B$9)))))</f>
        <v>1</v>
      </c>
      <c r="O46" s="52" t="str">
        <f>IF(N46=0,"Not assessed",VLOOKUP(N46,'Risk Method'!$F$6:$H$10,3,FALSE))</f>
        <v>Low</v>
      </c>
      <c r="P46" s="52" t="str">
        <f>IF(OR(C46&lt;&gt;1,AF46=0),"",INDEX('Answer Outcomes'!$E$6:$E$350,$AF46))</f>
        <v>Maintain and test: control the cause, not only the consequences</v>
      </c>
      <c r="Q46" s="52" t="str">
        <f>IF(OR(C46&lt;&gt;1,AF46=0),"",INDEX('Answer Outcomes'!$G$6:$G$350,$AF46))</f>
        <v>Support after a problem does not replace controls addressing its work-related cause. Missing ownership can leave recognised risks unmanaged.</v>
      </c>
      <c r="R46" s="52" t="str">
        <f>IF(OR(C46&lt;&gt;1,AF46=0),"",IF(G46="LIVE_HARM","Protect people and contain the reported exposure now. Seek appropriate urgent assistance and arrange a competent review. Do not wait for this assessment or a sales appointment.",IF(OR(G46="LIVE_ISSUE",AND(G46="SYSTEMIC",D46&amp;""="3")),"Review the reported current matter and reconcile it with the maturity answer before relying on the result. Preserve relevant evidence, allocate an impartial owner and assess immediate safeguards. Context: "&amp;H46,IF(G46="DEADLINE","Confirm the actual deadline and complete the necessary checks before the affected event. "&amp;INDEX('Answer Outcomes'!$M$6:$M$350,$AF46),IF(G46="MATTER_UNCLEAR","Confirm promptly whether the time-sensitive matter exists and who owns the response. Do not treat uncertainty as proof of an incident. "&amp;INDEX('Answer Outcomes'!$M$6:$M$350,$AF46),INDEX('Answer Outcomes'!$M$6:$M$350,$AF46))))))</f>
        <v>Maintain the practice described. At the next relevant review, check with affected workers and operational evidence whether the control works; revise it where exposure remains.</v>
      </c>
      <c r="S46" s="52" t="str">
        <f>IF(OR(C46&lt;&gt;1,AF46=0),"","1. "&amp;INDEX('Answer Outcomes'!$N$6:$N$350,$AF46)&amp;CHAR(10)&amp;"2. "&amp;INDEX('Answer Outcomes'!$O$6:$O$350,$AF46))</f>
        <v>1. Check whether changes in work, people or applicable requirements have made the original process less reliable.
2. Retain the review outcome and act on any new exception. An unresolved live issue overrides this maintenance pathway.</v>
      </c>
      <c r="T46" s="52" t="str">
        <f>IF(OR(C46&lt;&gt;1,AF46=0),"",IF(G46="NONE",INDEX('Answer Outcomes'!$L$6:$L$350,$AF46),"Context "&amp;G46&amp;": "&amp;H46&amp;". Scope: "&amp;I46&amp;". "&amp;IF(G46="DEADLINE","The deadline raises action urgency; it does not establish a breach or automatically raise the risk rating.",IF(D46&amp;""="3","The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6" s="52" t="str">
        <f>IF(OR(C46&lt;&gt;1,AF46=0),"",INDEX('Answer Outcomes'!$Q$6:$Q$350,$AF46))</f>
        <v>A current example of the practice and a proportionate recheck record. A control record showing the change made and evidence about whether it is working.</v>
      </c>
      <c r="V46" s="52" t="str">
        <f>IF(OR(C46&lt;&gt;1,AF46=0),"",INDEX('Answer Outcomes'!$T$6:$T$350,$AF46))</f>
        <v>Business leader / safety lead</v>
      </c>
      <c r="W46" s="52" t="str">
        <f>IF(N46=0,"",IF(N46='Risk Method'!$B$10,"Act now. Immediate protective action and appropriate urgent advice take precedence.",IF(N46='Risk Method'!$B$9,"Review or verify within "&amp;'Risk Method'!$B$11&amp;" business days, or before an earlier duty/event. Do not wait where harm or law requires immediate action.",IF(N46='Risk Method'!$B$8,"Agree and start a plan within "&amp;'Risk Method'!$B$12&amp;" days, or before an earlier affected event.","Maintain at the stated trigger; plan any discretionary improvement within "&amp;'Risk Method'!$B$13&amp;" days.")))&amp;IF(J46="",""," Next event: "&amp;J46))</f>
        <v>Maintain at the stated trigger; plan any discretionary improvement within 90 days.</v>
      </c>
      <c r="X46" s="52" t="str">
        <f>IF(OR(C46&lt;&gt;1,AF46=0),"",INDEX('Answer Outcomes'!$V$6:$V$350,$AF46))</f>
        <v>PSYCHOSOCIAL</v>
      </c>
      <c r="Y46" s="52" t="str">
        <f>IF(C46&lt;&gt;1,"",A46&amp;"_"&amp;D46)</f>
        <v>PSY02_3</v>
      </c>
      <c r="Z46" s="52">
        <f>IF(N46=0,0,N46*100000+L46*1000+INDEX('Answer Outcomes'!$I$6:$I$350,$AF46)*100+IF(G46="DEADLINE",50,0)+(75-ROW())/100)</f>
        <v>101300.29</v>
      </c>
      <c r="AA46" s="52">
        <f>IF(Z46=0,"",RANK(Z46,$Z$6:$Z$74,0))</f>
        <v>26</v>
      </c>
      <c r="AB46" s="52" t="str">
        <f>IF(AND(C46&lt;&gt;0,C46&lt;&gt;1),"Invalid eligibility",IF(AND(C46=0,G46&lt;&gt;"NONE"),"Context conflicts with exclusion",IF(C46=0,"",IF(AF46=0,"Missing or invalid answer",IF(AND(G46&lt;&gt;"NONE",G46&lt;&gt;"LIVE_HARM",G46&lt;&gt;"LIVE_ISSUE",G46&lt;&gt;"DEADLINE",G46&lt;&gt;"SYSTEMIC",G46&lt;&gt;"MATTER_UNCLEAR"),"Invalid context code",IF(AND(G46&lt;&gt;"NONE",OR(H46="",I46="")),"Override needs reason and scope",""))))))</f>
        <v/>
      </c>
      <c r="AC46" s="52" t="str">
        <f>IF(OR(C46&lt;&gt;1,AF46=0),"",INDEX('Answer Outcomes'!$S$6:$S$350,$AF46))</f>
        <v>A changed hazard, ineffective control or recurrence of harm.</v>
      </c>
      <c r="AD46" s="52" t="str">
        <f>IF(OR(C46&lt;&gt;1,AF46=0),"",INDEX('Answer Outcomes'!$Y$6:$Y$350,$AF46))</f>
        <v>https://www.safeworkaustralia.gov.au/safety-topic/managing-health-and-safety/mental-health/managing-risks/identifying-assessing-controlling-and-reviewing
https://www.safeworkaustralia.gov.au/safety-topic/managing-health-and-safety/mental-health/managing-risks/differences-between-whs-and-wellbeing</v>
      </c>
      <c r="AE46" s="37" t="inlineStr">
        <is>
          <t>PSY01</t>
        </is>
      </c>
      <c r="AF46" s="52">
        <f>IF(C46&lt;&gt;1,0,IFERROR(MATCH(Y46,'Answer Outcomes'!$A$6:$A$350,0),0))</f>
        <v>204</v>
      </c>
      <c r="AG46" s="52">
        <f>IF(N46&lt;'Risk Method'!$B$8,0,IF(COUNTIFS($X$6:$X$74,X46,$Z$6:$Z$74,"&gt;"&amp;Z46)=0,Z46,0))</f>
        <v>0</v>
      </c>
      <c r="AH46" s="52" t="str">
        <f>IF(AG46=0,"",RANK(AG46,$AG$6:$AG$74,0))</f>
        <v/>
      </c>
      <c r="AI46" s="52">
        <f>IF(LEN(AB46)&gt;0,1,0)</f>
        <v>0</v>
      </c>
    </row>
    <row r="47" ht="44" customHeight="1">
      <c r="A47" s="38" t="inlineStr">
        <is>
          <t>PSY03</t>
        </is>
      </c>
      <c r="B47" s="38" t="inlineStr">
        <is>
          <t>PSY</t>
        </is>
      </c>
      <c r="C47" s="54">
        <f>'Score Sandbox'!F67</f>
        <v>1</v>
      </c>
      <c r="D47" s="54">
        <f>IF(COUNTBLANK('Score Sandbox'!G67)&gt;0,"",'Score Sandbox'!G67)</f>
        <v>3</v>
      </c>
      <c r="E47" s="54">
        <f>IF(OR(C47&lt;&gt;1,AF47=0),"",INDEX('Answer Outcomes'!$J$6:$J$350,$AF47))</f>
        <v>1</v>
      </c>
      <c r="F47" s="54">
        <f>IF(OR(C47&lt;&gt;1,AF47=0),"",INDEX('Answer Outcomes'!$K$6:$K$350,$AF47))</f>
        <v>1</v>
      </c>
      <c r="G47" s="53" t="inlineStr">
        <is>
          <t>NONE</t>
        </is>
      </c>
      <c r="H47" s="53" t="inlineStr"/>
      <c r="I47" s="53" t="inlineStr"/>
      <c r="J47" s="53" t="inlineStr"/>
      <c r="K47" s="53" t="inlineStr">
        <is>
          <t>Self-report only</t>
        </is>
      </c>
      <c r="L47" s="54">
        <f>IF(OR(C47&lt;&gt;1,AF47=0),0,IF(G47="LIVE_HARM",'Risk Method'!$B$10,IF(G47="LIVE_ISSUE",MAX(E47,'Risk Method'!$B$9),IF(AND(OR(G47="SYSTEMIC",G47="MATTER_UNCLEAR"),D47&amp;""="3"),0,IF(G47="SYSTEMIC",IF(E47=0,0,MIN('Risk Method'!$B$9,E47+1)),E47)))))</f>
        <v>1</v>
      </c>
      <c r="M47" s="54" t="str">
        <f>IF(C47&lt;&gt;1,"Not assessed",IF(AF47=0,"Incomplete",VLOOKUP(L47,'Risk Method'!$F$6:$H$10,2,FALSE)))</f>
        <v>Low</v>
      </c>
      <c r="N47" s="54">
        <f>IF(OR(C47&lt;&gt;1,AF47=0),0,IF(G47="LIVE_HARM",'Risk Method'!$B$10,IF(G47="NONE",F47,IF(G47="SYSTEMIC",MIN('Risk Method'!$B$9,MAX(F47+1,IF(D47&amp;""="3",'Risk Method'!$B$9,0))),MAX(F47,'Risk Method'!$B$9)))))</f>
        <v>1</v>
      </c>
      <c r="O47" s="54" t="str">
        <f>IF(N47=0,"Not assessed",VLOOKUP(N47,'Risk Method'!$F$6:$H$10,3,FALSE))</f>
        <v>Low</v>
      </c>
      <c r="P47" s="54" t="str">
        <f>IF(OR(C47&lt;&gt;1,AF47=0),"",INDEX('Answer Outcomes'!$E$6:$E$350,$AF47))</f>
        <v>Maintain and test: make prevention visible in the way the business operates</v>
      </c>
      <c r="Q47" s="54" t="str">
        <f>IF(OR(C47&lt;&gt;1,AF47=0),"",INDEX('Answer Outcomes'!$G$6:$G$350,$AF47))</f>
        <v>A policy or training session alone may not address where sex-related unlawful conduct could occur or how leaders prevent it.</v>
      </c>
      <c r="R47" s="54" t="str">
        <f>IF(OR(C47&lt;&gt;1,AF47=0),"",IF(G47="LIVE_HARM","Protect people and contain the reported exposure now. Seek appropriate urgent assistance and arrange a competent review. Do not wait for this assessment or a sales appointment.",IF(OR(G47="LIVE_ISSUE",AND(G47="SYSTEMIC",D47&amp;""="3")),"Review the reported current matter and reconcile it with the maturity answer before relying on the result. Preserve relevant evidence, allocate an impartial owner and assess immediate safeguards. Context: "&amp;H47,IF(G47="DEADLINE","Confirm the actual deadline and complete the necessary checks before the affected event. "&amp;INDEX('Answer Outcomes'!$M$6:$M$350,$AF47),IF(G47="MATTER_UNCLEAR","Confirm promptly whether the time-sensitive matter exists and who owns the response. Do not treat uncertainty as proof of an incident. "&amp;INDEX('Answer Outcomes'!$M$6:$M$350,$AF47),INDEX('Answer Outcomes'!$M$6:$M$350,$AF47))))))</f>
        <v>Maintain the practice described. At the next relevant review, review whether measures are used and effective, including risks involving customers, contractors or influential employees.</v>
      </c>
      <c r="S47" s="54" t="str">
        <f>IF(OR(C47&lt;&gt;1,AF47=0),"","1. "&amp;INDEX('Answer Outcomes'!$N$6:$N$350,$AF47)&amp;CHAR(10)&amp;"2. "&amp;INDEX('Answer Outcomes'!$O$6:$O$350,$AF47))</f>
        <v>1. Check whether changes in work, people or applicable requirements have made the original process less reliable.
2. Retain the review outcome and act on any new exception. An unresolved live issue overrides this maintenance pathway.</v>
      </c>
      <c r="T47" s="54" t="str">
        <f>IF(OR(C47&lt;&gt;1,AF47=0),"",IF(G47="NONE",INDEX('Answer Outcomes'!$L$6:$L$350,$AF47),"Context "&amp;G47&amp;": "&amp;H47&amp;". Scope: "&amp;I47&amp;". "&amp;IF(G47="DEADLINE","The deadline raises action urgency; it does not establish a breach or automatically raise the risk rating.",IF(D47&amp;""="3","The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7" s="54" t="str">
        <f>IF(OR(C47&lt;&gt;1,AF47=0),"",INDEX('Answer Outcomes'!$Q$6:$Q$350,$AF47))</f>
        <v>A current example of the practice and a proportionate recheck record. A prevention plan and implementation evidence covering the relevant AHRC standards, scaled to the business.</v>
      </c>
      <c r="V47" s="54" t="str">
        <f>IF(OR(C47&lt;&gt;1,AF47=0),"",INDEX('Answer Outcomes'!$T$6:$T$350,$AF47))</f>
        <v>Business leader / safety lead</v>
      </c>
      <c r="W47" s="54" t="str">
        <f>IF(N47=0,"",IF(N47='Risk Method'!$B$10,"Act now. Immediate protective action and appropriate urgent advice take precedence.",IF(N47='Risk Method'!$B$9,"Review or verify within "&amp;'Risk Method'!$B$11&amp;" business days, or before an earlier duty/event. Do not wait where harm or law requires immediate action.",IF(N47='Risk Method'!$B$8,"Agree and start a plan within "&amp;'Risk Method'!$B$12&amp;" days, or before an earlier affected event.","Maintain at the stated trigger; plan any discretionary improvement within "&amp;'Risk Method'!$B$13&amp;" days.")))&amp;IF(J47="",""," Next event: "&amp;J47))</f>
        <v>Maintain at the stated trigger; plan any discretionary improvement within 90 days.</v>
      </c>
      <c r="X47" s="54" t="str">
        <f>IF(OR(C47&lt;&gt;1,AF47=0),"",INDEX('Answer Outcomes'!$V$6:$V$350,$AF47))</f>
        <v>RESPECT</v>
      </c>
      <c r="Y47" s="54" t="str">
        <f>IF(C47&lt;&gt;1,"",A47&amp;"_"&amp;D47)</f>
        <v>PSY03_3</v>
      </c>
      <c r="Z47" s="54">
        <f>IF(N47=0,0,N47*100000+L47*1000+INDEX('Answer Outcomes'!$I$6:$I$350,$AF47)*100+IF(G47="DEADLINE",50,0)+(75-ROW())/100)</f>
        <v>101300.28</v>
      </c>
      <c r="AA47" s="54">
        <f>IF(Z47=0,"",RANK(Z47,$Z$6:$Z$74,0))</f>
        <v>27</v>
      </c>
      <c r="AB47" s="54" t="str">
        <f>IF(AND(C47&lt;&gt;0,C47&lt;&gt;1),"Invalid eligibility",IF(AND(C47=0,G47&lt;&gt;"NONE"),"Context conflicts with exclusion",IF(C47=0,"",IF(AF47=0,"Missing or invalid answer",IF(AND(G47&lt;&gt;"NONE",G47&lt;&gt;"LIVE_HARM",G47&lt;&gt;"LIVE_ISSUE",G47&lt;&gt;"DEADLINE",G47&lt;&gt;"SYSTEMIC",G47&lt;&gt;"MATTER_UNCLEAR"),"Invalid context code",IF(AND(G47&lt;&gt;"NONE",OR(H47="",I47="")),"Override needs reason and scope",""))))))</f>
        <v/>
      </c>
      <c r="AC47" s="54" t="str">
        <f>IF(OR(C47&lt;&gt;1,AF47=0),"",INDEX('Answer Outcomes'!$S$6:$S$350,$AF47))</f>
        <v>Changed work, reported conduct, ineffective controls or a scheduled prevention review.</v>
      </c>
      <c r="AD47" s="54" t="str">
        <f>IF(OR(C47&lt;&gt;1,AF47=0),"",INDEX('Answer Outcomes'!$Y$6:$Y$350,$AF47))</f>
        <v>https://humanrights.gov.au/resource-hub/resources-for-organisations-businesses/positive-duty-pdfs/guidelines-for-complying-with-the-positive-duty-under-the-sex-discrimination-act-1984-cth</v>
      </c>
      <c r="AE47" s="38" t="inlineStr">
        <is>
          <t>PSY01;PSY04</t>
        </is>
      </c>
      <c r="AF47" s="54">
        <f>IF(C47&lt;&gt;1,0,IFERROR(MATCH(Y47,'Answer Outcomes'!$A$6:$A$350,0),0))</f>
        <v>209</v>
      </c>
      <c r="AG47" s="54">
        <f>IF(N47&lt;'Risk Method'!$B$8,0,IF(COUNTIFS($X$6:$X$74,X47,$Z$6:$Z$74,"&gt;"&amp;Z47)=0,Z47,0))</f>
        <v>0</v>
      </c>
      <c r="AH47" s="54" t="str">
        <f>IF(AG47=0,"",RANK(AG47,$AG$6:$AG$74,0))</f>
        <v/>
      </c>
      <c r="AI47" s="54">
        <f>IF(LEN(AB47)&gt;0,1,0)</f>
        <v>0</v>
      </c>
    </row>
    <row r="48" ht="44" customHeight="1">
      <c r="A48" s="37" t="inlineStr">
        <is>
          <t>PSY04</t>
        </is>
      </c>
      <c r="B48" s="37" t="inlineStr">
        <is>
          <t>PSY</t>
        </is>
      </c>
      <c r="C48" s="52">
        <f>'Score Sandbox'!F68</f>
        <v>1</v>
      </c>
      <c r="D48" s="52">
        <f>IF(COUNTBLANK('Score Sandbox'!G68)&gt;0,"",'Score Sandbox'!G68)</f>
        <v>0</v>
      </c>
      <c r="E48" s="52">
        <f>IF(OR(C48&lt;&gt;1,AF48=0),"",INDEX('Answer Outcomes'!$J$6:$J$350,$AF48))</f>
        <v>3</v>
      </c>
      <c r="F48" s="52">
        <f>IF(OR(C48&lt;&gt;1,AF48=0),"",INDEX('Answer Outcomes'!$K$6:$K$350,$AF48))</f>
        <v>3</v>
      </c>
      <c r="G48" s="53" t="inlineStr">
        <is>
          <t>NONE</t>
        </is>
      </c>
      <c r="H48" s="53" t="inlineStr"/>
      <c r="I48" s="53" t="inlineStr"/>
      <c r="J48" s="53" t="inlineStr"/>
      <c r="K48" s="53" t="inlineStr">
        <is>
          <t>Self-report only</t>
        </is>
      </c>
      <c r="L48" s="52">
        <f>IF(OR(C48&lt;&gt;1,AF48=0),0,IF(G48="LIVE_HARM",'Risk Method'!$B$10,IF(G48="LIVE_ISSUE",MAX(E48,'Risk Method'!$B$9),IF(AND(OR(G48="SYSTEMIC",G48="MATTER_UNCLEAR"),D48&amp;""="3"),0,IF(G48="SYSTEMIC",IF(E48=0,0,MIN('Risk Method'!$B$9,E48+1)),E48)))))</f>
        <v>3</v>
      </c>
      <c r="M48" s="52" t="str">
        <f>IF(C48&lt;&gt;1,"Not assessed",IF(AF48=0,"Incomplete",VLOOKUP(L48,'Risk Method'!$F$6:$H$10,2,FALSE)))</f>
        <v>High</v>
      </c>
      <c r="N48" s="52">
        <f>IF(OR(C48&lt;&gt;1,AF48=0),0,IF(G48="LIVE_HARM",'Risk Method'!$B$10,IF(G48="NONE",F48,IF(G48="SYSTEMIC",MIN('Risk Method'!$B$9,MAX(F48+1,IF(D48&amp;""="3",'Risk Method'!$B$9,0))),MAX(F48,'Risk Method'!$B$9)))))</f>
        <v>3</v>
      </c>
      <c r="O48" s="52" t="str">
        <f>IF(N48=0,"Not assessed",VLOOKUP(N48,'Risk Method'!$F$6:$H$10,3,FALSE))</f>
        <v>High</v>
      </c>
      <c r="P48" s="52" t="str">
        <f>IF(OR(C48&lt;&gt;1,AF48=0),"",INDEX('Answer Outcomes'!$E$6:$E$350,$AF48))</f>
        <v>Make the reporting route work when power is involved</v>
      </c>
      <c r="Q48" s="52" t="str">
        <f>IF(OR(C48&lt;&gt;1,AF48=0),"",INDEX('Answer Outcomes'!$G$6:$G$350,$AF48))</f>
        <v>A reporting route can fail precisely when the concern involves the person controlling it, leaving the business without a credible way to hear and address the issue.</v>
      </c>
      <c r="R48" s="52" t="str">
        <f>IF(OR(C48&lt;&gt;1,AF48=0),"",IF(G48="LIVE_HARM","Protect people and contain the reported exposure now. Seek appropriate urgent assistance and arrange a competent review. Do not wait for this assessment or a sales appointment.",IF(OR(G48="LIVE_ISSUE",AND(G48="SYSTEMIC",D48&amp;""="3")),"Review the reported current matter and reconcile it with the maturity answer before relying on the result. Preserve relevant evidence, allocate an impartial owner and assess immediate safeguards. Context: "&amp;H48,IF(G48="DEADLINE","Confirm the actual deadline and complete the necessary checks before the affected event. "&amp;INDEX('Answer Outcomes'!$M$6:$M$350,$AF48),IF(G48="MATTER_UNCLEAR","Confirm promptly whether the time-sensitive matter exists and who owns the response. Do not treat uncertainty as proof of an incident. "&amp;INDEX('Answer Outcomes'!$M$6:$M$350,$AF48),INDEX('Answer Outcomes'!$M$6:$M$350,$AF48))))))</f>
        <v>Identify who could receive a concern when the owner, manager or usual contact is involved, and whether that person has the authority and independence needed to arrange an appropriate response.</v>
      </c>
      <c r="S48" s="52" t="str">
        <f>IF(OR(C48&lt;&gt;1,AF48=0),"","1. "&amp;INDEX('Answer Outcomes'!$N$6:$N$350,$AF48)&amp;CHAR(10)&amp;"2. "&amp;INDEX('Answer Outcomes'!$O$6:$O$350,$AF48))</f>
        <v>1. Name an alternative recipient without a relevant conflict and document escalation, confidentiality boundaries and protection from retaliation.
2. Explain the route to staff, test a fictional owner-related concern and check that the recipient can arrange an appropriate response.</v>
      </c>
      <c r="T48" s="52" t="str">
        <f>IF(OR(C48&lt;&gt;1,AF48=0),"",IF(G48="NONE",INDEX('Answer Outcomes'!$L$6:$L$350,$AF48),"Context "&amp;G48&amp;": "&amp;H48&amp;". Scope: "&amp;I48&amp;". "&amp;IF(G48="DEADLINE","The deadline raises action urgency; it does not establish a breach or automatically raise the risk rating.",IF(D48&amp;""="3","The current context takes precedence over a reassuring maturity answer.","The rating remains provisional; the matter has not been independently verified."))))</f>
        <v>High provisional concern: an essential element remains unresolved. A reporting route can fail precisely when the concern involves the person controlling it, leaving the business without a credible way to hear and address the issue.</v>
      </c>
      <c r="U48" s="52" t="str">
        <f>IF(OR(C48&lt;&gt;1,AF48=0),"",INDEX('Answer Outcomes'!$Q$6:$Q$350,$AF48))</f>
        <v>Staff can identify and use a credible alternative route when the normal contact is involved, the recipient can arrange an appropriate response, and confidentiality and protection-from-retaliation safeguards have been tested. Confirm that the change works in practice, not only that a document exists.</v>
      </c>
      <c r="V48" s="52" t="str">
        <f>IF(OR(C48&lt;&gt;1,AF48=0),"",INDEX('Answer Outcomes'!$T$6:$T$350,$AF48))</f>
        <v>Business leader / safety lead</v>
      </c>
      <c r="W48" s="52" t="str">
        <f>IF(N48=0,"",IF(N48='Risk Method'!$B$10,"Act now. Immediate protective action and appropriate urgent advice take precedence.",IF(N48='Risk Method'!$B$9,"Review or verify within "&amp;'Risk Method'!$B$11&amp;" business days, or before an earlier duty/event. Do not wait where harm or law requires immediate action.",IF(N48='Risk Method'!$B$8,"Agree and start a plan within "&amp;'Risk Method'!$B$12&amp;" days, or before an earlier affected event.","Maintain at the stated trigger; plan any discretionary improvement within "&amp;'Risk Method'!$B$13&amp;" days.")))&amp;IF(J48="",""," Next event: "&amp;J48))</f>
        <v>Review or verify within 2 business days, or before an earlier duty/event. Do not wait where harm or law requires immediate action.</v>
      </c>
      <c r="X48" s="52" t="str">
        <f>IF(OR(C48&lt;&gt;1,AF48=0),"",INDEX('Answer Outcomes'!$V$6:$V$350,$AF48))</f>
        <v>RESPECT</v>
      </c>
      <c r="Y48" s="52" t="str">
        <f>IF(C48&lt;&gt;1,"",A48&amp;"_"&amp;D48)</f>
        <v>PSY04_0</v>
      </c>
      <c r="Z48" s="52">
        <f>IF(N48=0,0,N48*100000+L48*1000+INDEX('Answer Outcomes'!$I$6:$I$350,$AF48)*100+IF(G48="DEADLINE",50,0)+(75-ROW())/100)</f>
        <v>303300.27</v>
      </c>
      <c r="AA48" s="52">
        <f>IF(Z48=0,"",RANK(Z48,$Z$6:$Z$74,0))</f>
        <v>3</v>
      </c>
      <c r="AB48" s="52" t="str">
        <f>IF(AND(C48&lt;&gt;0,C48&lt;&gt;1),"Invalid eligibility",IF(AND(C48=0,G48&lt;&gt;"NONE"),"Context conflicts with exclusion",IF(C48=0,"",IF(AF48=0,"Missing or invalid answer",IF(AND(G48&lt;&gt;"NONE",G48&lt;&gt;"LIVE_HARM",G48&lt;&gt;"LIVE_ISSUE",G48&lt;&gt;"DEADLINE",G48&lt;&gt;"SYSTEMIC",G48&lt;&gt;"MATTER_UNCLEAR"),"Invalid context code",IF(AND(G48&lt;&gt;"NONE",OR(H48="",I48="")),"Override needs reason and scope",""))))))</f>
        <v/>
      </c>
      <c r="AC48" s="52" t="str">
        <f>IF(OR(C48&lt;&gt;1,AF48=0),"",INDEX('Answer Outcomes'!$S$6:$S$350,$AF48))</f>
        <v>Changed ownership or reporting contacts, a conflict or concern about retaliation.</v>
      </c>
      <c r="AD48" s="52" t="str">
        <f>IF(OR(C48&lt;&gt;1,AF48=0),"",INDEX('Answer Outcomes'!$Y$6:$Y$350,$AF48))</f>
        <v>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v>
      </c>
      <c r="AE48" s="37" t="inlineStr">
        <is>
          <t>None</t>
        </is>
      </c>
      <c r="AF48" s="52">
        <f>IF(C48&lt;&gt;1,0,IFERROR(MATCH(Y48,'Answer Outcomes'!$A$6:$A$350,0),0))</f>
        <v>211</v>
      </c>
      <c r="AG48" s="52">
        <f>IF(N48&lt;'Risk Method'!$B$8,0,IF(COUNTIFS($X$6:$X$74,X48,$Z$6:$Z$74,"&gt;"&amp;Z48)=0,Z48,0))</f>
        <v>303300.27</v>
      </c>
      <c r="AH48" s="52">
        <f>IF(AG48=0,"",RANK(AG48,$AG$6:$AG$74,0))</f>
        <v>3</v>
      </c>
      <c r="AI48" s="52">
        <f>IF(LEN(AB48)&gt;0,1,0)</f>
        <v>0</v>
      </c>
    </row>
    <row r="49" ht="44" customHeight="1">
      <c r="A49" s="38" t="inlineStr">
        <is>
          <t>PSY05</t>
        </is>
      </c>
      <c r="B49" s="38" t="inlineStr">
        <is>
          <t>PSY</t>
        </is>
      </c>
      <c r="C49" s="54">
        <f>'Score Sandbox'!F69</f>
        <v>1</v>
      </c>
      <c r="D49" s="54">
        <f>IF(COUNTBLANK('Score Sandbox'!G69)&gt;0,"",'Score Sandbox'!G69)</f>
        <v>3</v>
      </c>
      <c r="E49" s="54">
        <f>IF(OR(C49&lt;&gt;1,AF49=0),"",INDEX('Answer Outcomes'!$J$6:$J$350,$AF49))</f>
        <v>1</v>
      </c>
      <c r="F49" s="54">
        <f>IF(OR(C49&lt;&gt;1,AF49=0),"",INDEX('Answer Outcomes'!$K$6:$K$350,$AF49))</f>
        <v>1</v>
      </c>
      <c r="G49" s="53" t="inlineStr">
        <is>
          <t>NONE</t>
        </is>
      </c>
      <c r="H49" s="53" t="inlineStr"/>
      <c r="I49" s="53" t="inlineStr"/>
      <c r="J49" s="53" t="inlineStr"/>
      <c r="K49" s="53" t="inlineStr">
        <is>
          <t>Self-report only</t>
        </is>
      </c>
      <c r="L49" s="54">
        <f>IF(OR(C49&lt;&gt;1,AF49=0),0,IF(G49="LIVE_HARM",'Risk Method'!$B$10,IF(G49="LIVE_ISSUE",MAX(E49,'Risk Method'!$B$9),IF(AND(OR(G49="SYSTEMIC",G49="MATTER_UNCLEAR"),D49&amp;""="3"),0,IF(G49="SYSTEMIC",IF(E49=0,0,MIN('Risk Method'!$B$9,E49+1)),E49)))))</f>
        <v>1</v>
      </c>
      <c r="M49" s="54" t="str">
        <f>IF(C49&lt;&gt;1,"Not assessed",IF(AF49=0,"Incomplete",VLOOKUP(L49,'Risk Method'!$F$6:$H$10,2,FALSE)))</f>
        <v>Low</v>
      </c>
      <c r="N49" s="54">
        <f>IF(OR(C49&lt;&gt;1,AF49=0),0,IF(G49="LIVE_HARM",'Risk Method'!$B$10,IF(G49="NONE",F49,IF(G49="SYSTEMIC",MIN('Risk Method'!$B$9,MAX(F49+1,IF(D49&amp;""="3",'Risk Method'!$B$9,0))),MAX(F49,'Risk Method'!$B$9)))))</f>
        <v>1</v>
      </c>
      <c r="O49" s="54" t="str">
        <f>IF(N49=0,"Not assessed",VLOOKUP(N49,'Risk Method'!$F$6:$H$10,3,FALSE))</f>
        <v>Low</v>
      </c>
      <c r="P49" s="54" t="str">
        <f>IF(OR(C49&lt;&gt;1,AF49=0),"",INDEX('Answer Outcomes'!$E$6:$E$350,$AF49))</f>
        <v>Maintain and test: connect support with a responsible workplace response</v>
      </c>
      <c r="Q49" s="54" t="str">
        <f>IF(OR(C49&lt;&gt;1,AF49=0),"",INDEX('Answer Outcomes'!$G$6:$G$350,$AF49))</f>
        <v>An unclear response can leave wellbeing, safety, confidentiality and fact-finding responsibilities disconnected.</v>
      </c>
      <c r="R49" s="54" t="str">
        <f>IF(OR(C49&lt;&gt;1,AF49=0),"",IF(G49="LIVE_HARM","Protect people and contain the reported exposure now. Seek appropriate urgent assistance and arrange a competent review. Do not wait for this assessment or a sales appointment.",IF(OR(G49="LIVE_ISSUE",AND(G49="SYSTEMIC",D49&amp;""="3")),"Review the reported current matter and reconcile it with the maturity answer before relying on the result. Preserve relevant evidence, allocate an impartial owner and assess immediate safeguards. Context: "&amp;H49,IF(G49="DEADLINE","Confirm the actual deadline and complete the necessary checks before the affected event. "&amp;INDEX('Answer Outcomes'!$M$6:$M$350,$AF49),IF(G49="MATTER_UNCLEAR","Confirm promptly whether the time-sensitive matter exists and who owns the response. Do not treat uncertainty as proof of an incident. "&amp;INDEX('Answer Outcomes'!$M$6:$M$350,$AF49),INDEX('Answer Outcomes'!$M$6:$M$350,$AF49))))))</f>
        <v>Maintain the practice described. At the next relevant review, set follow-up dates with relevant people and check that agreed protective or corrective steps occurred.</v>
      </c>
      <c r="S49" s="54" t="str">
        <f>IF(OR(C49&lt;&gt;1,AF49=0),"","1. "&amp;INDEX('Answer Outcomes'!$N$6:$N$350,$AF49)&amp;CHAR(10)&amp;"2. "&amp;INDEX('Answer Outcomes'!$O$6:$O$350,$AF49))</f>
        <v>1. Check whether changes in work, people or applicable requirements have made the original process less reliable.
2. Retain the review outcome and act on any new exception. An unresolved live issue overrides this maintenance pathway.</v>
      </c>
      <c r="T49" s="54" t="str">
        <f>IF(OR(C49&lt;&gt;1,AF49=0),"",IF(G49="NONE",INDEX('Answer Outcomes'!$L$6:$L$350,$AF49),"Context "&amp;G49&amp;": "&amp;H49&amp;". Scope: "&amp;I49&amp;". "&amp;IF(G49="DEADLINE","The deadline raises action urgency; it does not establish a breach or automatically raise the risk rating.",IF(D49&amp;""="3","The current context takes precedence over a reassuring maturity answer.","The rating remains provisional; the matter has not been independently verified."))))</f>
        <v>Lower reported concern, not a finding of no risk. The assumed controls are self-reported; a current incident, contrary evidence or failed control takes precedence.</v>
      </c>
      <c r="U49" s="54" t="str">
        <f>IF(OR(C49&lt;&gt;1,AF49=0),"",INDEX('Answer Outcomes'!$Q$6:$Q$350,$AF49))</f>
        <v>A current example of the practice and a proportionate recheck record. A tested response and support pathway with clear roles, escalation and follow-up.</v>
      </c>
      <c r="V49" s="54" t="str">
        <f>IF(OR(C49&lt;&gt;1,AF49=0),"",INDEX('Answer Outcomes'!$T$6:$T$350,$AF49))</f>
        <v>Business leader / safety lead</v>
      </c>
      <c r="W49" s="54" t="str">
        <f>IF(N49=0,"",IF(N49='Risk Method'!$B$10,"Act now. Immediate protective action and appropriate urgent advice take precedence.",IF(N49='Risk Method'!$B$9,"Review or verify within "&amp;'Risk Method'!$B$11&amp;" business days, or before an earlier duty/event. Do not wait where harm or law requires immediate action.",IF(N49='Risk Method'!$B$8,"Agree and start a plan within "&amp;'Risk Method'!$B$12&amp;" days, or before an earlier affected event.","Maintain at the stated trigger; plan any discretionary improvement within "&amp;'Risk Method'!$B$13&amp;" days.")))&amp;IF(J49="",""," Next event: "&amp;J49))</f>
        <v>Maintain at the stated trigger; plan any discretionary improvement within 90 days.</v>
      </c>
      <c r="X49" s="54" t="str">
        <f>IF(OR(C49&lt;&gt;1,AF49=0),"",INDEX('Answer Outcomes'!$V$6:$V$350,$AF49))</f>
        <v>RESPECT</v>
      </c>
      <c r="Y49" s="54" t="str">
        <f>IF(C49&lt;&gt;1,"",A49&amp;"_"&amp;D49)</f>
        <v>PSY05_3</v>
      </c>
      <c r="Z49" s="54">
        <f>IF(N49=0,0,N49*100000+L49*1000+INDEX('Answer Outcomes'!$I$6:$I$350,$AF49)*100+IF(G49="DEADLINE",50,0)+(75-ROW())/100)</f>
        <v>101300.26</v>
      </c>
      <c r="AA49" s="54">
        <f>IF(Z49=0,"",RANK(Z49,$Z$6:$Z$74,0))</f>
        <v>28</v>
      </c>
      <c r="AB49" s="54" t="str">
        <f>IF(AND(C49&lt;&gt;0,C49&lt;&gt;1),"Invalid eligibility",IF(AND(C49=0,G49&lt;&gt;"NONE"),"Context conflicts with exclusion",IF(C49=0,"",IF(AF49=0,"Missing or invalid answer",IF(AND(G49&lt;&gt;"NONE",G49&lt;&gt;"LIVE_HARM",G49&lt;&gt;"LIVE_ISSUE",G49&lt;&gt;"DEADLINE",G49&lt;&gt;"SYSTEMIC",G49&lt;&gt;"MATTER_UNCLEAR"),"Invalid context code",IF(AND(G49&lt;&gt;"NONE",OR(H49="",I49="")),"Override needs reason and scope",""))))))</f>
        <v/>
      </c>
      <c r="AC49" s="54" t="str">
        <f>IF(OR(C49&lt;&gt;1,AF49=0),"",INDEX('Answer Outcomes'!$S$6:$S$350,$AF49))</f>
        <v>A concern, incident, changed support contact or incomplete follow-through.</v>
      </c>
      <c r="AD49" s="54" t="str">
        <f>IF(OR(C49&lt;&gt;1,AF49=0),"",INDEX('Answer Outcomes'!$Y$6:$Y$350,$AF49))</f>
        <v>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v>
      </c>
      <c r="AE49" s="38" t="inlineStr">
        <is>
          <t>PSY04</t>
        </is>
      </c>
      <c r="AF49" s="54">
        <f>IF(C49&lt;&gt;1,0,IFERROR(MATCH(Y49,'Answer Outcomes'!$A$6:$A$350,0),0))</f>
        <v>219</v>
      </c>
      <c r="AG49" s="54">
        <f>IF(N49&lt;'Risk Method'!$B$8,0,IF(COUNTIFS($X$6:$X$74,X49,$Z$6:$Z$74,"&gt;"&amp;Z49)=0,Z49,0))</f>
        <v>0</v>
      </c>
      <c r="AH49" s="54" t="str">
        <f>IF(AG49=0,"",RANK(AG49,$AG$6:$AG$74,0))</f>
        <v/>
      </c>
      <c r="AI49" s="54">
        <f>IF(LEN(AB49)&gt;0,1,0)</f>
        <v>0</v>
      </c>
    </row>
    <row r="50" ht="44" customHeight="1">
      <c r="A50" s="37" t="inlineStr">
        <is>
          <t>B01</t>
        </is>
      </c>
      <c r="B50" s="37" t="inlineStr">
        <is>
          <t>PAY</t>
        </is>
      </c>
      <c r="C50" s="52">
        <f>'Score Sandbox'!F70</f>
        <v>0</v>
      </c>
      <c r="D50" s="52">
        <f>IF(COUNTBLANK('Score Sandbox'!G70)&gt;0,"",'Score Sandbox'!G70)</f>
        <v>3</v>
      </c>
      <c r="E50" s="52" t="str">
        <f>IF(OR(C50&lt;&gt;1,AF50=0),"",INDEX('Answer Outcomes'!$J$6:$J$350,$AF50))</f>
        <v/>
      </c>
      <c r="F50" s="52" t="str">
        <f>IF(OR(C50&lt;&gt;1,AF50=0),"",INDEX('Answer Outcomes'!$K$6:$K$350,$AF50))</f>
        <v/>
      </c>
      <c r="G50" s="53" t="inlineStr">
        <is>
          <t>NONE</t>
        </is>
      </c>
      <c r="H50" s="53" t="inlineStr"/>
      <c r="I50" s="53" t="inlineStr"/>
      <c r="J50" s="53" t="inlineStr"/>
      <c r="K50" s="53" t="inlineStr">
        <is>
          <t>Self-report only</t>
        </is>
      </c>
      <c r="L50" s="52">
        <f>IF(OR(C50&lt;&gt;1,AF50=0),0,IF(G50="LIVE_HARM",'Risk Method'!$B$10,IF(G50="LIVE_ISSUE",MAX(E50,'Risk Method'!$B$9),IF(AND(OR(G50="SYSTEMIC",G50="MATTER_UNCLEAR"),D50&amp;""="3"),0,IF(G50="SYSTEMIC",IF(E50=0,0,MIN('Risk Method'!$B$9,E50+1)),E50)))))</f>
        <v>0</v>
      </c>
      <c r="M50" s="52" t="str">
        <f>IF(C50&lt;&gt;1,"Not assessed",IF(AF50=0,"Incomplete",VLOOKUP(L50,'Risk Method'!$F$6:$H$10,2,FALSE)))</f>
        <v>Not assessed</v>
      </c>
      <c r="N50" s="52">
        <f>IF(OR(C50&lt;&gt;1,AF50=0),0,IF(G50="LIVE_HARM",'Risk Method'!$B$10,IF(G50="NONE",F50,IF(G50="SYSTEMIC",MIN('Risk Method'!$B$9,MAX(F50+1,IF(D50&amp;""="3",'Risk Method'!$B$9,0))),MAX(F50,'Risk Method'!$B$9)))))</f>
        <v>0</v>
      </c>
      <c r="O50" s="52" t="str">
        <f>IF(N50=0,"Not assessed",VLOOKUP(N50,'Risk Method'!$F$6:$H$10,3,FALSE))</f>
        <v>Not assessed</v>
      </c>
      <c r="P50" s="52" t="str">
        <f>IF(OR(C50&lt;&gt;1,AF50=0),"",INDEX('Answer Outcomes'!$E$6:$E$350,$AF50))</f>
        <v/>
      </c>
      <c r="Q50" s="52" t="str">
        <f>IF(OR(C50&lt;&gt;1,AF50=0),"",INDEX('Answer Outcomes'!$G$6:$G$350,$AF50))</f>
        <v/>
      </c>
      <c r="R50" s="52" t="str">
        <f>IF(OR(C50&lt;&gt;1,AF50=0),"",IF(G50="LIVE_HARM","Protect people and contain the reported exposure now. Seek appropriate urgent assistance and arrange a competent review. Do not wait for this assessment or a sales appointment.",IF(OR(G50="LIVE_ISSUE",AND(G50="SYSTEMIC",D50&amp;""="3")),"Review the reported current matter and reconcile it with the maturity answer before relying on the result. Preserve relevant evidence, allocate an impartial owner and assess immediate safeguards. Context: "&amp;H50,IF(G50="DEADLINE","Confirm the actual deadline and complete the necessary checks before the affected event. "&amp;INDEX('Answer Outcomes'!$M$6:$M$350,$AF50),IF(G50="MATTER_UNCLEAR","Confirm promptly whether the time-sensitive matter exists and who owns the response. Do not treat uncertainty as proof of an incident. "&amp;INDEX('Answer Outcomes'!$M$6:$M$350,$AF50),INDEX('Answer Outcomes'!$M$6:$M$350,$AF50))))))</f>
        <v/>
      </c>
      <c r="S50" s="52" t="str">
        <f>IF(OR(C50&lt;&gt;1,AF50=0),"","1. "&amp;INDEX('Answer Outcomes'!$N$6:$N$350,$AF50)&amp;CHAR(10)&amp;"2. "&amp;INDEX('Answer Outcomes'!$O$6:$O$350,$AF50))</f>
        <v/>
      </c>
      <c r="T50" s="52" t="str">
        <f>IF(OR(C50&lt;&gt;1,AF50=0),"",IF(G50="NONE",INDEX('Answer Outcomes'!$L$6:$L$350,$AF50),"Context "&amp;G50&amp;": "&amp;H50&amp;". Scope: "&amp;I50&amp;". "&amp;IF(G50="DEADLINE","The deadline raises action urgency; it does not establish a breach or automatically raise the risk rating.",IF(D50&amp;""="3","The current context takes precedence over a reassuring maturity answer.","The rating remains provisional; the matter has not been independently verified."))))</f>
        <v/>
      </c>
      <c r="U50" s="52" t="str">
        <f>IF(OR(C50&lt;&gt;1,AF50=0),"",INDEX('Answer Outcomes'!$Q$6:$Q$350,$AF50))</f>
        <v/>
      </c>
      <c r="V50" s="52" t="str">
        <f>IF(OR(C50&lt;&gt;1,AF50=0),"",INDEX('Answer Outcomes'!$T$6:$T$350,$AF50))</f>
        <v/>
      </c>
      <c r="W50" s="52" t="str">
        <f>IF(N50=0,"",IF(N50='Risk Method'!$B$10,"Act now. Immediate protective action and appropriate urgent advice take precedence.",IF(N50='Risk Method'!$B$9,"Review or verify within "&amp;'Risk Method'!$B$11&amp;" business days, or before an earlier duty/event. Do not wait where harm or law requires immediate action.",IF(N50='Risk Method'!$B$8,"Agree and start a plan within "&amp;'Risk Method'!$B$12&amp;" days, or before an earlier affected event.","Maintain at the stated trigger; plan any discretionary improvement within "&amp;'Risk Method'!$B$13&amp;" days.")))&amp;IF(J50="",""," Next event: "&amp;J50))</f>
        <v/>
      </c>
      <c r="X50" s="52" t="str">
        <f>IF(OR(C50&lt;&gt;1,AF50=0),"",INDEX('Answer Outcomes'!$V$6:$V$350,$AF50))</f>
        <v/>
      </c>
      <c r="Y50" s="52" t="str">
        <f>IF(C50&lt;&gt;1,"",A50&amp;"_"&amp;D50)</f>
        <v/>
      </c>
      <c r="Z50" s="52">
        <f>IF(N50=0,0,N50*100000+L50*1000+INDEX('Answer Outcomes'!$I$6:$I$350,$AF50)*100+IF(G50="DEADLINE",50,0)+(75-ROW())/100)</f>
        <v>0</v>
      </c>
      <c r="AA50" s="52" t="str">
        <f>IF(Z50=0,"",RANK(Z50,$Z$6:$Z$74,0))</f>
        <v/>
      </c>
      <c r="AB50" s="52" t="str">
        <f>IF(AND(C50&lt;&gt;0,C50&lt;&gt;1),"Invalid eligibility",IF(AND(C50=0,G50&lt;&gt;"NONE"),"Context conflicts with exclusion",IF(C50=0,"",IF(AF50=0,"Missing or invalid answer",IF(AND(G50&lt;&gt;"NONE",G50&lt;&gt;"LIVE_HARM",G50&lt;&gt;"LIVE_ISSUE",G50&lt;&gt;"DEADLINE",G50&lt;&gt;"SYSTEMIC",G50&lt;&gt;"MATTER_UNCLEAR"),"Invalid context code",IF(AND(G50&lt;&gt;"NONE",OR(H50="",I50="")),"Override needs reason and scope",""))))))</f>
        <v/>
      </c>
      <c r="AC50" s="52" t="str">
        <f>IF(OR(C50&lt;&gt;1,AF50=0),"",INDEX('Answer Outcomes'!$S$6:$S$350,$AF50))</f>
        <v/>
      </c>
      <c r="AD50" s="52" t="str">
        <f>IF(OR(C50&lt;&gt;1,AF50=0),"",INDEX('Answer Outcomes'!$Y$6:$Y$350,$AF50))</f>
        <v/>
      </c>
      <c r="AE50" s="37" t="inlineStr">
        <is>
          <t>PAY01;DAT01</t>
        </is>
      </c>
      <c r="AF50" s="52">
        <f>IF(C50&lt;&gt;1,0,IFERROR(MATCH(Y50,'Answer Outcomes'!$A$6:$A$350,0),0))</f>
        <v>0</v>
      </c>
      <c r="AG50" s="52">
        <f>IF(N50&lt;'Risk Method'!$B$8,0,IF(COUNTIFS($X$6:$X$74,X50,$Z$6:$Z$74,"&gt;"&amp;Z50)=0,Z50,0))</f>
        <v>0</v>
      </c>
      <c r="AH50" s="52" t="str">
        <f>IF(AG50=0,"",RANK(AG50,$AG$6:$AG$74,0))</f>
        <v/>
      </c>
      <c r="AI50" s="52">
        <f>IF(LEN(AB50)&gt;0,1,0)</f>
        <v>0</v>
      </c>
    </row>
    <row r="51" ht="44" customHeight="1">
      <c r="A51" s="38" t="inlineStr">
        <is>
          <t>B02</t>
        </is>
      </c>
      <c r="B51" s="38" t="inlineStr">
        <is>
          <t>CON</t>
        </is>
      </c>
      <c r="C51" s="54">
        <f>'Score Sandbox'!F71</f>
        <v>0</v>
      </c>
      <c r="D51" s="54">
        <f>IF(COUNTBLANK('Score Sandbox'!G71)&gt;0,"",'Score Sandbox'!G71)</f>
        <v>3</v>
      </c>
      <c r="E51" s="54" t="str">
        <f>IF(OR(C51&lt;&gt;1,AF51=0),"",INDEX('Answer Outcomes'!$J$6:$J$350,$AF51))</f>
        <v/>
      </c>
      <c r="F51" s="54" t="str">
        <f>IF(OR(C51&lt;&gt;1,AF51=0),"",INDEX('Answer Outcomes'!$K$6:$K$350,$AF51))</f>
        <v/>
      </c>
      <c r="G51" s="53" t="inlineStr">
        <is>
          <t>NONE</t>
        </is>
      </c>
      <c r="H51" s="53" t="inlineStr"/>
      <c r="I51" s="53" t="inlineStr"/>
      <c r="J51" s="53" t="inlineStr"/>
      <c r="K51" s="53" t="inlineStr">
        <is>
          <t>Self-report only</t>
        </is>
      </c>
      <c r="L51" s="54">
        <f>IF(OR(C51&lt;&gt;1,AF51=0),0,IF(G51="LIVE_HARM",'Risk Method'!$B$10,IF(G51="LIVE_ISSUE",MAX(E51,'Risk Method'!$B$9),IF(AND(OR(G51="SYSTEMIC",G51="MATTER_UNCLEAR"),D51&amp;""="3"),0,IF(G51="SYSTEMIC",IF(E51=0,0,MIN('Risk Method'!$B$9,E51+1)),E51)))))</f>
        <v>0</v>
      </c>
      <c r="M51" s="54" t="str">
        <f>IF(C51&lt;&gt;1,"Not assessed",IF(AF51=0,"Incomplete",VLOOKUP(L51,'Risk Method'!$F$6:$H$10,2,FALSE)))</f>
        <v>Not assessed</v>
      </c>
      <c r="N51" s="54">
        <f>IF(OR(C51&lt;&gt;1,AF51=0),0,IF(G51="LIVE_HARM",'Risk Method'!$B$10,IF(G51="NONE",F51,IF(G51="SYSTEMIC",MIN('Risk Method'!$B$9,MAX(F51+1,IF(D51&amp;""="3",'Risk Method'!$B$9,0))),MAX(F51,'Risk Method'!$B$9)))))</f>
        <v>0</v>
      </c>
      <c r="O51" s="54" t="str">
        <f>IF(N51=0,"Not assessed",VLOOKUP(N51,'Risk Method'!$F$6:$H$10,3,FALSE))</f>
        <v>Not assessed</v>
      </c>
      <c r="P51" s="54" t="str">
        <f>IF(OR(C51&lt;&gt;1,AF51=0),"",INDEX('Answer Outcomes'!$E$6:$E$350,$AF51))</f>
        <v/>
      </c>
      <c r="Q51" s="54" t="str">
        <f>IF(OR(C51&lt;&gt;1,AF51=0),"",INDEX('Answer Outcomes'!$G$6:$G$350,$AF51))</f>
        <v/>
      </c>
      <c r="R51" s="54" t="str">
        <f>IF(OR(C51&lt;&gt;1,AF51=0),"",IF(G51="LIVE_HARM","Protect people and contain the reported exposure now. Seek appropriate urgent assistance and arrange a competent review. Do not wait for this assessment or a sales appointment.",IF(OR(G51="LIVE_ISSUE",AND(G51="SYSTEMIC",D51&amp;""="3")),"Review the reported current matter and reconcile it with the maturity answer before relying on the result. Preserve relevant evidence, allocate an impartial owner and assess immediate safeguards. Context: "&amp;H51,IF(G51="DEADLINE","Confirm the actual deadline and complete the necessary checks before the affected event. "&amp;INDEX('Answer Outcomes'!$M$6:$M$350,$AF51),IF(G51="MATTER_UNCLEAR","Confirm promptly whether the time-sensitive matter exists and who owns the response. Do not treat uncertainty as proof of an incident. "&amp;INDEX('Answer Outcomes'!$M$6:$M$350,$AF51),INDEX('Answer Outcomes'!$M$6:$M$350,$AF51))))))</f>
        <v/>
      </c>
      <c r="S51" s="54" t="str">
        <f>IF(OR(C51&lt;&gt;1,AF51=0),"","1. "&amp;INDEX('Answer Outcomes'!$N$6:$N$350,$AF51)&amp;CHAR(10)&amp;"2. "&amp;INDEX('Answer Outcomes'!$O$6:$O$350,$AF51))</f>
        <v/>
      </c>
      <c r="T51" s="54" t="str">
        <f>IF(OR(C51&lt;&gt;1,AF51=0),"",IF(G51="NONE",INDEX('Answer Outcomes'!$L$6:$L$350,$AF51),"Context "&amp;G51&amp;": "&amp;H51&amp;". Scope: "&amp;I51&amp;". "&amp;IF(G51="DEADLINE","The deadline raises action urgency; it does not establish a breach or automatically raise the risk rating.",IF(D51&amp;""="3","The current context takes precedence over a reassuring maturity answer.","The rating remains provisional; the matter has not been independently verified."))))</f>
        <v/>
      </c>
      <c r="U51" s="54" t="str">
        <f>IF(OR(C51&lt;&gt;1,AF51=0),"",INDEX('Answer Outcomes'!$Q$6:$Q$350,$AF51))</f>
        <v/>
      </c>
      <c r="V51" s="54" t="str">
        <f>IF(OR(C51&lt;&gt;1,AF51=0),"",INDEX('Answer Outcomes'!$T$6:$T$350,$AF51))</f>
        <v/>
      </c>
      <c r="W51" s="54" t="str">
        <f>IF(N51=0,"",IF(N51='Risk Method'!$B$10,"Act now. Immediate protective action and appropriate urgent advice take precedence.",IF(N51='Risk Method'!$B$9,"Review or verify within "&amp;'Risk Method'!$B$11&amp;" business days, or before an earlier duty/event. Do not wait where harm or law requires immediate action.",IF(N51='Risk Method'!$B$8,"Agree and start a plan within "&amp;'Risk Method'!$B$12&amp;" days, or before an earlier affected event.","Maintain at the stated trigger; plan any discretionary improvement within "&amp;'Risk Method'!$B$13&amp;" days.")))&amp;IF(J51="",""," Next event: "&amp;J51))</f>
        <v/>
      </c>
      <c r="X51" s="54" t="str">
        <f>IF(OR(C51&lt;&gt;1,AF51=0),"",INDEX('Answer Outcomes'!$V$6:$V$350,$AF51))</f>
        <v/>
      </c>
      <c r="Y51" s="54" t="str">
        <f>IF(C51&lt;&gt;1,"",A51&amp;"_"&amp;D51)</f>
        <v/>
      </c>
      <c r="Z51" s="54">
        <f>IF(N51=0,0,N51*100000+L51*1000+INDEX('Answer Outcomes'!$I$6:$I$350,$AF51)*100+IF(G51="DEADLINE",50,0)+(75-ROW())/100)</f>
        <v>0</v>
      </c>
      <c r="AA51" s="54" t="str">
        <f>IF(Z51=0,"",RANK(Z51,$Z$6:$Z$74,0))</f>
        <v/>
      </c>
      <c r="AB51" s="54" t="str">
        <f>IF(AND(C51&lt;&gt;0,C51&lt;&gt;1),"Invalid eligibility",IF(AND(C51=0,G51&lt;&gt;"NONE"),"Context conflicts with exclusion",IF(C51=0,"",IF(AF51=0,"Missing or invalid answer",IF(AND(G51&lt;&gt;"NONE",G51&lt;&gt;"LIVE_HARM",G51&lt;&gt;"LIVE_ISSUE",G51&lt;&gt;"DEADLINE",G51&lt;&gt;"SYSTEMIC",G51&lt;&gt;"MATTER_UNCLEAR"),"Invalid context code",IF(AND(G51&lt;&gt;"NONE",OR(H51="",I51="")),"Override needs reason and scope",""))))))</f>
        <v/>
      </c>
      <c r="AC51" s="54" t="str">
        <f>IF(OR(C51&lt;&gt;1,AF51=0),"",INDEX('Answer Outcomes'!$S$6:$S$350,$AF51))</f>
        <v/>
      </c>
      <c r="AD51" s="54" t="str">
        <f>IF(OR(C51&lt;&gt;1,AF51=0),"",INDEX('Answer Outcomes'!$Y$6:$Y$350,$AF51))</f>
        <v/>
      </c>
      <c r="AE51" s="38" t="inlineStr">
        <is>
          <t>CON02</t>
        </is>
      </c>
      <c r="AF51" s="54">
        <f>IF(C51&lt;&gt;1,0,IFERROR(MATCH(Y51,'Answer Outcomes'!$A$6:$A$350,0),0))</f>
        <v>0</v>
      </c>
      <c r="AG51" s="54">
        <f>IF(N51&lt;'Risk Method'!$B$8,0,IF(COUNTIFS($X$6:$X$74,X51,$Z$6:$Z$74,"&gt;"&amp;Z51)=0,Z51,0))</f>
        <v>0</v>
      </c>
      <c r="AH51" s="54" t="str">
        <f>IF(AG51=0,"",RANK(AG51,$AG$6:$AG$74,0))</f>
        <v/>
      </c>
      <c r="AI51" s="54">
        <f>IF(LEN(AB51)&gt;0,1,0)</f>
        <v>0</v>
      </c>
    </row>
    <row r="52" ht="44" customHeight="1">
      <c r="A52" s="37" t="inlineStr">
        <is>
          <t>B03</t>
        </is>
      </c>
      <c r="B52" s="37" t="inlineStr">
        <is>
          <t>ONB</t>
        </is>
      </c>
      <c r="C52" s="52">
        <f>'Score Sandbox'!F72</f>
        <v>0</v>
      </c>
      <c r="D52" s="52">
        <f>IF(COUNTBLANK('Score Sandbox'!G72)&gt;0,"",'Score Sandbox'!G72)</f>
        <v>3</v>
      </c>
      <c r="E52" s="52" t="str">
        <f>IF(OR(C52&lt;&gt;1,AF52=0),"",INDEX('Answer Outcomes'!$J$6:$J$350,$AF52))</f>
        <v/>
      </c>
      <c r="F52" s="52" t="str">
        <f>IF(OR(C52&lt;&gt;1,AF52=0),"",INDEX('Answer Outcomes'!$K$6:$K$350,$AF52))</f>
        <v/>
      </c>
      <c r="G52" s="53" t="inlineStr">
        <is>
          <t>NONE</t>
        </is>
      </c>
      <c r="H52" s="53" t="inlineStr"/>
      <c r="I52" s="53" t="inlineStr"/>
      <c r="J52" s="53" t="inlineStr"/>
      <c r="K52" s="53" t="inlineStr">
        <is>
          <t>Self-report only</t>
        </is>
      </c>
      <c r="L52" s="52">
        <f>IF(OR(C52&lt;&gt;1,AF52=0),0,IF(G52="LIVE_HARM",'Risk Method'!$B$10,IF(G52="LIVE_ISSUE",MAX(E52,'Risk Method'!$B$9),IF(AND(OR(G52="SYSTEMIC",G52="MATTER_UNCLEAR"),D52&amp;""="3"),0,IF(G52="SYSTEMIC",IF(E52=0,0,MIN('Risk Method'!$B$9,E52+1)),E52)))))</f>
        <v>0</v>
      </c>
      <c r="M52" s="52" t="str">
        <f>IF(C52&lt;&gt;1,"Not assessed",IF(AF52=0,"Incomplete",VLOOKUP(L52,'Risk Method'!$F$6:$H$10,2,FALSE)))</f>
        <v>Not assessed</v>
      </c>
      <c r="N52" s="52">
        <f>IF(OR(C52&lt;&gt;1,AF52=0),0,IF(G52="LIVE_HARM",'Risk Method'!$B$10,IF(G52="NONE",F52,IF(G52="SYSTEMIC",MIN('Risk Method'!$B$9,MAX(F52+1,IF(D52&amp;""="3",'Risk Method'!$B$9,0))),MAX(F52,'Risk Method'!$B$9)))))</f>
        <v>0</v>
      </c>
      <c r="O52" s="52" t="str">
        <f>IF(N52=0,"Not assessed",VLOOKUP(N52,'Risk Method'!$F$6:$H$10,3,FALSE))</f>
        <v>Not assessed</v>
      </c>
      <c r="P52" s="52" t="str">
        <f>IF(OR(C52&lt;&gt;1,AF52=0),"",INDEX('Answer Outcomes'!$E$6:$E$350,$AF52))</f>
        <v/>
      </c>
      <c r="Q52" s="52" t="str">
        <f>IF(OR(C52&lt;&gt;1,AF52=0),"",INDEX('Answer Outcomes'!$G$6:$G$350,$AF52))</f>
        <v/>
      </c>
      <c r="R52" s="52" t="str">
        <f>IF(OR(C52&lt;&gt;1,AF52=0),"",IF(G52="LIVE_HARM","Protect people and contain the reported exposure now. Seek appropriate urgent assistance and arrange a competent review. Do not wait for this assessment or a sales appointment.",IF(OR(G52="LIVE_ISSUE",AND(G52="SYSTEMIC",D52&amp;""="3")),"Review the reported current matter and reconcile it with the maturity answer before relying on the result. Preserve relevant evidence, allocate an impartial owner and assess immediate safeguards. Context: "&amp;H52,IF(G52="DEADLINE","Confirm the actual deadline and complete the necessary checks before the affected event. "&amp;INDEX('Answer Outcomes'!$M$6:$M$350,$AF52),IF(G52="MATTER_UNCLEAR","Confirm promptly whether the time-sensitive matter exists and who owns the response. Do not treat uncertainty as proof of an incident. "&amp;INDEX('Answer Outcomes'!$M$6:$M$350,$AF52),INDEX('Answer Outcomes'!$M$6:$M$350,$AF52))))))</f>
        <v/>
      </c>
      <c r="S52" s="52" t="str">
        <f>IF(OR(C52&lt;&gt;1,AF52=0),"","1. "&amp;INDEX('Answer Outcomes'!$N$6:$N$350,$AF52)&amp;CHAR(10)&amp;"2. "&amp;INDEX('Answer Outcomes'!$O$6:$O$350,$AF52))</f>
        <v/>
      </c>
      <c r="T52" s="52" t="str">
        <f>IF(OR(C52&lt;&gt;1,AF52=0),"",IF(G52="NONE",INDEX('Answer Outcomes'!$L$6:$L$350,$AF52),"Context "&amp;G52&amp;": "&amp;H52&amp;". Scope: "&amp;I52&amp;". "&amp;IF(G52="DEADLINE","The deadline raises action urgency; it does not establish a breach or automatically raise the risk rating.",IF(D52&amp;""="3","The current context takes precedence over a reassuring maturity answer.","The rating remains provisional; the matter has not been independently verified."))))</f>
        <v/>
      </c>
      <c r="U52" s="52" t="str">
        <f>IF(OR(C52&lt;&gt;1,AF52=0),"",INDEX('Answer Outcomes'!$Q$6:$Q$350,$AF52))</f>
        <v/>
      </c>
      <c r="V52" s="52" t="str">
        <f>IF(OR(C52&lt;&gt;1,AF52=0),"",INDEX('Answer Outcomes'!$T$6:$T$350,$AF52))</f>
        <v/>
      </c>
      <c r="W52" s="52" t="str">
        <f>IF(N52=0,"",IF(N52='Risk Method'!$B$10,"Act now. Immediate protective action and appropriate urgent advice take precedence.",IF(N52='Risk Method'!$B$9,"Review or verify within "&amp;'Risk Method'!$B$11&amp;" business days, or before an earlier duty/event. Do not wait where harm or law requires immediate action.",IF(N52='Risk Method'!$B$8,"Agree and start a plan within "&amp;'Risk Method'!$B$12&amp;" days, or before an earlier affected event.","Maintain at the stated trigger; plan any discretionary improvement within "&amp;'Risk Method'!$B$13&amp;" days.")))&amp;IF(J52="",""," Next event: "&amp;J52))</f>
        <v/>
      </c>
      <c r="X52" s="52" t="str">
        <f>IF(OR(C52&lt;&gt;1,AF52=0),"",INDEX('Answer Outcomes'!$V$6:$V$350,$AF52))</f>
        <v/>
      </c>
      <c r="Y52" s="52" t="str">
        <f>IF(C52&lt;&gt;1,"",A52&amp;"_"&amp;D52)</f>
        <v/>
      </c>
      <c r="Z52" s="52">
        <f>IF(N52=0,0,N52*100000+L52*1000+INDEX('Answer Outcomes'!$I$6:$I$350,$AF52)*100+IF(G52="DEADLINE",50,0)+(75-ROW())/100)</f>
        <v>0</v>
      </c>
      <c r="AA52" s="52" t="str">
        <f>IF(Z52=0,"",RANK(Z52,$Z$6:$Z$74,0))</f>
        <v/>
      </c>
      <c r="AB52" s="52" t="str">
        <f>IF(AND(C52&lt;&gt;0,C52&lt;&gt;1),"Invalid eligibility",IF(AND(C52=0,G52&lt;&gt;"NONE"),"Context conflicts with exclusion",IF(C52=0,"",IF(AF52=0,"Missing or invalid answer",IF(AND(G52&lt;&gt;"NONE",G52&lt;&gt;"LIVE_HARM",G52&lt;&gt;"LIVE_ISSUE",G52&lt;&gt;"DEADLINE",G52&lt;&gt;"SYSTEMIC",G52&lt;&gt;"MATTER_UNCLEAR"),"Invalid context code",IF(AND(G52&lt;&gt;"NONE",OR(H52="",I52="")),"Override needs reason and scope",""))))))</f>
        <v/>
      </c>
      <c r="AC52" s="52" t="str">
        <f>IF(OR(C52&lt;&gt;1,AF52=0),"",INDEX('Answer Outcomes'!$S$6:$S$350,$AF52))</f>
        <v/>
      </c>
      <c r="AD52" s="52" t="str">
        <f>IF(OR(C52&lt;&gt;1,AF52=0),"",INDEX('Answer Outcomes'!$Y$6:$Y$350,$AF52))</f>
        <v/>
      </c>
      <c r="AE52" s="37" t="inlineStr">
        <is>
          <t>ONB02;CON02</t>
        </is>
      </c>
      <c r="AF52" s="52">
        <f>IF(C52&lt;&gt;1,0,IFERROR(MATCH(Y52,'Answer Outcomes'!$A$6:$A$350,0),0))</f>
        <v>0</v>
      </c>
      <c r="AG52" s="52">
        <f>IF(N52&lt;'Risk Method'!$B$8,0,IF(COUNTIFS($X$6:$X$74,X52,$Z$6:$Z$74,"&gt;"&amp;Z52)=0,Z52,0))</f>
        <v>0</v>
      </c>
      <c r="AH52" s="52" t="str">
        <f>IF(AG52=0,"",RANK(AG52,$AG$6:$AG$74,0))</f>
        <v/>
      </c>
      <c r="AI52" s="52">
        <f>IF(LEN(AB52)&gt;0,1,0)</f>
        <v>0</v>
      </c>
    </row>
    <row r="53" ht="44" customHeight="1">
      <c r="A53" s="38" t="inlineStr">
        <is>
          <t>B04</t>
        </is>
      </c>
      <c r="B53" s="38" t="inlineStr">
        <is>
          <t>CON</t>
        </is>
      </c>
      <c r="C53" s="54">
        <f>'Score Sandbox'!F73</f>
        <v>0</v>
      </c>
      <c r="D53" s="54">
        <f>IF(COUNTBLANK('Score Sandbox'!G73)&gt;0,"",'Score Sandbox'!G73)</f>
        <v>3</v>
      </c>
      <c r="E53" s="54" t="str">
        <f>IF(OR(C53&lt;&gt;1,AF53=0),"",INDEX('Answer Outcomes'!$J$6:$J$350,$AF53))</f>
        <v/>
      </c>
      <c r="F53" s="54" t="str">
        <f>IF(OR(C53&lt;&gt;1,AF53=0),"",INDEX('Answer Outcomes'!$K$6:$K$350,$AF53))</f>
        <v/>
      </c>
      <c r="G53" s="53" t="inlineStr">
        <is>
          <t>NONE</t>
        </is>
      </c>
      <c r="H53" s="53" t="inlineStr"/>
      <c r="I53" s="53" t="inlineStr"/>
      <c r="J53" s="53" t="inlineStr"/>
      <c r="K53" s="53" t="inlineStr">
        <is>
          <t>Self-report only</t>
        </is>
      </c>
      <c r="L53" s="54">
        <f>IF(OR(C53&lt;&gt;1,AF53=0),0,IF(G53="LIVE_HARM",'Risk Method'!$B$10,IF(G53="LIVE_ISSUE",MAX(E53,'Risk Method'!$B$9),IF(AND(OR(G53="SYSTEMIC",G53="MATTER_UNCLEAR"),D53&amp;""="3"),0,IF(G53="SYSTEMIC",IF(E53=0,0,MIN('Risk Method'!$B$9,E53+1)),E53)))))</f>
        <v>0</v>
      </c>
      <c r="M53" s="54" t="str">
        <f>IF(C53&lt;&gt;1,"Not assessed",IF(AF53=0,"Incomplete",VLOOKUP(L53,'Risk Method'!$F$6:$H$10,2,FALSE)))</f>
        <v>Not assessed</v>
      </c>
      <c r="N53" s="54">
        <f>IF(OR(C53&lt;&gt;1,AF53=0),0,IF(G53="LIVE_HARM",'Risk Method'!$B$10,IF(G53="NONE",F53,IF(G53="SYSTEMIC",MIN('Risk Method'!$B$9,MAX(F53+1,IF(D53&amp;""="3",'Risk Method'!$B$9,0))),MAX(F53,'Risk Method'!$B$9)))))</f>
        <v>0</v>
      </c>
      <c r="O53" s="54" t="str">
        <f>IF(N53=0,"Not assessed",VLOOKUP(N53,'Risk Method'!$F$6:$H$10,3,FALSE))</f>
        <v>Not assessed</v>
      </c>
      <c r="P53" s="54" t="str">
        <f>IF(OR(C53&lt;&gt;1,AF53=0),"",INDEX('Answer Outcomes'!$E$6:$E$350,$AF53))</f>
        <v/>
      </c>
      <c r="Q53" s="54" t="str">
        <f>IF(OR(C53&lt;&gt;1,AF53=0),"",INDEX('Answer Outcomes'!$G$6:$G$350,$AF53))</f>
        <v/>
      </c>
      <c r="R53" s="54" t="str">
        <f>IF(OR(C53&lt;&gt;1,AF53=0),"",IF(G53="LIVE_HARM","Protect people and contain the reported exposure now. Seek appropriate urgent assistance and arrange a competent review. Do not wait for this assessment or a sales appointment.",IF(OR(G53="LIVE_ISSUE",AND(G53="SYSTEMIC",D53&amp;""="3")),"Review the reported current matter and reconcile it with the maturity answer before relying on the result. Preserve relevant evidence, allocate an impartial owner and assess immediate safeguards. Context: "&amp;H53,IF(G53="DEADLINE","Confirm the actual deadline and complete the necessary checks before the affected event. "&amp;INDEX('Answer Outcomes'!$M$6:$M$350,$AF53),IF(G53="MATTER_UNCLEAR","Confirm promptly whether the time-sensitive matter exists and who owns the response. Do not treat uncertainty as proof of an incident. "&amp;INDEX('Answer Outcomes'!$M$6:$M$350,$AF53),INDEX('Answer Outcomes'!$M$6:$M$350,$AF53))))))</f>
        <v/>
      </c>
      <c r="S53" s="54" t="str">
        <f>IF(OR(C53&lt;&gt;1,AF53=0),"","1. "&amp;INDEX('Answer Outcomes'!$N$6:$N$350,$AF53)&amp;CHAR(10)&amp;"2. "&amp;INDEX('Answer Outcomes'!$O$6:$O$350,$AF53))</f>
        <v/>
      </c>
      <c r="T53" s="54" t="str">
        <f>IF(OR(C53&lt;&gt;1,AF53=0),"",IF(G53="NONE",INDEX('Answer Outcomes'!$L$6:$L$350,$AF53),"Context "&amp;G53&amp;": "&amp;H53&amp;". Scope: "&amp;I53&amp;". "&amp;IF(G53="DEADLINE","The deadline raises action urgency; it does not establish a breach or automatically raise the risk rating.",IF(D53&amp;""="3","The current context takes precedence over a reassuring maturity answer.","The rating remains provisional; the matter has not been independently verified."))))</f>
        <v/>
      </c>
      <c r="U53" s="54" t="str">
        <f>IF(OR(C53&lt;&gt;1,AF53=0),"",INDEX('Answer Outcomes'!$Q$6:$Q$350,$AF53))</f>
        <v/>
      </c>
      <c r="V53" s="54" t="str">
        <f>IF(OR(C53&lt;&gt;1,AF53=0),"",INDEX('Answer Outcomes'!$T$6:$T$350,$AF53))</f>
        <v/>
      </c>
      <c r="W53" s="54" t="str">
        <f>IF(N53=0,"",IF(N53='Risk Method'!$B$10,"Act now. Immediate protective action and appropriate urgent advice take precedence.",IF(N53='Risk Method'!$B$9,"Review or verify within "&amp;'Risk Method'!$B$11&amp;" business days, or before an earlier duty/event. Do not wait where harm or law requires immediate action.",IF(N53='Risk Method'!$B$8,"Agree and start a plan within "&amp;'Risk Method'!$B$12&amp;" days, or before an earlier affected event.","Maintain at the stated trigger; plan any discretionary improvement within "&amp;'Risk Method'!$B$13&amp;" days.")))&amp;IF(J53="",""," Next event: "&amp;J53))</f>
        <v/>
      </c>
      <c r="X53" s="54" t="str">
        <f>IF(OR(C53&lt;&gt;1,AF53=0),"",INDEX('Answer Outcomes'!$V$6:$V$350,$AF53))</f>
        <v/>
      </c>
      <c r="Y53" s="54" t="str">
        <f>IF(C53&lt;&gt;1,"",A53&amp;"_"&amp;D53)</f>
        <v/>
      </c>
      <c r="Z53" s="54">
        <f>IF(N53=0,0,N53*100000+L53*1000+INDEX('Answer Outcomes'!$I$6:$I$350,$AF53)*100+IF(G53="DEADLINE",50,0)+(75-ROW())/100)</f>
        <v>0</v>
      </c>
      <c r="AA53" s="54" t="str">
        <f>IF(Z53=0,"",RANK(Z53,$Z$6:$Z$74,0))</f>
        <v/>
      </c>
      <c r="AB53" s="54" t="str">
        <f>IF(AND(C53&lt;&gt;0,C53&lt;&gt;1),"Invalid eligibility",IF(AND(C53=0,G53&lt;&gt;"NONE"),"Context conflicts with exclusion",IF(C53=0,"",IF(AF53=0,"Missing or invalid answer",IF(AND(G53&lt;&gt;"NONE",G53&lt;&gt;"LIVE_HARM",G53&lt;&gt;"LIVE_ISSUE",G53&lt;&gt;"DEADLINE",G53&lt;&gt;"SYSTEMIC",G53&lt;&gt;"MATTER_UNCLEAR"),"Invalid context code",IF(AND(G53&lt;&gt;"NONE",OR(H53="",I53="")),"Override needs reason and scope",""))))))</f>
        <v/>
      </c>
      <c r="AC53" s="54" t="str">
        <f>IF(OR(C53&lt;&gt;1,AF53=0),"",INDEX('Answer Outcomes'!$S$6:$S$350,$AF53))</f>
        <v/>
      </c>
      <c r="AD53" s="54" t="str">
        <f>IF(OR(C53&lt;&gt;1,AF53=0),"",INDEX('Answer Outcomes'!$Y$6:$Y$350,$AF53))</f>
        <v/>
      </c>
      <c r="AE53" s="38" t="inlineStr">
        <is>
          <t>CON02</t>
        </is>
      </c>
      <c r="AF53" s="54">
        <f>IF(C53&lt;&gt;1,0,IFERROR(MATCH(Y53,'Answer Outcomes'!$A$6:$A$350,0),0))</f>
        <v>0</v>
      </c>
      <c r="AG53" s="54">
        <f>IF(N53&lt;'Risk Method'!$B$8,0,IF(COUNTIFS($X$6:$X$74,X53,$Z$6:$Z$74,"&gt;"&amp;Z53)=0,Z53,0))</f>
        <v>0</v>
      </c>
      <c r="AH53" s="54" t="str">
        <f>IF(AG53=0,"",RANK(AG53,$AG$6:$AG$74,0))</f>
        <v/>
      </c>
      <c r="AI53" s="54">
        <f>IF(LEN(AB53)&gt;0,1,0)</f>
        <v>0</v>
      </c>
    </row>
    <row r="54" ht="44" customHeight="1">
      <c r="A54" s="37" t="inlineStr">
        <is>
          <t>B05</t>
        </is>
      </c>
      <c r="B54" s="37" t="inlineStr">
        <is>
          <t>CON</t>
        </is>
      </c>
      <c r="C54" s="52">
        <f>'Score Sandbox'!F74</f>
        <v>0</v>
      </c>
      <c r="D54" s="52">
        <f>IF(COUNTBLANK('Score Sandbox'!G74)&gt;0,"",'Score Sandbox'!G74)</f>
        <v>3</v>
      </c>
      <c r="E54" s="52" t="str">
        <f>IF(OR(C54&lt;&gt;1,AF54=0),"",INDEX('Answer Outcomes'!$J$6:$J$350,$AF54))</f>
        <v/>
      </c>
      <c r="F54" s="52" t="str">
        <f>IF(OR(C54&lt;&gt;1,AF54=0),"",INDEX('Answer Outcomes'!$K$6:$K$350,$AF54))</f>
        <v/>
      </c>
      <c r="G54" s="53" t="inlineStr">
        <is>
          <t>NONE</t>
        </is>
      </c>
      <c r="H54" s="53" t="inlineStr"/>
      <c r="I54" s="53" t="inlineStr"/>
      <c r="J54" s="53" t="inlineStr"/>
      <c r="K54" s="53" t="inlineStr">
        <is>
          <t>Self-report only</t>
        </is>
      </c>
      <c r="L54" s="52">
        <f>IF(OR(C54&lt;&gt;1,AF54=0),0,IF(G54="LIVE_HARM",'Risk Method'!$B$10,IF(G54="LIVE_ISSUE",MAX(E54,'Risk Method'!$B$9),IF(AND(OR(G54="SYSTEMIC",G54="MATTER_UNCLEAR"),D54&amp;""="3"),0,IF(G54="SYSTEMIC",IF(E54=0,0,MIN('Risk Method'!$B$9,E54+1)),E54)))))</f>
        <v>0</v>
      </c>
      <c r="M54" s="52" t="str">
        <f>IF(C54&lt;&gt;1,"Not assessed",IF(AF54=0,"Incomplete",VLOOKUP(L54,'Risk Method'!$F$6:$H$10,2,FALSE)))</f>
        <v>Not assessed</v>
      </c>
      <c r="N54" s="52">
        <f>IF(OR(C54&lt;&gt;1,AF54=0),0,IF(G54="LIVE_HARM",'Risk Method'!$B$10,IF(G54="NONE",F54,IF(G54="SYSTEMIC",MIN('Risk Method'!$B$9,MAX(F54+1,IF(D54&amp;""="3",'Risk Method'!$B$9,0))),MAX(F54,'Risk Method'!$B$9)))))</f>
        <v>0</v>
      </c>
      <c r="O54" s="52" t="str">
        <f>IF(N54=0,"Not assessed",VLOOKUP(N54,'Risk Method'!$F$6:$H$10,3,FALSE))</f>
        <v>Not assessed</v>
      </c>
      <c r="P54" s="52" t="str">
        <f>IF(OR(C54&lt;&gt;1,AF54=0),"",INDEX('Answer Outcomes'!$E$6:$E$350,$AF54))</f>
        <v/>
      </c>
      <c r="Q54" s="52" t="str">
        <f>IF(OR(C54&lt;&gt;1,AF54=0),"",INDEX('Answer Outcomes'!$G$6:$G$350,$AF54))</f>
        <v/>
      </c>
      <c r="R54" s="52" t="str">
        <f>IF(OR(C54&lt;&gt;1,AF54=0),"",IF(G54="LIVE_HARM","Protect people and contain the reported exposure now. Seek appropriate urgent assistance and arrange a competent review. Do not wait for this assessment or a sales appointment.",IF(OR(G54="LIVE_ISSUE",AND(G54="SYSTEMIC",D54&amp;""="3")),"Review the reported current matter and reconcile it with the maturity answer before relying on the result. Preserve relevant evidence, allocate an impartial owner and assess immediate safeguards. Context: "&amp;H54,IF(G54="DEADLINE","Confirm the actual deadline and complete the necessary checks before the affected event. "&amp;INDEX('Answer Outcomes'!$M$6:$M$350,$AF54),IF(G54="MATTER_UNCLEAR","Confirm promptly whether the time-sensitive matter exists and who owns the response. Do not treat uncertainty as proof of an incident. "&amp;INDEX('Answer Outcomes'!$M$6:$M$350,$AF54),INDEX('Answer Outcomes'!$M$6:$M$350,$AF54))))))</f>
        <v/>
      </c>
      <c r="S54" s="52" t="str">
        <f>IF(OR(C54&lt;&gt;1,AF54=0),"","1. "&amp;INDEX('Answer Outcomes'!$N$6:$N$350,$AF54)&amp;CHAR(10)&amp;"2. "&amp;INDEX('Answer Outcomes'!$O$6:$O$350,$AF54))</f>
        <v/>
      </c>
      <c r="T54" s="52" t="str">
        <f>IF(OR(C54&lt;&gt;1,AF54=0),"",IF(G54="NONE",INDEX('Answer Outcomes'!$L$6:$L$350,$AF54),"Context "&amp;G54&amp;": "&amp;H54&amp;". Scope: "&amp;I54&amp;". "&amp;IF(G54="DEADLINE","The deadline raises action urgency; it does not establish a breach or automatically raise the risk rating.",IF(D54&amp;""="3","The current context takes precedence over a reassuring maturity answer.","The rating remains provisional; the matter has not been independently verified."))))</f>
        <v/>
      </c>
      <c r="U54" s="52" t="str">
        <f>IF(OR(C54&lt;&gt;1,AF54=0),"",INDEX('Answer Outcomes'!$Q$6:$Q$350,$AF54))</f>
        <v/>
      </c>
      <c r="V54" s="52" t="str">
        <f>IF(OR(C54&lt;&gt;1,AF54=0),"",INDEX('Answer Outcomes'!$T$6:$T$350,$AF54))</f>
        <v/>
      </c>
      <c r="W54" s="52" t="str">
        <f>IF(N54=0,"",IF(N54='Risk Method'!$B$10,"Act now. Immediate protective action and appropriate urgent advice take precedence.",IF(N54='Risk Method'!$B$9,"Review or verify within "&amp;'Risk Method'!$B$11&amp;" business days, or before an earlier duty/event. Do not wait where harm or law requires immediate action.",IF(N54='Risk Method'!$B$8,"Agree and start a plan within "&amp;'Risk Method'!$B$12&amp;" days, or before an earlier affected event.","Maintain at the stated trigger; plan any discretionary improvement within "&amp;'Risk Method'!$B$13&amp;" days.")))&amp;IF(J54="",""," Next event: "&amp;J54))</f>
        <v/>
      </c>
      <c r="X54" s="52" t="str">
        <f>IF(OR(C54&lt;&gt;1,AF54=0),"",INDEX('Answer Outcomes'!$V$6:$V$350,$AF54))</f>
        <v/>
      </c>
      <c r="Y54" s="52" t="str">
        <f>IF(C54&lt;&gt;1,"",A54&amp;"_"&amp;D54)</f>
        <v/>
      </c>
      <c r="Z54" s="52">
        <f>IF(N54=0,0,N54*100000+L54*1000+INDEX('Answer Outcomes'!$I$6:$I$350,$AF54)*100+IF(G54="DEADLINE",50,0)+(75-ROW())/100)</f>
        <v>0</v>
      </c>
      <c r="AA54" s="52" t="str">
        <f>IF(Z54=0,"",RANK(Z54,$Z$6:$Z$74,0))</f>
        <v/>
      </c>
      <c r="AB54" s="52" t="str">
        <f>IF(AND(C54&lt;&gt;0,C54&lt;&gt;1),"Invalid eligibility",IF(AND(C54=0,G54&lt;&gt;"NONE"),"Context conflicts with exclusion",IF(C54=0,"",IF(AF54=0,"Missing or invalid answer",IF(AND(G54&lt;&gt;"NONE",G54&lt;&gt;"LIVE_HARM",G54&lt;&gt;"LIVE_ISSUE",G54&lt;&gt;"DEADLINE",G54&lt;&gt;"SYSTEMIC",G54&lt;&gt;"MATTER_UNCLEAR"),"Invalid context code",IF(AND(G54&lt;&gt;"NONE",OR(H54="",I54="")),"Override needs reason and scope",""))))))</f>
        <v/>
      </c>
      <c r="AC54" s="52" t="str">
        <f>IF(OR(C54&lt;&gt;1,AF54=0),"",INDEX('Answer Outcomes'!$S$6:$S$350,$AF54))</f>
        <v/>
      </c>
      <c r="AD54" s="52" t="str">
        <f>IF(OR(C54&lt;&gt;1,AF54=0),"",INDEX('Answer Outcomes'!$Y$6:$Y$350,$AF54))</f>
        <v/>
      </c>
      <c r="AE54" s="37" t="inlineStr">
        <is>
          <t>CON02</t>
        </is>
      </c>
      <c r="AF54" s="52">
        <f>IF(C54&lt;&gt;1,0,IFERROR(MATCH(Y54,'Answer Outcomes'!$A$6:$A$350,0),0))</f>
        <v>0</v>
      </c>
      <c r="AG54" s="52">
        <f>IF(N54&lt;'Risk Method'!$B$8,0,IF(COUNTIFS($X$6:$X$74,X54,$Z$6:$Z$74,"&gt;"&amp;Z54)=0,Z54,0))</f>
        <v>0</v>
      </c>
      <c r="AH54" s="52" t="str">
        <f>IF(AG54=0,"",RANK(AG54,$AG$6:$AG$74,0))</f>
        <v/>
      </c>
      <c r="AI54" s="52">
        <f>IF(LEN(AB54)&gt;0,1,0)</f>
        <v>0</v>
      </c>
    </row>
    <row r="55" ht="44" customHeight="1">
      <c r="A55" s="38" t="inlineStr">
        <is>
          <t>B06</t>
        </is>
      </c>
      <c r="B55" s="38" t="inlineStr">
        <is>
          <t>PAY</t>
        </is>
      </c>
      <c r="C55" s="54">
        <f>'Score Sandbox'!F75</f>
        <v>0</v>
      </c>
      <c r="D55" s="54">
        <f>IF(COUNTBLANK('Score Sandbox'!G75)&gt;0,"",'Score Sandbox'!G75)</f>
        <v>3</v>
      </c>
      <c r="E55" s="54" t="str">
        <f>IF(OR(C55&lt;&gt;1,AF55=0),"",INDEX('Answer Outcomes'!$J$6:$J$350,$AF55))</f>
        <v/>
      </c>
      <c r="F55" s="54" t="str">
        <f>IF(OR(C55&lt;&gt;1,AF55=0),"",INDEX('Answer Outcomes'!$K$6:$K$350,$AF55))</f>
        <v/>
      </c>
      <c r="G55" s="53" t="inlineStr">
        <is>
          <t>NONE</t>
        </is>
      </c>
      <c r="H55" s="53" t="inlineStr"/>
      <c r="I55" s="53" t="inlineStr"/>
      <c r="J55" s="53" t="inlineStr"/>
      <c r="K55" s="53" t="inlineStr">
        <is>
          <t>Self-report only</t>
        </is>
      </c>
      <c r="L55" s="54">
        <f>IF(OR(C55&lt;&gt;1,AF55=0),0,IF(G55="LIVE_HARM",'Risk Method'!$B$10,IF(G55="LIVE_ISSUE",MAX(E55,'Risk Method'!$B$9),IF(AND(OR(G55="SYSTEMIC",G55="MATTER_UNCLEAR"),D55&amp;""="3"),0,IF(G55="SYSTEMIC",IF(E55=0,0,MIN('Risk Method'!$B$9,E55+1)),E55)))))</f>
        <v>0</v>
      </c>
      <c r="M55" s="54" t="str">
        <f>IF(C55&lt;&gt;1,"Not assessed",IF(AF55=0,"Incomplete",VLOOKUP(L55,'Risk Method'!$F$6:$H$10,2,FALSE)))</f>
        <v>Not assessed</v>
      </c>
      <c r="N55" s="54">
        <f>IF(OR(C55&lt;&gt;1,AF55=0),0,IF(G55="LIVE_HARM",'Risk Method'!$B$10,IF(G55="NONE",F55,IF(G55="SYSTEMIC",MIN('Risk Method'!$B$9,MAX(F55+1,IF(D55&amp;""="3",'Risk Method'!$B$9,0))),MAX(F55,'Risk Method'!$B$9)))))</f>
        <v>0</v>
      </c>
      <c r="O55" s="54" t="str">
        <f>IF(N55=0,"Not assessed",VLOOKUP(N55,'Risk Method'!$F$6:$H$10,3,FALSE))</f>
        <v>Not assessed</v>
      </c>
      <c r="P55" s="54" t="str">
        <f>IF(OR(C55&lt;&gt;1,AF55=0),"",INDEX('Answer Outcomes'!$E$6:$E$350,$AF55))</f>
        <v/>
      </c>
      <c r="Q55" s="54" t="str">
        <f>IF(OR(C55&lt;&gt;1,AF55=0),"",INDEX('Answer Outcomes'!$G$6:$G$350,$AF55))</f>
        <v/>
      </c>
      <c r="R55" s="54" t="str">
        <f>IF(OR(C55&lt;&gt;1,AF55=0),"",IF(G55="LIVE_HARM","Protect people and contain the reported exposure now. Seek appropriate urgent assistance and arrange a competent review. Do not wait for this assessment or a sales appointment.",IF(OR(G55="LIVE_ISSUE",AND(G55="SYSTEMIC",D55&amp;""="3")),"Review the reported current matter and reconcile it with the maturity answer before relying on the result. Preserve relevant evidence, allocate an impartial owner and assess immediate safeguards. Context: "&amp;H55,IF(G55="DEADLINE","Confirm the actual deadline and complete the necessary checks before the affected event. "&amp;INDEX('Answer Outcomes'!$M$6:$M$350,$AF55),IF(G55="MATTER_UNCLEAR","Confirm promptly whether the time-sensitive matter exists and who owns the response. Do not treat uncertainty as proof of an incident. "&amp;INDEX('Answer Outcomes'!$M$6:$M$350,$AF55),INDEX('Answer Outcomes'!$M$6:$M$350,$AF55))))))</f>
        <v/>
      </c>
      <c r="S55" s="54" t="str">
        <f>IF(OR(C55&lt;&gt;1,AF55=0),"","1. "&amp;INDEX('Answer Outcomes'!$N$6:$N$350,$AF55)&amp;CHAR(10)&amp;"2. "&amp;INDEX('Answer Outcomes'!$O$6:$O$350,$AF55))</f>
        <v/>
      </c>
      <c r="T55" s="54" t="str">
        <f>IF(OR(C55&lt;&gt;1,AF55=0),"",IF(G55="NONE",INDEX('Answer Outcomes'!$L$6:$L$350,$AF55),"Context "&amp;G55&amp;": "&amp;H55&amp;". Scope: "&amp;I55&amp;". "&amp;IF(G55="DEADLINE","The deadline raises action urgency; it does not establish a breach or automatically raise the risk rating.",IF(D55&amp;""="3","The current context takes precedence over a reassuring maturity answer.","The rating remains provisional; the matter has not been independently verified."))))</f>
        <v/>
      </c>
      <c r="U55" s="54" t="str">
        <f>IF(OR(C55&lt;&gt;1,AF55=0),"",INDEX('Answer Outcomes'!$Q$6:$Q$350,$AF55))</f>
        <v/>
      </c>
      <c r="V55" s="54" t="str">
        <f>IF(OR(C55&lt;&gt;1,AF55=0),"",INDEX('Answer Outcomes'!$T$6:$T$350,$AF55))</f>
        <v/>
      </c>
      <c r="W55" s="54" t="str">
        <f>IF(N55=0,"",IF(N55='Risk Method'!$B$10,"Act now. Immediate protective action and appropriate urgent advice take precedence.",IF(N55='Risk Method'!$B$9,"Review or verify within "&amp;'Risk Method'!$B$11&amp;" business days, or before an earlier duty/event. Do not wait where harm or law requires immediate action.",IF(N55='Risk Method'!$B$8,"Agree and start a plan within "&amp;'Risk Method'!$B$12&amp;" days, or before an earlier affected event.","Maintain at the stated trigger; plan any discretionary improvement within "&amp;'Risk Method'!$B$13&amp;" days.")))&amp;IF(J55="",""," Next event: "&amp;J55))</f>
        <v/>
      </c>
      <c r="X55" s="54" t="str">
        <f>IF(OR(C55&lt;&gt;1,AF55=0),"",INDEX('Answer Outcomes'!$V$6:$V$350,$AF55))</f>
        <v/>
      </c>
      <c r="Y55" s="54" t="str">
        <f>IF(C55&lt;&gt;1,"",A55&amp;"_"&amp;D55)</f>
        <v/>
      </c>
      <c r="Z55" s="54">
        <f>IF(N55=0,0,N55*100000+L55*1000+INDEX('Answer Outcomes'!$I$6:$I$350,$AF55)*100+IF(G55="DEADLINE",50,0)+(75-ROW())/100)</f>
        <v>0</v>
      </c>
      <c r="AA55" s="54" t="str">
        <f>IF(Z55=0,"",RANK(Z55,$Z$6:$Z$74,0))</f>
        <v/>
      </c>
      <c r="AB55" s="54" t="str">
        <f>IF(AND(C55&lt;&gt;0,C55&lt;&gt;1),"Invalid eligibility",IF(AND(C55=0,G55&lt;&gt;"NONE"),"Context conflicts with exclusion",IF(C55=0,"",IF(AF55=0,"Missing or invalid answer",IF(AND(G55&lt;&gt;"NONE",G55&lt;&gt;"LIVE_HARM",G55&lt;&gt;"LIVE_ISSUE",G55&lt;&gt;"DEADLINE",G55&lt;&gt;"SYSTEMIC",G55&lt;&gt;"MATTER_UNCLEAR"),"Invalid context code",IF(AND(G55&lt;&gt;"NONE",OR(H55="",I55="")),"Override needs reason and scope",""))))))</f>
        <v/>
      </c>
      <c r="AC55" s="54" t="str">
        <f>IF(OR(C55&lt;&gt;1,AF55=0),"",INDEX('Answer Outcomes'!$S$6:$S$350,$AF55))</f>
        <v/>
      </c>
      <c r="AD55" s="54" t="str">
        <f>IF(OR(C55&lt;&gt;1,AF55=0),"",INDEX('Answer Outcomes'!$Y$6:$Y$350,$AF55))</f>
        <v/>
      </c>
      <c r="AE55" s="38" t="inlineStr">
        <is>
          <t>PAY01;DAT01</t>
        </is>
      </c>
      <c r="AF55" s="54">
        <f>IF(C55&lt;&gt;1,0,IFERROR(MATCH(Y55,'Answer Outcomes'!$A$6:$A$350,0),0))</f>
        <v>0</v>
      </c>
      <c r="AG55" s="54">
        <f>IF(N55&lt;'Risk Method'!$B$8,0,IF(COUNTIFS($X$6:$X$74,X55,$Z$6:$Z$74,"&gt;"&amp;Z55)=0,Z55,0))</f>
        <v>0</v>
      </c>
      <c r="AH55" s="54" t="str">
        <f>IF(AG55=0,"",RANK(AG55,$AG$6:$AG$74,0))</f>
        <v/>
      </c>
      <c r="AI55" s="54">
        <f>IF(LEN(AB55)&gt;0,1,0)</f>
        <v>0</v>
      </c>
    </row>
    <row r="56" ht="44" customHeight="1">
      <c r="A56" s="37" t="inlineStr">
        <is>
          <t>B07</t>
        </is>
      </c>
      <c r="B56" s="37" t="inlineStr">
        <is>
          <t>PAY</t>
        </is>
      </c>
      <c r="C56" s="52">
        <f>'Score Sandbox'!F76</f>
        <v>0</v>
      </c>
      <c r="D56" s="52">
        <f>IF(COUNTBLANK('Score Sandbox'!G76)&gt;0,"",'Score Sandbox'!G76)</f>
        <v>3</v>
      </c>
      <c r="E56" s="52" t="str">
        <f>IF(OR(C56&lt;&gt;1,AF56=0),"",INDEX('Answer Outcomes'!$J$6:$J$350,$AF56))</f>
        <v/>
      </c>
      <c r="F56" s="52" t="str">
        <f>IF(OR(C56&lt;&gt;1,AF56=0),"",INDEX('Answer Outcomes'!$K$6:$K$350,$AF56))</f>
        <v/>
      </c>
      <c r="G56" s="53" t="inlineStr">
        <is>
          <t>NONE</t>
        </is>
      </c>
      <c r="H56" s="53" t="inlineStr"/>
      <c r="I56" s="53" t="inlineStr"/>
      <c r="J56" s="53" t="inlineStr"/>
      <c r="K56" s="53" t="inlineStr">
        <is>
          <t>Self-report only</t>
        </is>
      </c>
      <c r="L56" s="52">
        <f>IF(OR(C56&lt;&gt;1,AF56=0),0,IF(G56="LIVE_HARM",'Risk Method'!$B$10,IF(G56="LIVE_ISSUE",MAX(E56,'Risk Method'!$B$9),IF(AND(OR(G56="SYSTEMIC",G56="MATTER_UNCLEAR"),D56&amp;""="3"),0,IF(G56="SYSTEMIC",IF(E56=0,0,MIN('Risk Method'!$B$9,E56+1)),E56)))))</f>
        <v>0</v>
      </c>
      <c r="M56" s="52" t="str">
        <f>IF(C56&lt;&gt;1,"Not assessed",IF(AF56=0,"Incomplete",VLOOKUP(L56,'Risk Method'!$F$6:$H$10,2,FALSE)))</f>
        <v>Not assessed</v>
      </c>
      <c r="N56" s="52">
        <f>IF(OR(C56&lt;&gt;1,AF56=0),0,IF(G56="LIVE_HARM",'Risk Method'!$B$10,IF(G56="NONE",F56,IF(G56="SYSTEMIC",MIN('Risk Method'!$B$9,MAX(F56+1,IF(D56&amp;""="3",'Risk Method'!$B$9,0))),MAX(F56,'Risk Method'!$B$9)))))</f>
        <v>0</v>
      </c>
      <c r="O56" s="52" t="str">
        <f>IF(N56=0,"Not assessed",VLOOKUP(N56,'Risk Method'!$F$6:$H$10,3,FALSE))</f>
        <v>Not assessed</v>
      </c>
      <c r="P56" s="52" t="str">
        <f>IF(OR(C56&lt;&gt;1,AF56=0),"",INDEX('Answer Outcomes'!$E$6:$E$350,$AF56))</f>
        <v/>
      </c>
      <c r="Q56" s="52" t="str">
        <f>IF(OR(C56&lt;&gt;1,AF56=0),"",INDEX('Answer Outcomes'!$G$6:$G$350,$AF56))</f>
        <v/>
      </c>
      <c r="R56" s="52" t="str">
        <f>IF(OR(C56&lt;&gt;1,AF56=0),"",IF(G56="LIVE_HARM","Protect people and contain the reported exposure now. Seek appropriate urgent assistance and arrange a competent review. Do not wait for this assessment or a sales appointment.",IF(OR(G56="LIVE_ISSUE",AND(G56="SYSTEMIC",D56&amp;""="3")),"Review the reported current matter and reconcile it with the maturity answer before relying on the result. Preserve relevant evidence, allocate an impartial owner and assess immediate safeguards. Context: "&amp;H56,IF(G56="DEADLINE","Confirm the actual deadline and complete the necessary checks before the affected event. "&amp;INDEX('Answer Outcomes'!$M$6:$M$350,$AF56),IF(G56="MATTER_UNCLEAR","Confirm promptly whether the time-sensitive matter exists and who owns the response. Do not treat uncertainty as proof of an incident. "&amp;INDEX('Answer Outcomes'!$M$6:$M$350,$AF56),INDEX('Answer Outcomes'!$M$6:$M$350,$AF56))))))</f>
        <v/>
      </c>
      <c r="S56" s="52" t="str">
        <f>IF(OR(C56&lt;&gt;1,AF56=0),"","1. "&amp;INDEX('Answer Outcomes'!$N$6:$N$350,$AF56)&amp;CHAR(10)&amp;"2. "&amp;INDEX('Answer Outcomes'!$O$6:$O$350,$AF56))</f>
        <v/>
      </c>
      <c r="T56" s="52" t="str">
        <f>IF(OR(C56&lt;&gt;1,AF56=0),"",IF(G56="NONE",INDEX('Answer Outcomes'!$L$6:$L$350,$AF56),"Context "&amp;G56&amp;": "&amp;H56&amp;". Scope: "&amp;I56&amp;". "&amp;IF(G56="DEADLINE","The deadline raises action urgency; it does not establish a breach or automatically raise the risk rating.",IF(D56&amp;""="3","The current context takes precedence over a reassuring maturity answer.","The rating remains provisional; the matter has not been independently verified."))))</f>
        <v/>
      </c>
      <c r="U56" s="52" t="str">
        <f>IF(OR(C56&lt;&gt;1,AF56=0),"",INDEX('Answer Outcomes'!$Q$6:$Q$350,$AF56))</f>
        <v/>
      </c>
      <c r="V56" s="52" t="str">
        <f>IF(OR(C56&lt;&gt;1,AF56=0),"",INDEX('Answer Outcomes'!$T$6:$T$350,$AF56))</f>
        <v/>
      </c>
      <c r="W56" s="52" t="str">
        <f>IF(N56=0,"",IF(N56='Risk Method'!$B$10,"Act now. Immediate protective action and appropriate urgent advice take precedence.",IF(N56='Risk Method'!$B$9,"Review or verify within "&amp;'Risk Method'!$B$11&amp;" business days, or before an earlier duty/event. Do not wait where harm or law requires immediate action.",IF(N56='Risk Method'!$B$8,"Agree and start a plan within "&amp;'Risk Method'!$B$12&amp;" days, or before an earlier affected event.","Maintain at the stated trigger; plan any discretionary improvement within "&amp;'Risk Method'!$B$13&amp;" days.")))&amp;IF(J56="",""," Next event: "&amp;J56))</f>
        <v/>
      </c>
      <c r="X56" s="52" t="str">
        <f>IF(OR(C56&lt;&gt;1,AF56=0),"",INDEX('Answer Outcomes'!$V$6:$V$350,$AF56))</f>
        <v/>
      </c>
      <c r="Y56" s="52" t="str">
        <f>IF(C56&lt;&gt;1,"",A56&amp;"_"&amp;D56)</f>
        <v/>
      </c>
      <c r="Z56" s="52">
        <f>IF(N56=0,0,N56*100000+L56*1000+INDEX('Answer Outcomes'!$I$6:$I$350,$AF56)*100+IF(G56="DEADLINE",50,0)+(75-ROW())/100)</f>
        <v>0</v>
      </c>
      <c r="AA56" s="52" t="str">
        <f>IF(Z56=0,"",RANK(Z56,$Z$6:$Z$74,0))</f>
        <v/>
      </c>
      <c r="AB56" s="52" t="str">
        <f>IF(AND(C56&lt;&gt;0,C56&lt;&gt;1),"Invalid eligibility",IF(AND(C56=0,G56&lt;&gt;"NONE"),"Context conflicts with exclusion",IF(C56=0,"",IF(AF56=0,"Missing or invalid answer",IF(AND(G56&lt;&gt;"NONE",G56&lt;&gt;"LIVE_HARM",G56&lt;&gt;"LIVE_ISSUE",G56&lt;&gt;"DEADLINE",G56&lt;&gt;"SYSTEMIC",G56&lt;&gt;"MATTER_UNCLEAR"),"Invalid context code",IF(AND(G56&lt;&gt;"NONE",OR(H56="",I56="")),"Override needs reason and scope",""))))))</f>
        <v/>
      </c>
      <c r="AC56" s="52" t="str">
        <f>IF(OR(C56&lt;&gt;1,AF56=0),"",INDEX('Answer Outcomes'!$S$6:$S$350,$AF56))</f>
        <v/>
      </c>
      <c r="AD56" s="52" t="str">
        <f>IF(OR(C56&lt;&gt;1,AF56=0),"",INDEX('Answer Outcomes'!$Y$6:$Y$350,$AF56))</f>
        <v/>
      </c>
      <c r="AE56" s="37" t="inlineStr">
        <is>
          <t>PAY01</t>
        </is>
      </c>
      <c r="AF56" s="52">
        <f>IF(C56&lt;&gt;1,0,IFERROR(MATCH(Y56,'Answer Outcomes'!$A$6:$A$350,0),0))</f>
        <v>0</v>
      </c>
      <c r="AG56" s="52">
        <f>IF(N56&lt;'Risk Method'!$B$8,0,IF(COUNTIFS($X$6:$X$74,X56,$Z$6:$Z$74,"&gt;"&amp;Z56)=0,Z56,0))</f>
        <v>0</v>
      </c>
      <c r="AH56" s="52" t="str">
        <f>IF(AG56=0,"",RANK(AG56,$AG$6:$AG$74,0))</f>
        <v/>
      </c>
      <c r="AI56" s="52">
        <f>IF(LEN(AB56)&gt;0,1,0)</f>
        <v>0</v>
      </c>
    </row>
    <row r="57" ht="44" customHeight="1">
      <c r="A57" s="38" t="inlineStr">
        <is>
          <t>B08</t>
        </is>
      </c>
      <c r="B57" s="38" t="inlineStr">
        <is>
          <t>PAY</t>
        </is>
      </c>
      <c r="C57" s="54">
        <f>'Score Sandbox'!F77</f>
        <v>0</v>
      </c>
      <c r="D57" s="54">
        <f>IF(COUNTBLANK('Score Sandbox'!G77)&gt;0,"",'Score Sandbox'!G77)</f>
        <v>3</v>
      </c>
      <c r="E57" s="54" t="str">
        <f>IF(OR(C57&lt;&gt;1,AF57=0),"",INDEX('Answer Outcomes'!$J$6:$J$350,$AF57))</f>
        <v/>
      </c>
      <c r="F57" s="54" t="str">
        <f>IF(OR(C57&lt;&gt;1,AF57=0),"",INDEX('Answer Outcomes'!$K$6:$K$350,$AF57))</f>
        <v/>
      </c>
      <c r="G57" s="53" t="inlineStr">
        <is>
          <t>NONE</t>
        </is>
      </c>
      <c r="H57" s="53" t="inlineStr"/>
      <c r="I57" s="53" t="inlineStr"/>
      <c r="J57" s="53" t="inlineStr"/>
      <c r="K57" s="53" t="inlineStr">
        <is>
          <t>Self-report only</t>
        </is>
      </c>
      <c r="L57" s="54">
        <f>IF(OR(C57&lt;&gt;1,AF57=0),0,IF(G57="LIVE_HARM",'Risk Method'!$B$10,IF(G57="LIVE_ISSUE",MAX(E57,'Risk Method'!$B$9),IF(AND(OR(G57="SYSTEMIC",G57="MATTER_UNCLEAR"),D57&amp;""="3"),0,IF(G57="SYSTEMIC",IF(E57=0,0,MIN('Risk Method'!$B$9,E57+1)),E57)))))</f>
        <v>0</v>
      </c>
      <c r="M57" s="54" t="str">
        <f>IF(C57&lt;&gt;1,"Not assessed",IF(AF57=0,"Incomplete",VLOOKUP(L57,'Risk Method'!$F$6:$H$10,2,FALSE)))</f>
        <v>Not assessed</v>
      </c>
      <c r="N57" s="54">
        <f>IF(OR(C57&lt;&gt;1,AF57=0),0,IF(G57="LIVE_HARM",'Risk Method'!$B$10,IF(G57="NONE",F57,IF(G57="SYSTEMIC",MIN('Risk Method'!$B$9,MAX(F57+1,IF(D57&amp;""="3",'Risk Method'!$B$9,0))),MAX(F57,'Risk Method'!$B$9)))))</f>
        <v>0</v>
      </c>
      <c r="O57" s="54" t="str">
        <f>IF(N57=0,"Not assessed",VLOOKUP(N57,'Risk Method'!$F$6:$H$10,3,FALSE))</f>
        <v>Not assessed</v>
      </c>
      <c r="P57" s="54" t="str">
        <f>IF(OR(C57&lt;&gt;1,AF57=0),"",INDEX('Answer Outcomes'!$E$6:$E$350,$AF57))</f>
        <v/>
      </c>
      <c r="Q57" s="54" t="str">
        <f>IF(OR(C57&lt;&gt;1,AF57=0),"",INDEX('Answer Outcomes'!$G$6:$G$350,$AF57))</f>
        <v/>
      </c>
      <c r="R57" s="54" t="str">
        <f>IF(OR(C57&lt;&gt;1,AF57=0),"",IF(G57="LIVE_HARM","Protect people and contain the reported exposure now. Seek appropriate urgent assistance and arrange a competent review. Do not wait for this assessment or a sales appointment.",IF(OR(G57="LIVE_ISSUE",AND(G57="SYSTEMIC",D57&amp;""="3")),"Review the reported current matter and reconcile it with the maturity answer before relying on the result. Preserve relevant evidence, allocate an impartial owner and assess immediate safeguards. Context: "&amp;H57,IF(G57="DEADLINE","Confirm the actual deadline and complete the necessary checks before the affected event. "&amp;INDEX('Answer Outcomes'!$M$6:$M$350,$AF57),IF(G57="MATTER_UNCLEAR","Confirm promptly whether the time-sensitive matter exists and who owns the response. Do not treat uncertainty as proof of an incident. "&amp;INDEX('Answer Outcomes'!$M$6:$M$350,$AF57),INDEX('Answer Outcomes'!$M$6:$M$350,$AF57))))))</f>
        <v/>
      </c>
      <c r="S57" s="54" t="str">
        <f>IF(OR(C57&lt;&gt;1,AF57=0),"","1. "&amp;INDEX('Answer Outcomes'!$N$6:$N$350,$AF57)&amp;CHAR(10)&amp;"2. "&amp;INDEX('Answer Outcomes'!$O$6:$O$350,$AF57))</f>
        <v/>
      </c>
      <c r="T57" s="54" t="str">
        <f>IF(OR(C57&lt;&gt;1,AF57=0),"",IF(G57="NONE",INDEX('Answer Outcomes'!$L$6:$L$350,$AF57),"Context "&amp;G57&amp;": "&amp;H57&amp;". Scope: "&amp;I57&amp;". "&amp;IF(G57="DEADLINE","The deadline raises action urgency; it does not establish a breach or automatically raise the risk rating.",IF(D57&amp;""="3","The current context takes precedence over a reassuring maturity answer.","The rating remains provisional; the matter has not been independently verified."))))</f>
        <v/>
      </c>
      <c r="U57" s="54" t="str">
        <f>IF(OR(C57&lt;&gt;1,AF57=0),"",INDEX('Answer Outcomes'!$Q$6:$Q$350,$AF57))</f>
        <v/>
      </c>
      <c r="V57" s="54" t="str">
        <f>IF(OR(C57&lt;&gt;1,AF57=0),"",INDEX('Answer Outcomes'!$T$6:$T$350,$AF57))</f>
        <v/>
      </c>
      <c r="W57" s="54" t="str">
        <f>IF(N57=0,"",IF(N57='Risk Method'!$B$10,"Act now. Immediate protective action and appropriate urgent advice take precedence.",IF(N57='Risk Method'!$B$9,"Review or verify within "&amp;'Risk Method'!$B$11&amp;" business days, or before an earlier duty/event. Do not wait where harm or law requires immediate action.",IF(N57='Risk Method'!$B$8,"Agree and start a plan within "&amp;'Risk Method'!$B$12&amp;" days, or before an earlier affected event.","Maintain at the stated trigger; plan any discretionary improvement within "&amp;'Risk Method'!$B$13&amp;" days.")))&amp;IF(J57="",""," Next event: "&amp;J57))</f>
        <v/>
      </c>
      <c r="X57" s="54" t="str">
        <f>IF(OR(C57&lt;&gt;1,AF57=0),"",INDEX('Answer Outcomes'!$V$6:$V$350,$AF57))</f>
        <v/>
      </c>
      <c r="Y57" s="54" t="str">
        <f>IF(C57&lt;&gt;1,"",A57&amp;"_"&amp;D57)</f>
        <v/>
      </c>
      <c r="Z57" s="54">
        <f>IF(N57=0,0,N57*100000+L57*1000+INDEX('Answer Outcomes'!$I$6:$I$350,$AF57)*100+IF(G57="DEADLINE",50,0)+(75-ROW())/100)</f>
        <v>0</v>
      </c>
      <c r="AA57" s="54" t="str">
        <f>IF(Z57=0,"",RANK(Z57,$Z$6:$Z$74,0))</f>
        <v/>
      </c>
      <c r="AB57" s="54" t="str">
        <f>IF(AND(C57&lt;&gt;0,C57&lt;&gt;1),"Invalid eligibility",IF(AND(C57=0,G57&lt;&gt;"NONE"),"Context conflicts with exclusion",IF(C57=0,"",IF(AF57=0,"Missing or invalid answer",IF(AND(G57&lt;&gt;"NONE",G57&lt;&gt;"LIVE_HARM",G57&lt;&gt;"LIVE_ISSUE",G57&lt;&gt;"DEADLINE",G57&lt;&gt;"SYSTEMIC",G57&lt;&gt;"MATTER_UNCLEAR"),"Invalid context code",IF(AND(G57&lt;&gt;"NONE",OR(H57="",I57="")),"Override needs reason and scope",""))))))</f>
        <v/>
      </c>
      <c r="AC57" s="54" t="str">
        <f>IF(OR(C57&lt;&gt;1,AF57=0),"",INDEX('Answer Outcomes'!$S$6:$S$350,$AF57))</f>
        <v/>
      </c>
      <c r="AD57" s="54" t="str">
        <f>IF(OR(C57&lt;&gt;1,AF57=0),"",INDEX('Answer Outcomes'!$Y$6:$Y$350,$AF57))</f>
        <v/>
      </c>
      <c r="AE57" s="38" t="inlineStr">
        <is>
          <t>PAY01</t>
        </is>
      </c>
      <c r="AF57" s="54">
        <f>IF(C57&lt;&gt;1,0,IFERROR(MATCH(Y57,'Answer Outcomes'!$A$6:$A$350,0),0))</f>
        <v>0</v>
      </c>
      <c r="AG57" s="54">
        <f>IF(N57&lt;'Risk Method'!$B$8,0,IF(COUNTIFS($X$6:$X$74,X57,$Z$6:$Z$74,"&gt;"&amp;Z57)=0,Z57,0))</f>
        <v>0</v>
      </c>
      <c r="AH57" s="54" t="str">
        <f>IF(AG57=0,"",RANK(AG57,$AG$6:$AG$74,0))</f>
        <v/>
      </c>
      <c r="AI57" s="54">
        <f>IF(LEN(AB57)&gt;0,1,0)</f>
        <v>0</v>
      </c>
    </row>
    <row r="58" ht="44" customHeight="1">
      <c r="A58" s="37" t="inlineStr">
        <is>
          <t>B09</t>
        </is>
      </c>
      <c r="B58" s="37" t="inlineStr">
        <is>
          <t>PAY</t>
        </is>
      </c>
      <c r="C58" s="52">
        <f>'Score Sandbox'!F78</f>
        <v>0</v>
      </c>
      <c r="D58" s="52">
        <f>IF(COUNTBLANK('Score Sandbox'!G78)&gt;0,"",'Score Sandbox'!G78)</f>
        <v>3</v>
      </c>
      <c r="E58" s="52" t="str">
        <f>IF(OR(C58&lt;&gt;1,AF58=0),"",INDEX('Answer Outcomes'!$J$6:$J$350,$AF58))</f>
        <v/>
      </c>
      <c r="F58" s="52" t="str">
        <f>IF(OR(C58&lt;&gt;1,AF58=0),"",INDEX('Answer Outcomes'!$K$6:$K$350,$AF58))</f>
        <v/>
      </c>
      <c r="G58" s="53" t="inlineStr">
        <is>
          <t>NONE</t>
        </is>
      </c>
      <c r="H58" s="53" t="inlineStr"/>
      <c r="I58" s="53" t="inlineStr"/>
      <c r="J58" s="53" t="inlineStr"/>
      <c r="K58" s="53" t="inlineStr">
        <is>
          <t>Self-report only</t>
        </is>
      </c>
      <c r="L58" s="52">
        <f>IF(OR(C58&lt;&gt;1,AF58=0),0,IF(G58="LIVE_HARM",'Risk Method'!$B$10,IF(G58="LIVE_ISSUE",MAX(E58,'Risk Method'!$B$9),IF(AND(OR(G58="SYSTEMIC",G58="MATTER_UNCLEAR"),D58&amp;""="3"),0,IF(G58="SYSTEMIC",IF(E58=0,0,MIN('Risk Method'!$B$9,E58+1)),E58)))))</f>
        <v>0</v>
      </c>
      <c r="M58" s="52" t="str">
        <f>IF(C58&lt;&gt;1,"Not assessed",IF(AF58=0,"Incomplete",VLOOKUP(L58,'Risk Method'!$F$6:$H$10,2,FALSE)))</f>
        <v>Not assessed</v>
      </c>
      <c r="N58" s="52">
        <f>IF(OR(C58&lt;&gt;1,AF58=0),0,IF(G58="LIVE_HARM",'Risk Method'!$B$10,IF(G58="NONE",F58,IF(G58="SYSTEMIC",MIN('Risk Method'!$B$9,MAX(F58+1,IF(D58&amp;""="3",'Risk Method'!$B$9,0))),MAX(F58,'Risk Method'!$B$9)))))</f>
        <v>0</v>
      </c>
      <c r="O58" s="52" t="str">
        <f>IF(N58=0,"Not assessed",VLOOKUP(N58,'Risk Method'!$F$6:$H$10,3,FALSE))</f>
        <v>Not assessed</v>
      </c>
      <c r="P58" s="52" t="str">
        <f>IF(OR(C58&lt;&gt;1,AF58=0),"",INDEX('Answer Outcomes'!$E$6:$E$350,$AF58))</f>
        <v/>
      </c>
      <c r="Q58" s="52" t="str">
        <f>IF(OR(C58&lt;&gt;1,AF58=0),"",INDEX('Answer Outcomes'!$G$6:$G$350,$AF58))</f>
        <v/>
      </c>
      <c r="R58" s="52" t="str">
        <f>IF(OR(C58&lt;&gt;1,AF58=0),"",IF(G58="LIVE_HARM","Protect people and contain the reported exposure now. Seek appropriate urgent assistance and arrange a competent review. Do not wait for this assessment or a sales appointment.",IF(OR(G58="LIVE_ISSUE",AND(G58="SYSTEMIC",D58&amp;""="3")),"Review the reported current matter and reconcile it with the maturity answer before relying on the result. Preserve relevant evidence, allocate an impartial owner and assess immediate safeguards. Context: "&amp;H58,IF(G58="DEADLINE","Confirm the actual deadline and complete the necessary checks before the affected event. "&amp;INDEX('Answer Outcomes'!$M$6:$M$350,$AF58),IF(G58="MATTER_UNCLEAR","Confirm promptly whether the time-sensitive matter exists and who owns the response. Do not treat uncertainty as proof of an incident. "&amp;INDEX('Answer Outcomes'!$M$6:$M$350,$AF58),INDEX('Answer Outcomes'!$M$6:$M$350,$AF58))))))</f>
        <v/>
      </c>
      <c r="S58" s="52" t="str">
        <f>IF(OR(C58&lt;&gt;1,AF58=0),"","1. "&amp;INDEX('Answer Outcomes'!$N$6:$N$350,$AF58)&amp;CHAR(10)&amp;"2. "&amp;INDEX('Answer Outcomes'!$O$6:$O$350,$AF58))</f>
        <v/>
      </c>
      <c r="T58" s="52" t="str">
        <f>IF(OR(C58&lt;&gt;1,AF58=0),"",IF(G58="NONE",INDEX('Answer Outcomes'!$L$6:$L$350,$AF58),"Context "&amp;G58&amp;": "&amp;H58&amp;". Scope: "&amp;I58&amp;". "&amp;IF(G58="DEADLINE","The deadline raises action urgency; it does not establish a breach or automatically raise the risk rating.",IF(D58&amp;""="3","The current context takes precedence over a reassuring maturity answer.","The rating remains provisional; the matter has not been independently verified."))))</f>
        <v/>
      </c>
      <c r="U58" s="52" t="str">
        <f>IF(OR(C58&lt;&gt;1,AF58=0),"",INDEX('Answer Outcomes'!$Q$6:$Q$350,$AF58))</f>
        <v/>
      </c>
      <c r="V58" s="52" t="str">
        <f>IF(OR(C58&lt;&gt;1,AF58=0),"",INDEX('Answer Outcomes'!$T$6:$T$350,$AF58))</f>
        <v/>
      </c>
      <c r="W58" s="52" t="str">
        <f>IF(N58=0,"",IF(N58='Risk Method'!$B$10,"Act now. Immediate protective action and appropriate urgent advice take precedence.",IF(N58='Risk Method'!$B$9,"Review or verify within "&amp;'Risk Method'!$B$11&amp;" business days, or before an earlier duty/event. Do not wait where harm or law requires immediate action.",IF(N58='Risk Method'!$B$8,"Agree and start a plan within "&amp;'Risk Method'!$B$12&amp;" days, or before an earlier affected event.","Maintain at the stated trigger; plan any discretionary improvement within "&amp;'Risk Method'!$B$13&amp;" days.")))&amp;IF(J58="",""," Next event: "&amp;J58))</f>
        <v/>
      </c>
      <c r="X58" s="52" t="str">
        <f>IF(OR(C58&lt;&gt;1,AF58=0),"",INDEX('Answer Outcomes'!$V$6:$V$350,$AF58))</f>
        <v/>
      </c>
      <c r="Y58" s="52" t="str">
        <f>IF(C58&lt;&gt;1,"",A58&amp;"_"&amp;D58)</f>
        <v/>
      </c>
      <c r="Z58" s="52">
        <f>IF(N58=0,0,N58*100000+L58*1000+INDEX('Answer Outcomes'!$I$6:$I$350,$AF58)*100+IF(G58="DEADLINE",50,0)+(75-ROW())/100)</f>
        <v>0</v>
      </c>
      <c r="AA58" s="52" t="str">
        <f>IF(Z58=0,"",RANK(Z58,$Z$6:$Z$74,0))</f>
        <v/>
      </c>
      <c r="AB58" s="52" t="str">
        <f>IF(AND(C58&lt;&gt;0,C58&lt;&gt;1),"Invalid eligibility",IF(AND(C58=0,G58&lt;&gt;"NONE"),"Context conflicts with exclusion",IF(C58=0,"",IF(AF58=0,"Missing or invalid answer",IF(AND(G58&lt;&gt;"NONE",G58&lt;&gt;"LIVE_HARM",G58&lt;&gt;"LIVE_ISSUE",G58&lt;&gt;"DEADLINE",G58&lt;&gt;"SYSTEMIC",G58&lt;&gt;"MATTER_UNCLEAR"),"Invalid context code",IF(AND(G58&lt;&gt;"NONE",OR(H58="",I58="")),"Override needs reason and scope",""))))))</f>
        <v/>
      </c>
      <c r="AC58" s="52" t="str">
        <f>IF(OR(C58&lt;&gt;1,AF58=0),"",INDEX('Answer Outcomes'!$S$6:$S$350,$AF58))</f>
        <v/>
      </c>
      <c r="AD58" s="52" t="str">
        <f>IF(OR(C58&lt;&gt;1,AF58=0),"",INDEX('Answer Outcomes'!$Y$6:$Y$350,$AF58))</f>
        <v/>
      </c>
      <c r="AE58" s="37" t="inlineStr">
        <is>
          <t>PAY01;PAY03</t>
        </is>
      </c>
      <c r="AF58" s="52">
        <f>IF(C58&lt;&gt;1,0,IFERROR(MATCH(Y58,'Answer Outcomes'!$A$6:$A$350,0),0))</f>
        <v>0</v>
      </c>
      <c r="AG58" s="52">
        <f>IF(N58&lt;'Risk Method'!$B$8,0,IF(COUNTIFS($X$6:$X$74,X58,$Z$6:$Z$74,"&gt;"&amp;Z58)=0,Z58,0))</f>
        <v>0</v>
      </c>
      <c r="AH58" s="52" t="str">
        <f>IF(AG58=0,"",RANK(AG58,$AG$6:$AG$74,0))</f>
        <v/>
      </c>
      <c r="AI58" s="52">
        <f>IF(LEN(AB58)&gt;0,1,0)</f>
        <v>0</v>
      </c>
    </row>
    <row r="59" ht="44" customHeight="1">
      <c r="A59" s="38" t="inlineStr">
        <is>
          <t>B10</t>
        </is>
      </c>
      <c r="B59" s="38" t="inlineStr">
        <is>
          <t>PAY</t>
        </is>
      </c>
      <c r="C59" s="54">
        <f>'Score Sandbox'!F79</f>
        <v>0</v>
      </c>
      <c r="D59" s="54">
        <f>IF(COUNTBLANK('Score Sandbox'!G79)&gt;0,"",'Score Sandbox'!G79)</f>
        <v>3</v>
      </c>
      <c r="E59" s="54" t="str">
        <f>IF(OR(C59&lt;&gt;1,AF59=0),"",INDEX('Answer Outcomes'!$J$6:$J$350,$AF59))</f>
        <v/>
      </c>
      <c r="F59" s="54" t="str">
        <f>IF(OR(C59&lt;&gt;1,AF59=0),"",INDEX('Answer Outcomes'!$K$6:$K$350,$AF59))</f>
        <v/>
      </c>
      <c r="G59" s="53" t="inlineStr">
        <is>
          <t>NONE</t>
        </is>
      </c>
      <c r="H59" s="53" t="inlineStr"/>
      <c r="I59" s="53" t="inlineStr"/>
      <c r="J59" s="53" t="inlineStr"/>
      <c r="K59" s="53" t="inlineStr">
        <is>
          <t>Self-report only</t>
        </is>
      </c>
      <c r="L59" s="54">
        <f>IF(OR(C59&lt;&gt;1,AF59=0),0,IF(G59="LIVE_HARM",'Risk Method'!$B$10,IF(G59="LIVE_ISSUE",MAX(E59,'Risk Method'!$B$9),IF(AND(OR(G59="SYSTEMIC",G59="MATTER_UNCLEAR"),D59&amp;""="3"),0,IF(G59="SYSTEMIC",IF(E59=0,0,MIN('Risk Method'!$B$9,E59+1)),E59)))))</f>
        <v>0</v>
      </c>
      <c r="M59" s="54" t="str">
        <f>IF(C59&lt;&gt;1,"Not assessed",IF(AF59=0,"Incomplete",VLOOKUP(L59,'Risk Method'!$F$6:$H$10,2,FALSE)))</f>
        <v>Not assessed</v>
      </c>
      <c r="N59" s="54">
        <f>IF(OR(C59&lt;&gt;1,AF59=0),0,IF(G59="LIVE_HARM",'Risk Method'!$B$10,IF(G59="NONE",F59,IF(G59="SYSTEMIC",MIN('Risk Method'!$B$9,MAX(F59+1,IF(D59&amp;""="3",'Risk Method'!$B$9,0))),MAX(F59,'Risk Method'!$B$9)))))</f>
        <v>0</v>
      </c>
      <c r="O59" s="54" t="str">
        <f>IF(N59=0,"Not assessed",VLOOKUP(N59,'Risk Method'!$F$6:$H$10,3,FALSE))</f>
        <v>Not assessed</v>
      </c>
      <c r="P59" s="54" t="str">
        <f>IF(OR(C59&lt;&gt;1,AF59=0),"",INDEX('Answer Outcomes'!$E$6:$E$350,$AF59))</f>
        <v/>
      </c>
      <c r="Q59" s="54" t="str">
        <f>IF(OR(C59&lt;&gt;1,AF59=0),"",INDEX('Answer Outcomes'!$G$6:$G$350,$AF59))</f>
        <v/>
      </c>
      <c r="R59" s="54" t="str">
        <f>IF(OR(C59&lt;&gt;1,AF59=0),"",IF(G59="LIVE_HARM","Protect people and contain the reported exposure now. Seek appropriate urgent assistance and arrange a competent review. Do not wait for this assessment or a sales appointment.",IF(OR(G59="LIVE_ISSUE",AND(G59="SYSTEMIC",D59&amp;""="3")),"Review the reported current matter and reconcile it with the maturity answer before relying on the result. Preserve relevant evidence, allocate an impartial owner and assess immediate safeguards. Context: "&amp;H59,IF(G59="DEADLINE","Confirm the actual deadline and complete the necessary checks before the affected event. "&amp;INDEX('Answer Outcomes'!$M$6:$M$350,$AF59),IF(G59="MATTER_UNCLEAR","Confirm promptly whether the time-sensitive matter exists and who owns the response. Do not treat uncertainty as proof of an incident. "&amp;INDEX('Answer Outcomes'!$M$6:$M$350,$AF59),INDEX('Answer Outcomes'!$M$6:$M$350,$AF59))))))</f>
        <v/>
      </c>
      <c r="S59" s="54" t="str">
        <f>IF(OR(C59&lt;&gt;1,AF59=0),"","1. "&amp;INDEX('Answer Outcomes'!$N$6:$N$350,$AF59)&amp;CHAR(10)&amp;"2. "&amp;INDEX('Answer Outcomes'!$O$6:$O$350,$AF59))</f>
        <v/>
      </c>
      <c r="T59" s="54" t="str">
        <f>IF(OR(C59&lt;&gt;1,AF59=0),"",IF(G59="NONE",INDEX('Answer Outcomes'!$L$6:$L$350,$AF59),"Context "&amp;G59&amp;": "&amp;H59&amp;". Scope: "&amp;I59&amp;". "&amp;IF(G59="DEADLINE","The deadline raises action urgency; it does not establish a breach or automatically raise the risk rating.",IF(D59&amp;""="3","The current context takes precedence over a reassuring maturity answer.","The rating remains provisional; the matter has not been independently verified."))))</f>
        <v/>
      </c>
      <c r="U59" s="54" t="str">
        <f>IF(OR(C59&lt;&gt;1,AF59=0),"",INDEX('Answer Outcomes'!$Q$6:$Q$350,$AF59))</f>
        <v/>
      </c>
      <c r="V59" s="54" t="str">
        <f>IF(OR(C59&lt;&gt;1,AF59=0),"",INDEX('Answer Outcomes'!$T$6:$T$350,$AF59))</f>
        <v/>
      </c>
      <c r="W59" s="54" t="str">
        <f>IF(N59=0,"",IF(N59='Risk Method'!$B$10,"Act now. Immediate protective action and appropriate urgent advice take precedence.",IF(N59='Risk Method'!$B$9,"Review or verify within "&amp;'Risk Method'!$B$11&amp;" business days, or before an earlier duty/event. Do not wait where harm or law requires immediate action.",IF(N59='Risk Method'!$B$8,"Agree and start a plan within "&amp;'Risk Method'!$B$12&amp;" days, or before an earlier affected event.","Maintain at the stated trigger; plan any discretionary improvement within "&amp;'Risk Method'!$B$13&amp;" days.")))&amp;IF(J59="",""," Next event: "&amp;J59))</f>
        <v/>
      </c>
      <c r="X59" s="54" t="str">
        <f>IF(OR(C59&lt;&gt;1,AF59=0),"",INDEX('Answer Outcomes'!$V$6:$V$350,$AF59))</f>
        <v/>
      </c>
      <c r="Y59" s="54" t="str">
        <f>IF(C59&lt;&gt;1,"",A59&amp;"_"&amp;D59)</f>
        <v/>
      </c>
      <c r="Z59" s="54">
        <f>IF(N59=0,0,N59*100000+L59*1000+INDEX('Answer Outcomes'!$I$6:$I$350,$AF59)*100+IF(G59="DEADLINE",50,0)+(75-ROW())/100)</f>
        <v>0</v>
      </c>
      <c r="AA59" s="54" t="str">
        <f>IF(Z59=0,"",RANK(Z59,$Z$6:$Z$74,0))</f>
        <v/>
      </c>
      <c r="AB59" s="54" t="str">
        <f>IF(AND(C59&lt;&gt;0,C59&lt;&gt;1),"Invalid eligibility",IF(AND(C59=0,G59&lt;&gt;"NONE"),"Context conflicts with exclusion",IF(C59=0,"",IF(AF59=0,"Missing or invalid answer",IF(AND(G59&lt;&gt;"NONE",G59&lt;&gt;"LIVE_HARM",G59&lt;&gt;"LIVE_ISSUE",G59&lt;&gt;"DEADLINE",G59&lt;&gt;"SYSTEMIC",G59&lt;&gt;"MATTER_UNCLEAR"),"Invalid context code",IF(AND(G59&lt;&gt;"NONE",OR(H59="",I59="")),"Override needs reason and scope",""))))))</f>
        <v/>
      </c>
      <c r="AC59" s="54" t="str">
        <f>IF(OR(C59&lt;&gt;1,AF59=0),"",INDEX('Answer Outcomes'!$S$6:$S$350,$AF59))</f>
        <v/>
      </c>
      <c r="AD59" s="54" t="str">
        <f>IF(OR(C59&lt;&gt;1,AF59=0),"",INDEX('Answer Outcomes'!$Y$6:$Y$350,$AF59))</f>
        <v/>
      </c>
      <c r="AE59" s="38" t="inlineStr">
        <is>
          <t>PAY01;PAY03</t>
        </is>
      </c>
      <c r="AF59" s="54">
        <f>IF(C59&lt;&gt;1,0,IFERROR(MATCH(Y59,'Answer Outcomes'!$A$6:$A$350,0),0))</f>
        <v>0</v>
      </c>
      <c r="AG59" s="54">
        <f>IF(N59&lt;'Risk Method'!$B$8,0,IF(COUNTIFS($X$6:$X$74,X59,$Z$6:$Z$74,"&gt;"&amp;Z59)=0,Z59,0))</f>
        <v>0</v>
      </c>
      <c r="AH59" s="54" t="str">
        <f>IF(AG59=0,"",RANK(AG59,$AG$6:$AG$74,0))</f>
        <v/>
      </c>
      <c r="AI59" s="54">
        <f>IF(LEN(AB59)&gt;0,1,0)</f>
        <v>0</v>
      </c>
    </row>
    <row r="60" ht="44" customHeight="1">
      <c r="A60" s="37" t="inlineStr">
        <is>
          <t>B11</t>
        </is>
      </c>
      <c r="B60" s="37" t="inlineStr">
        <is>
          <t>PAY</t>
        </is>
      </c>
      <c r="C60" s="52">
        <f>'Score Sandbox'!F80</f>
        <v>0</v>
      </c>
      <c r="D60" s="52">
        <f>IF(COUNTBLANK('Score Sandbox'!G80)&gt;0,"",'Score Sandbox'!G80)</f>
        <v>3</v>
      </c>
      <c r="E60" s="52" t="str">
        <f>IF(OR(C60&lt;&gt;1,AF60=0),"",INDEX('Answer Outcomes'!$J$6:$J$350,$AF60))</f>
        <v/>
      </c>
      <c r="F60" s="52" t="str">
        <f>IF(OR(C60&lt;&gt;1,AF60=0),"",INDEX('Answer Outcomes'!$K$6:$K$350,$AF60))</f>
        <v/>
      </c>
      <c r="G60" s="53" t="inlineStr">
        <is>
          <t>NONE</t>
        </is>
      </c>
      <c r="H60" s="53" t="inlineStr"/>
      <c r="I60" s="53" t="inlineStr"/>
      <c r="J60" s="53" t="inlineStr"/>
      <c r="K60" s="53" t="inlineStr">
        <is>
          <t>Self-report only</t>
        </is>
      </c>
      <c r="L60" s="52">
        <f>IF(OR(C60&lt;&gt;1,AF60=0),0,IF(G60="LIVE_HARM",'Risk Method'!$B$10,IF(G60="LIVE_ISSUE",MAX(E60,'Risk Method'!$B$9),IF(AND(OR(G60="SYSTEMIC",G60="MATTER_UNCLEAR"),D60&amp;""="3"),0,IF(G60="SYSTEMIC",IF(E60=0,0,MIN('Risk Method'!$B$9,E60+1)),E60)))))</f>
        <v>0</v>
      </c>
      <c r="M60" s="52" t="str">
        <f>IF(C60&lt;&gt;1,"Not assessed",IF(AF60=0,"Incomplete",VLOOKUP(L60,'Risk Method'!$F$6:$H$10,2,FALSE)))</f>
        <v>Not assessed</v>
      </c>
      <c r="N60" s="52">
        <f>IF(OR(C60&lt;&gt;1,AF60=0),0,IF(G60="LIVE_HARM",'Risk Method'!$B$10,IF(G60="NONE",F60,IF(G60="SYSTEMIC",MIN('Risk Method'!$B$9,MAX(F60+1,IF(D60&amp;""="3",'Risk Method'!$B$9,0))),MAX(F60,'Risk Method'!$B$9)))))</f>
        <v>0</v>
      </c>
      <c r="O60" s="52" t="str">
        <f>IF(N60=0,"Not assessed",VLOOKUP(N60,'Risk Method'!$F$6:$H$10,3,FALSE))</f>
        <v>Not assessed</v>
      </c>
      <c r="P60" s="52" t="str">
        <f>IF(OR(C60&lt;&gt;1,AF60=0),"",INDEX('Answer Outcomes'!$E$6:$E$350,$AF60))</f>
        <v/>
      </c>
      <c r="Q60" s="52" t="str">
        <f>IF(OR(C60&lt;&gt;1,AF60=0),"",INDEX('Answer Outcomes'!$G$6:$G$350,$AF60))</f>
        <v/>
      </c>
      <c r="R60" s="52" t="str">
        <f>IF(OR(C60&lt;&gt;1,AF60=0),"",IF(G60="LIVE_HARM","Protect people and contain the reported exposure now. Seek appropriate urgent assistance and arrange a competent review. Do not wait for this assessment or a sales appointment.",IF(OR(G60="LIVE_ISSUE",AND(G60="SYSTEMIC",D60&amp;""="3")),"Review the reported current matter and reconcile it with the maturity answer before relying on the result. Preserve relevant evidence, allocate an impartial owner and assess immediate safeguards. Context: "&amp;H60,IF(G60="DEADLINE","Confirm the actual deadline and complete the necessary checks before the affected event. "&amp;INDEX('Answer Outcomes'!$M$6:$M$350,$AF60),IF(G60="MATTER_UNCLEAR","Confirm promptly whether the time-sensitive matter exists and who owns the response. Do not treat uncertainty as proof of an incident. "&amp;INDEX('Answer Outcomes'!$M$6:$M$350,$AF60),INDEX('Answer Outcomes'!$M$6:$M$350,$AF60))))))</f>
        <v/>
      </c>
      <c r="S60" s="52" t="str">
        <f>IF(OR(C60&lt;&gt;1,AF60=0),"","1. "&amp;INDEX('Answer Outcomes'!$N$6:$N$350,$AF60)&amp;CHAR(10)&amp;"2. "&amp;INDEX('Answer Outcomes'!$O$6:$O$350,$AF60))</f>
        <v/>
      </c>
      <c r="T60" s="52" t="str">
        <f>IF(OR(C60&lt;&gt;1,AF60=0),"",IF(G60="NONE",INDEX('Answer Outcomes'!$L$6:$L$350,$AF60),"Context "&amp;G60&amp;": "&amp;H60&amp;". Scope: "&amp;I60&amp;". "&amp;IF(G60="DEADLINE","The deadline raises action urgency; it does not establish a breach or automatically raise the risk rating.",IF(D60&amp;""="3","The current context takes precedence over a reassuring maturity answer.","The rating remains provisional; the matter has not been independently verified."))))</f>
        <v/>
      </c>
      <c r="U60" s="52" t="str">
        <f>IF(OR(C60&lt;&gt;1,AF60=0),"",INDEX('Answer Outcomes'!$Q$6:$Q$350,$AF60))</f>
        <v/>
      </c>
      <c r="V60" s="52" t="str">
        <f>IF(OR(C60&lt;&gt;1,AF60=0),"",INDEX('Answer Outcomes'!$T$6:$T$350,$AF60))</f>
        <v/>
      </c>
      <c r="W60" s="52" t="str">
        <f>IF(N60=0,"",IF(N60='Risk Method'!$B$10,"Act now. Immediate protective action and appropriate urgent advice take precedence.",IF(N60='Risk Method'!$B$9,"Review or verify within "&amp;'Risk Method'!$B$11&amp;" business days, or before an earlier duty/event. Do not wait where harm or law requires immediate action.",IF(N60='Risk Method'!$B$8,"Agree and start a plan within "&amp;'Risk Method'!$B$12&amp;" days, or before an earlier affected event.","Maintain at the stated trigger; plan any discretionary improvement within "&amp;'Risk Method'!$B$13&amp;" days.")))&amp;IF(J60="",""," Next event: "&amp;J60))</f>
        <v/>
      </c>
      <c r="X60" s="52" t="str">
        <f>IF(OR(C60&lt;&gt;1,AF60=0),"",INDEX('Answer Outcomes'!$V$6:$V$350,$AF60))</f>
        <v/>
      </c>
      <c r="Y60" s="52" t="str">
        <f>IF(C60&lt;&gt;1,"",A60&amp;"_"&amp;D60)</f>
        <v/>
      </c>
      <c r="Z60" s="52">
        <f>IF(N60=0,0,N60*100000+L60*1000+INDEX('Answer Outcomes'!$I$6:$I$350,$AF60)*100+IF(G60="DEADLINE",50,0)+(75-ROW())/100)</f>
        <v>0</v>
      </c>
      <c r="AA60" s="52" t="str">
        <f>IF(Z60=0,"",RANK(Z60,$Z$6:$Z$74,0))</f>
        <v/>
      </c>
      <c r="AB60" s="52" t="str">
        <f>IF(AND(C60&lt;&gt;0,C60&lt;&gt;1),"Invalid eligibility",IF(AND(C60=0,G60&lt;&gt;"NONE"),"Context conflicts with exclusion",IF(C60=0,"",IF(AF60=0,"Missing or invalid answer",IF(AND(G60&lt;&gt;"NONE",G60&lt;&gt;"LIVE_HARM",G60&lt;&gt;"LIVE_ISSUE",G60&lt;&gt;"DEADLINE",G60&lt;&gt;"SYSTEMIC",G60&lt;&gt;"MATTER_UNCLEAR"),"Invalid context code",IF(AND(G60&lt;&gt;"NONE",OR(H60="",I60="")),"Override needs reason and scope",""))))))</f>
        <v/>
      </c>
      <c r="AC60" s="52" t="str">
        <f>IF(OR(C60&lt;&gt;1,AF60=0),"",INDEX('Answer Outcomes'!$S$6:$S$350,$AF60))</f>
        <v/>
      </c>
      <c r="AD60" s="52" t="str">
        <f>IF(OR(C60&lt;&gt;1,AF60=0),"",INDEX('Answer Outcomes'!$Y$6:$Y$350,$AF60))</f>
        <v/>
      </c>
      <c r="AE60" s="37" t="inlineStr">
        <is>
          <t>PAY01;PAY03</t>
        </is>
      </c>
      <c r="AF60" s="52">
        <f>IF(C60&lt;&gt;1,0,IFERROR(MATCH(Y60,'Answer Outcomes'!$A$6:$A$350,0),0))</f>
        <v>0</v>
      </c>
      <c r="AG60" s="52">
        <f>IF(N60&lt;'Risk Method'!$B$8,0,IF(COUNTIFS($X$6:$X$74,X60,$Z$6:$Z$74,"&gt;"&amp;Z60)=0,Z60,0))</f>
        <v>0</v>
      </c>
      <c r="AH60" s="52" t="str">
        <f>IF(AG60=0,"",RANK(AG60,$AG$6:$AG$74,0))</f>
        <v/>
      </c>
      <c r="AI60" s="52">
        <f>IF(LEN(AB60)&gt;0,1,0)</f>
        <v>0</v>
      </c>
    </row>
    <row r="61" ht="44" customHeight="1">
      <c r="A61" s="38" t="inlineStr">
        <is>
          <t>B12</t>
        </is>
      </c>
      <c r="B61" s="38" t="inlineStr">
        <is>
          <t>CON</t>
        </is>
      </c>
      <c r="C61" s="54">
        <f>'Score Sandbox'!F81</f>
        <v>0</v>
      </c>
      <c r="D61" s="54">
        <f>IF(COUNTBLANK('Score Sandbox'!G81)&gt;0,"",'Score Sandbox'!G81)</f>
        <v>3</v>
      </c>
      <c r="E61" s="54" t="str">
        <f>IF(OR(C61&lt;&gt;1,AF61=0),"",INDEX('Answer Outcomes'!$J$6:$J$350,$AF61))</f>
        <v/>
      </c>
      <c r="F61" s="54" t="str">
        <f>IF(OR(C61&lt;&gt;1,AF61=0),"",INDEX('Answer Outcomes'!$K$6:$K$350,$AF61))</f>
        <v/>
      </c>
      <c r="G61" s="53" t="inlineStr">
        <is>
          <t>NONE</t>
        </is>
      </c>
      <c r="H61" s="53" t="inlineStr"/>
      <c r="I61" s="53" t="inlineStr"/>
      <c r="J61" s="53" t="inlineStr"/>
      <c r="K61" s="53" t="inlineStr">
        <is>
          <t>Self-report only</t>
        </is>
      </c>
      <c r="L61" s="54">
        <f>IF(OR(C61&lt;&gt;1,AF61=0),0,IF(G61="LIVE_HARM",'Risk Method'!$B$10,IF(G61="LIVE_ISSUE",MAX(E61,'Risk Method'!$B$9),IF(AND(OR(G61="SYSTEMIC",G61="MATTER_UNCLEAR"),D61&amp;""="3"),0,IF(G61="SYSTEMIC",IF(E61=0,0,MIN('Risk Method'!$B$9,E61+1)),E61)))))</f>
        <v>0</v>
      </c>
      <c r="M61" s="54" t="str">
        <f>IF(C61&lt;&gt;1,"Not assessed",IF(AF61=0,"Incomplete",VLOOKUP(L61,'Risk Method'!$F$6:$H$10,2,FALSE)))</f>
        <v>Not assessed</v>
      </c>
      <c r="N61" s="54">
        <f>IF(OR(C61&lt;&gt;1,AF61=0),0,IF(G61="LIVE_HARM",'Risk Method'!$B$10,IF(G61="NONE",F61,IF(G61="SYSTEMIC",MIN('Risk Method'!$B$9,MAX(F61+1,IF(D61&amp;""="3",'Risk Method'!$B$9,0))),MAX(F61,'Risk Method'!$B$9)))))</f>
        <v>0</v>
      </c>
      <c r="O61" s="54" t="str">
        <f>IF(N61=0,"Not assessed",VLOOKUP(N61,'Risk Method'!$F$6:$H$10,3,FALSE))</f>
        <v>Not assessed</v>
      </c>
      <c r="P61" s="54" t="str">
        <f>IF(OR(C61&lt;&gt;1,AF61=0),"",INDEX('Answer Outcomes'!$E$6:$E$350,$AF61))</f>
        <v/>
      </c>
      <c r="Q61" s="54" t="str">
        <f>IF(OR(C61&lt;&gt;1,AF61=0),"",INDEX('Answer Outcomes'!$G$6:$G$350,$AF61))</f>
        <v/>
      </c>
      <c r="R61" s="54" t="str">
        <f>IF(OR(C61&lt;&gt;1,AF61=0),"",IF(G61="LIVE_HARM","Protect people and contain the reported exposure now. Seek appropriate urgent assistance and arrange a competent review. Do not wait for this assessment or a sales appointment.",IF(OR(G61="LIVE_ISSUE",AND(G61="SYSTEMIC",D61&amp;""="3")),"Review the reported current matter and reconcile it with the maturity answer before relying on the result. Preserve relevant evidence, allocate an impartial owner and assess immediate safeguards. Context: "&amp;H61,IF(G61="DEADLINE","Confirm the actual deadline and complete the necessary checks before the affected event. "&amp;INDEX('Answer Outcomes'!$M$6:$M$350,$AF61),IF(G61="MATTER_UNCLEAR","Confirm promptly whether the time-sensitive matter exists and who owns the response. Do not treat uncertainty as proof of an incident. "&amp;INDEX('Answer Outcomes'!$M$6:$M$350,$AF61),INDEX('Answer Outcomes'!$M$6:$M$350,$AF61))))))</f>
        <v/>
      </c>
      <c r="S61" s="54" t="str">
        <f>IF(OR(C61&lt;&gt;1,AF61=0),"","1. "&amp;INDEX('Answer Outcomes'!$N$6:$N$350,$AF61)&amp;CHAR(10)&amp;"2. "&amp;INDEX('Answer Outcomes'!$O$6:$O$350,$AF61))</f>
        <v/>
      </c>
      <c r="T61" s="54" t="str">
        <f>IF(OR(C61&lt;&gt;1,AF61=0),"",IF(G61="NONE",INDEX('Answer Outcomes'!$L$6:$L$350,$AF61),"Context "&amp;G61&amp;": "&amp;H61&amp;". Scope: "&amp;I61&amp;". "&amp;IF(G61="DEADLINE","The deadline raises action urgency; it does not establish a breach or automatically raise the risk rating.",IF(D61&amp;""="3","The current context takes precedence over a reassuring maturity answer.","The rating remains provisional; the matter has not been independently verified."))))</f>
        <v/>
      </c>
      <c r="U61" s="54" t="str">
        <f>IF(OR(C61&lt;&gt;1,AF61=0),"",INDEX('Answer Outcomes'!$Q$6:$Q$350,$AF61))</f>
        <v/>
      </c>
      <c r="V61" s="54" t="str">
        <f>IF(OR(C61&lt;&gt;1,AF61=0),"",INDEX('Answer Outcomes'!$T$6:$T$350,$AF61))</f>
        <v/>
      </c>
      <c r="W61" s="54" t="str">
        <f>IF(N61=0,"",IF(N61='Risk Method'!$B$10,"Act now. Immediate protective action and appropriate urgent advice take precedence.",IF(N61='Risk Method'!$B$9,"Review or verify within "&amp;'Risk Method'!$B$11&amp;" business days, or before an earlier duty/event. Do not wait where harm or law requires immediate action.",IF(N61='Risk Method'!$B$8,"Agree and start a plan within "&amp;'Risk Method'!$B$12&amp;" days, or before an earlier affected event.","Maintain at the stated trigger; plan any discretionary improvement within "&amp;'Risk Method'!$B$13&amp;" days.")))&amp;IF(J61="",""," Next event: "&amp;J61))</f>
        <v/>
      </c>
      <c r="X61" s="54" t="str">
        <f>IF(OR(C61&lt;&gt;1,AF61=0),"",INDEX('Answer Outcomes'!$V$6:$V$350,$AF61))</f>
        <v/>
      </c>
      <c r="Y61" s="54" t="str">
        <f>IF(C61&lt;&gt;1,"",A61&amp;"_"&amp;D61)</f>
        <v/>
      </c>
      <c r="Z61" s="54">
        <f>IF(N61=0,0,N61*100000+L61*1000+INDEX('Answer Outcomes'!$I$6:$I$350,$AF61)*100+IF(G61="DEADLINE",50,0)+(75-ROW())/100)</f>
        <v>0</v>
      </c>
      <c r="AA61" s="54" t="str">
        <f>IF(Z61=0,"",RANK(Z61,$Z$6:$Z$74,0))</f>
        <v/>
      </c>
      <c r="AB61" s="54" t="str">
        <f>IF(AND(C61&lt;&gt;0,C61&lt;&gt;1),"Invalid eligibility",IF(AND(C61=0,G61&lt;&gt;"NONE"),"Context conflicts with exclusion",IF(C61=0,"",IF(AF61=0,"Missing or invalid answer",IF(AND(G61&lt;&gt;"NONE",G61&lt;&gt;"LIVE_HARM",G61&lt;&gt;"LIVE_ISSUE",G61&lt;&gt;"DEADLINE",G61&lt;&gt;"SYSTEMIC",G61&lt;&gt;"MATTER_UNCLEAR"),"Invalid context code",IF(AND(G61&lt;&gt;"NONE",OR(H61="",I61="")),"Override needs reason and scope",""))))))</f>
        <v/>
      </c>
      <c r="AC61" s="54" t="str">
        <f>IF(OR(C61&lt;&gt;1,AF61=0),"",INDEX('Answer Outcomes'!$S$6:$S$350,$AF61))</f>
        <v/>
      </c>
      <c r="AD61" s="54" t="str">
        <f>IF(OR(C61&lt;&gt;1,AF61=0),"",INDEX('Answer Outcomes'!$Y$6:$Y$350,$AF61))</f>
        <v/>
      </c>
      <c r="AE61" s="38" t="inlineStr">
        <is>
          <t>PAY01;B01</t>
        </is>
      </c>
      <c r="AF61" s="54">
        <f>IF(C61&lt;&gt;1,0,IFERROR(MATCH(Y61,'Answer Outcomes'!$A$6:$A$350,0),0))</f>
        <v>0</v>
      </c>
      <c r="AG61" s="54">
        <f>IF(N61&lt;'Risk Method'!$B$8,0,IF(COUNTIFS($X$6:$X$74,X61,$Z$6:$Z$74,"&gt;"&amp;Z61)=0,Z61,0))</f>
        <v>0</v>
      </c>
      <c r="AH61" s="54" t="str">
        <f>IF(AG61=0,"",RANK(AG61,$AG$6:$AG$74,0))</f>
        <v/>
      </c>
      <c r="AI61" s="54">
        <f>IF(LEN(AB61)&gt;0,1,0)</f>
        <v>0</v>
      </c>
    </row>
    <row r="62" ht="44" customHeight="1">
      <c r="A62" s="37" t="inlineStr">
        <is>
          <t>B13</t>
        </is>
      </c>
      <c r="B62" s="37" t="inlineStr">
        <is>
          <t>ONB</t>
        </is>
      </c>
      <c r="C62" s="52">
        <f>'Score Sandbox'!F82</f>
        <v>0</v>
      </c>
      <c r="D62" s="52">
        <f>IF(COUNTBLANK('Score Sandbox'!G82)&gt;0,"",'Score Sandbox'!G82)</f>
        <v>3</v>
      </c>
      <c r="E62" s="52" t="str">
        <f>IF(OR(C62&lt;&gt;1,AF62=0),"",INDEX('Answer Outcomes'!$J$6:$J$350,$AF62))</f>
        <v/>
      </c>
      <c r="F62" s="52" t="str">
        <f>IF(OR(C62&lt;&gt;1,AF62=0),"",INDEX('Answer Outcomes'!$K$6:$K$350,$AF62))</f>
        <v/>
      </c>
      <c r="G62" s="53" t="inlineStr">
        <is>
          <t>NONE</t>
        </is>
      </c>
      <c r="H62" s="53" t="inlineStr"/>
      <c r="I62" s="53" t="inlineStr"/>
      <c r="J62" s="53" t="inlineStr"/>
      <c r="K62" s="53" t="inlineStr">
        <is>
          <t>Self-report only</t>
        </is>
      </c>
      <c r="L62" s="52">
        <f>IF(OR(C62&lt;&gt;1,AF62=0),0,IF(G62="LIVE_HARM",'Risk Method'!$B$10,IF(G62="LIVE_ISSUE",MAX(E62,'Risk Method'!$B$9),IF(AND(OR(G62="SYSTEMIC",G62="MATTER_UNCLEAR"),D62&amp;""="3"),0,IF(G62="SYSTEMIC",IF(E62=0,0,MIN('Risk Method'!$B$9,E62+1)),E62)))))</f>
        <v>0</v>
      </c>
      <c r="M62" s="52" t="str">
        <f>IF(C62&lt;&gt;1,"Not assessed",IF(AF62=0,"Incomplete",VLOOKUP(L62,'Risk Method'!$F$6:$H$10,2,FALSE)))</f>
        <v>Not assessed</v>
      </c>
      <c r="N62" s="52">
        <f>IF(OR(C62&lt;&gt;1,AF62=0),0,IF(G62="LIVE_HARM",'Risk Method'!$B$10,IF(G62="NONE",F62,IF(G62="SYSTEMIC",MIN('Risk Method'!$B$9,MAX(F62+1,IF(D62&amp;""="3",'Risk Method'!$B$9,0))),MAX(F62,'Risk Method'!$B$9)))))</f>
        <v>0</v>
      </c>
      <c r="O62" s="52" t="str">
        <f>IF(N62=0,"Not assessed",VLOOKUP(N62,'Risk Method'!$F$6:$H$10,3,FALSE))</f>
        <v>Not assessed</v>
      </c>
      <c r="P62" s="52" t="str">
        <f>IF(OR(C62&lt;&gt;1,AF62=0),"",INDEX('Answer Outcomes'!$E$6:$E$350,$AF62))</f>
        <v/>
      </c>
      <c r="Q62" s="52" t="str">
        <f>IF(OR(C62&lt;&gt;1,AF62=0),"",INDEX('Answer Outcomes'!$G$6:$G$350,$AF62))</f>
        <v/>
      </c>
      <c r="R62" s="52" t="str">
        <f>IF(OR(C62&lt;&gt;1,AF62=0),"",IF(G62="LIVE_HARM","Protect people and contain the reported exposure now. Seek appropriate urgent assistance and arrange a competent review. Do not wait for this assessment or a sales appointment.",IF(OR(G62="LIVE_ISSUE",AND(G62="SYSTEMIC",D62&amp;""="3")),"Review the reported current matter and reconcile it with the maturity answer before relying on the result. Preserve relevant evidence, allocate an impartial owner and assess immediate safeguards. Context: "&amp;H62,IF(G62="DEADLINE","Confirm the actual deadline and complete the necessary checks before the affected event. "&amp;INDEX('Answer Outcomes'!$M$6:$M$350,$AF62),IF(G62="MATTER_UNCLEAR","Confirm promptly whether the time-sensitive matter exists and who owns the response. Do not treat uncertainty as proof of an incident. "&amp;INDEX('Answer Outcomes'!$M$6:$M$350,$AF62),INDEX('Answer Outcomes'!$M$6:$M$350,$AF62))))))</f>
        <v/>
      </c>
      <c r="S62" s="52" t="str">
        <f>IF(OR(C62&lt;&gt;1,AF62=0),"","1. "&amp;INDEX('Answer Outcomes'!$N$6:$N$350,$AF62)&amp;CHAR(10)&amp;"2. "&amp;INDEX('Answer Outcomes'!$O$6:$O$350,$AF62))</f>
        <v/>
      </c>
      <c r="T62" s="52" t="str">
        <f>IF(OR(C62&lt;&gt;1,AF62=0),"",IF(G62="NONE",INDEX('Answer Outcomes'!$L$6:$L$350,$AF62),"Context "&amp;G62&amp;": "&amp;H62&amp;". Scope: "&amp;I62&amp;". "&amp;IF(G62="DEADLINE","The deadline raises action urgency; it does not establish a breach or automatically raise the risk rating.",IF(D62&amp;""="3","The current context takes precedence over a reassuring maturity answer.","The rating remains provisional; the matter has not been independently verified."))))</f>
        <v/>
      </c>
      <c r="U62" s="52" t="str">
        <f>IF(OR(C62&lt;&gt;1,AF62=0),"",INDEX('Answer Outcomes'!$Q$6:$Q$350,$AF62))</f>
        <v/>
      </c>
      <c r="V62" s="52" t="str">
        <f>IF(OR(C62&lt;&gt;1,AF62=0),"",INDEX('Answer Outcomes'!$T$6:$T$350,$AF62))</f>
        <v/>
      </c>
      <c r="W62" s="52" t="str">
        <f>IF(N62=0,"",IF(N62='Risk Method'!$B$10,"Act now. Immediate protective action and appropriate urgent advice take precedence.",IF(N62='Risk Method'!$B$9,"Review or verify within "&amp;'Risk Method'!$B$11&amp;" business days, or before an earlier duty/event. Do not wait where harm or law requires immediate action.",IF(N62='Risk Method'!$B$8,"Agree and start a plan within "&amp;'Risk Method'!$B$12&amp;" days, or before an earlier affected event.","Maintain at the stated trigger; plan any discretionary improvement within "&amp;'Risk Method'!$B$13&amp;" days.")))&amp;IF(J62="",""," Next event: "&amp;J62))</f>
        <v/>
      </c>
      <c r="X62" s="52" t="str">
        <f>IF(OR(C62&lt;&gt;1,AF62=0),"",INDEX('Answer Outcomes'!$V$6:$V$350,$AF62))</f>
        <v/>
      </c>
      <c r="Y62" s="52" t="str">
        <f>IF(C62&lt;&gt;1,"",A62&amp;"_"&amp;D62)</f>
        <v/>
      </c>
      <c r="Z62" s="52">
        <f>IF(N62=0,0,N62*100000+L62*1000+INDEX('Answer Outcomes'!$I$6:$I$350,$AF62)*100+IF(G62="DEADLINE",50,0)+(75-ROW())/100)</f>
        <v>0</v>
      </c>
      <c r="AA62" s="52" t="str">
        <f>IF(Z62=0,"",RANK(Z62,$Z$6:$Z$74,0))</f>
        <v/>
      </c>
      <c r="AB62" s="52" t="str">
        <f>IF(AND(C62&lt;&gt;0,C62&lt;&gt;1),"Invalid eligibility",IF(AND(C62=0,G62&lt;&gt;"NONE"),"Context conflicts with exclusion",IF(C62=0,"",IF(AF62=0,"Missing or invalid answer",IF(AND(G62&lt;&gt;"NONE",G62&lt;&gt;"LIVE_HARM",G62&lt;&gt;"LIVE_ISSUE",G62&lt;&gt;"DEADLINE",G62&lt;&gt;"SYSTEMIC",G62&lt;&gt;"MATTER_UNCLEAR"),"Invalid context code",IF(AND(G62&lt;&gt;"NONE",OR(H62="",I62="")),"Override needs reason and scope",""))))))</f>
        <v/>
      </c>
      <c r="AC62" s="52" t="str">
        <f>IF(OR(C62&lt;&gt;1,AF62=0),"",INDEX('Answer Outcomes'!$S$6:$S$350,$AF62))</f>
        <v/>
      </c>
      <c r="AD62" s="52" t="str">
        <f>IF(OR(C62&lt;&gt;1,AF62=0),"",INDEX('Answer Outcomes'!$Y$6:$Y$350,$AF62))</f>
        <v/>
      </c>
      <c r="AE62" s="37" t="inlineStr">
        <is>
          <t>ONB01</t>
        </is>
      </c>
      <c r="AF62" s="52">
        <f>IF(C62&lt;&gt;1,0,IFERROR(MATCH(Y62,'Answer Outcomes'!$A$6:$A$350,0),0))</f>
        <v>0</v>
      </c>
      <c r="AG62" s="52">
        <f>IF(N62&lt;'Risk Method'!$B$8,0,IF(COUNTIFS($X$6:$X$74,X62,$Z$6:$Z$74,"&gt;"&amp;Z62)=0,Z62,0))</f>
        <v>0</v>
      </c>
      <c r="AH62" s="52" t="str">
        <f>IF(AG62=0,"",RANK(AG62,$AG$6:$AG$74,0))</f>
        <v/>
      </c>
      <c r="AI62" s="52">
        <f>IF(LEN(AB62)&gt;0,1,0)</f>
        <v>0</v>
      </c>
    </row>
    <row r="63" ht="44" customHeight="1">
      <c r="A63" s="38" t="inlineStr">
        <is>
          <t>B14</t>
        </is>
      </c>
      <c r="B63" s="38" t="inlineStr">
        <is>
          <t>DAT</t>
        </is>
      </c>
      <c r="C63" s="54">
        <f>'Score Sandbox'!F83</f>
        <v>0</v>
      </c>
      <c r="D63" s="54">
        <f>IF(COUNTBLANK('Score Sandbox'!G83)&gt;0,"",'Score Sandbox'!G83)</f>
        <v>3</v>
      </c>
      <c r="E63" s="54" t="str">
        <f>IF(OR(C63&lt;&gt;1,AF63=0),"",INDEX('Answer Outcomes'!$J$6:$J$350,$AF63))</f>
        <v/>
      </c>
      <c r="F63" s="54" t="str">
        <f>IF(OR(C63&lt;&gt;1,AF63=0),"",INDEX('Answer Outcomes'!$K$6:$K$350,$AF63))</f>
        <v/>
      </c>
      <c r="G63" s="53" t="inlineStr">
        <is>
          <t>NONE</t>
        </is>
      </c>
      <c r="H63" s="53" t="inlineStr"/>
      <c r="I63" s="53" t="inlineStr"/>
      <c r="J63" s="53" t="inlineStr"/>
      <c r="K63" s="53" t="inlineStr">
        <is>
          <t>Self-report only</t>
        </is>
      </c>
      <c r="L63" s="54">
        <f>IF(OR(C63&lt;&gt;1,AF63=0),0,IF(G63="LIVE_HARM",'Risk Method'!$B$10,IF(G63="LIVE_ISSUE",MAX(E63,'Risk Method'!$B$9),IF(AND(OR(G63="SYSTEMIC",G63="MATTER_UNCLEAR"),D63&amp;""="3"),0,IF(G63="SYSTEMIC",IF(E63=0,0,MIN('Risk Method'!$B$9,E63+1)),E63)))))</f>
        <v>0</v>
      </c>
      <c r="M63" s="54" t="str">
        <f>IF(C63&lt;&gt;1,"Not assessed",IF(AF63=0,"Incomplete",VLOOKUP(L63,'Risk Method'!$F$6:$H$10,2,FALSE)))</f>
        <v>Not assessed</v>
      </c>
      <c r="N63" s="54">
        <f>IF(OR(C63&lt;&gt;1,AF63=0),0,IF(G63="LIVE_HARM",'Risk Method'!$B$10,IF(G63="NONE",F63,IF(G63="SYSTEMIC",MIN('Risk Method'!$B$9,MAX(F63+1,IF(D63&amp;""="3",'Risk Method'!$B$9,0))),MAX(F63,'Risk Method'!$B$9)))))</f>
        <v>0</v>
      </c>
      <c r="O63" s="54" t="str">
        <f>IF(N63=0,"Not assessed",VLOOKUP(N63,'Risk Method'!$F$6:$H$10,3,FALSE))</f>
        <v>Not assessed</v>
      </c>
      <c r="P63" s="54" t="str">
        <f>IF(OR(C63&lt;&gt;1,AF63=0),"",INDEX('Answer Outcomes'!$E$6:$E$350,$AF63))</f>
        <v/>
      </c>
      <c r="Q63" s="54" t="str">
        <f>IF(OR(C63&lt;&gt;1,AF63=0),"",INDEX('Answer Outcomes'!$G$6:$G$350,$AF63))</f>
        <v/>
      </c>
      <c r="R63" s="54" t="str">
        <f>IF(OR(C63&lt;&gt;1,AF63=0),"",IF(G63="LIVE_HARM","Protect people and contain the reported exposure now. Seek appropriate urgent assistance and arrange a competent review. Do not wait for this assessment or a sales appointment.",IF(OR(G63="LIVE_ISSUE",AND(G63="SYSTEMIC",D63&amp;""="3")),"Review the reported current matter and reconcile it with the maturity answer before relying on the result. Preserve relevant evidence, allocate an impartial owner and assess immediate safeguards. Context: "&amp;H63,IF(G63="DEADLINE","Confirm the actual deadline and complete the necessary checks before the affected event. "&amp;INDEX('Answer Outcomes'!$M$6:$M$350,$AF63),IF(G63="MATTER_UNCLEAR","Confirm promptly whether the time-sensitive matter exists and who owns the response. Do not treat uncertainty as proof of an incident. "&amp;INDEX('Answer Outcomes'!$M$6:$M$350,$AF63),INDEX('Answer Outcomes'!$M$6:$M$350,$AF63))))))</f>
        <v/>
      </c>
      <c r="S63" s="54" t="str">
        <f>IF(OR(C63&lt;&gt;1,AF63=0),"","1. "&amp;INDEX('Answer Outcomes'!$N$6:$N$350,$AF63)&amp;CHAR(10)&amp;"2. "&amp;INDEX('Answer Outcomes'!$O$6:$O$350,$AF63))</f>
        <v/>
      </c>
      <c r="T63" s="54" t="str">
        <f>IF(OR(C63&lt;&gt;1,AF63=0),"",IF(G63="NONE",INDEX('Answer Outcomes'!$L$6:$L$350,$AF63),"Context "&amp;G63&amp;": "&amp;H63&amp;". Scope: "&amp;I63&amp;". "&amp;IF(G63="DEADLINE","The deadline raises action urgency; it does not establish a breach or automatically raise the risk rating.",IF(D63&amp;""="3","The current context takes precedence over a reassuring maturity answer.","The rating remains provisional; the matter has not been independently verified."))))</f>
        <v/>
      </c>
      <c r="U63" s="54" t="str">
        <f>IF(OR(C63&lt;&gt;1,AF63=0),"",INDEX('Answer Outcomes'!$Q$6:$Q$350,$AF63))</f>
        <v/>
      </c>
      <c r="V63" s="54" t="str">
        <f>IF(OR(C63&lt;&gt;1,AF63=0),"",INDEX('Answer Outcomes'!$T$6:$T$350,$AF63))</f>
        <v/>
      </c>
      <c r="W63" s="54" t="str">
        <f>IF(N63=0,"",IF(N63='Risk Method'!$B$10,"Act now. Immediate protective action and appropriate urgent advice take precedence.",IF(N63='Risk Method'!$B$9,"Review or verify within "&amp;'Risk Method'!$B$11&amp;" business days, or before an earlier duty/event. Do not wait where harm or law requires immediate action.",IF(N63='Risk Method'!$B$8,"Agree and start a plan within "&amp;'Risk Method'!$B$12&amp;" days, or before an earlier affected event.","Maintain at the stated trigger; plan any discretionary improvement within "&amp;'Risk Method'!$B$13&amp;" days.")))&amp;IF(J63="",""," Next event: "&amp;J63))</f>
        <v/>
      </c>
      <c r="X63" s="54" t="str">
        <f>IF(OR(C63&lt;&gt;1,AF63=0),"",INDEX('Answer Outcomes'!$V$6:$V$350,$AF63))</f>
        <v/>
      </c>
      <c r="Y63" s="54" t="str">
        <f>IF(C63&lt;&gt;1,"",A63&amp;"_"&amp;D63)</f>
        <v/>
      </c>
      <c r="Z63" s="54">
        <f>IF(N63=0,0,N63*100000+L63*1000+INDEX('Answer Outcomes'!$I$6:$I$350,$AF63)*100+IF(G63="DEADLINE",50,0)+(75-ROW())/100)</f>
        <v>0</v>
      </c>
      <c r="AA63" s="54" t="str">
        <f>IF(Z63=0,"",RANK(Z63,$Z$6:$Z$74,0))</f>
        <v/>
      </c>
      <c r="AB63" s="54" t="str">
        <f>IF(AND(C63&lt;&gt;0,C63&lt;&gt;1),"Invalid eligibility",IF(AND(C63=0,G63&lt;&gt;"NONE"),"Context conflicts with exclusion",IF(C63=0,"",IF(AF63=0,"Missing or invalid answer",IF(AND(G63&lt;&gt;"NONE",G63&lt;&gt;"LIVE_HARM",G63&lt;&gt;"LIVE_ISSUE",G63&lt;&gt;"DEADLINE",G63&lt;&gt;"SYSTEMIC",G63&lt;&gt;"MATTER_UNCLEAR"),"Invalid context code",IF(AND(G63&lt;&gt;"NONE",OR(H63="",I63="")),"Override needs reason and scope",""))))))</f>
        <v/>
      </c>
      <c r="AC63" s="54" t="str">
        <f>IF(OR(C63&lt;&gt;1,AF63=0),"",INDEX('Answer Outcomes'!$S$6:$S$350,$AF63))</f>
        <v/>
      </c>
      <c r="AD63" s="54" t="str">
        <f>IF(OR(C63&lt;&gt;1,AF63=0),"",INDEX('Answer Outcomes'!$Y$6:$Y$350,$AF63))</f>
        <v/>
      </c>
      <c r="AE63" s="38" t="inlineStr">
        <is>
          <t>DAT02;REC02</t>
        </is>
      </c>
      <c r="AF63" s="54">
        <f>IF(C63&lt;&gt;1,0,IFERROR(MATCH(Y63,'Answer Outcomes'!$A$6:$A$350,0),0))</f>
        <v>0</v>
      </c>
      <c r="AG63" s="54">
        <f>IF(N63&lt;'Risk Method'!$B$8,0,IF(COUNTIFS($X$6:$X$74,X63,$Z$6:$Z$74,"&gt;"&amp;Z63)=0,Z63,0))</f>
        <v>0</v>
      </c>
      <c r="AH63" s="54" t="str">
        <f>IF(AG63=0,"",RANK(AG63,$AG$6:$AG$74,0))</f>
        <v/>
      </c>
      <c r="AI63" s="54">
        <f>IF(LEN(AB63)&gt;0,1,0)</f>
        <v>0</v>
      </c>
    </row>
    <row r="64" ht="44" customHeight="1">
      <c r="A64" s="37" t="inlineStr">
        <is>
          <t>B15</t>
        </is>
      </c>
      <c r="B64" s="37" t="inlineStr">
        <is>
          <t>WHS</t>
        </is>
      </c>
      <c r="C64" s="52">
        <f>'Score Sandbox'!F84</f>
        <v>0</v>
      </c>
      <c r="D64" s="52">
        <f>IF(COUNTBLANK('Score Sandbox'!G84)&gt;0,"",'Score Sandbox'!G84)</f>
        <v>3</v>
      </c>
      <c r="E64" s="52" t="str">
        <f>IF(OR(C64&lt;&gt;1,AF64=0),"",INDEX('Answer Outcomes'!$J$6:$J$350,$AF64))</f>
        <v/>
      </c>
      <c r="F64" s="52" t="str">
        <f>IF(OR(C64&lt;&gt;1,AF64=0),"",INDEX('Answer Outcomes'!$K$6:$K$350,$AF64))</f>
        <v/>
      </c>
      <c r="G64" s="53" t="inlineStr">
        <is>
          <t>NONE</t>
        </is>
      </c>
      <c r="H64" s="53" t="inlineStr"/>
      <c r="I64" s="53" t="inlineStr"/>
      <c r="J64" s="53" t="inlineStr"/>
      <c r="K64" s="53" t="inlineStr">
        <is>
          <t>Self-report only</t>
        </is>
      </c>
      <c r="L64" s="52">
        <f>IF(OR(C64&lt;&gt;1,AF64=0),0,IF(G64="LIVE_HARM",'Risk Method'!$B$10,IF(G64="LIVE_ISSUE",MAX(E64,'Risk Method'!$B$9),IF(AND(OR(G64="SYSTEMIC",G64="MATTER_UNCLEAR"),D64&amp;""="3"),0,IF(G64="SYSTEMIC",IF(E64=0,0,MIN('Risk Method'!$B$9,E64+1)),E64)))))</f>
        <v>0</v>
      </c>
      <c r="M64" s="52" t="str">
        <f>IF(C64&lt;&gt;1,"Not assessed",IF(AF64=0,"Incomplete",VLOOKUP(L64,'Risk Method'!$F$6:$H$10,2,FALSE)))</f>
        <v>Not assessed</v>
      </c>
      <c r="N64" s="52">
        <f>IF(OR(C64&lt;&gt;1,AF64=0),0,IF(G64="LIVE_HARM",'Risk Method'!$B$10,IF(G64="NONE",F64,IF(G64="SYSTEMIC",MIN('Risk Method'!$B$9,MAX(F64+1,IF(D64&amp;""="3",'Risk Method'!$B$9,0))),MAX(F64,'Risk Method'!$B$9)))))</f>
        <v>0</v>
      </c>
      <c r="O64" s="52" t="str">
        <f>IF(N64=0,"Not assessed",VLOOKUP(N64,'Risk Method'!$F$6:$H$10,3,FALSE))</f>
        <v>Not assessed</v>
      </c>
      <c r="P64" s="52" t="str">
        <f>IF(OR(C64&lt;&gt;1,AF64=0),"",INDEX('Answer Outcomes'!$E$6:$E$350,$AF64))</f>
        <v/>
      </c>
      <c r="Q64" s="52" t="str">
        <f>IF(OR(C64&lt;&gt;1,AF64=0),"",INDEX('Answer Outcomes'!$G$6:$G$350,$AF64))</f>
        <v/>
      </c>
      <c r="R64" s="52" t="str">
        <f>IF(OR(C64&lt;&gt;1,AF64=0),"",IF(G64="LIVE_HARM","Protect people and contain the reported exposure now. Seek appropriate urgent assistance and arrange a competent review. Do not wait for this assessment or a sales appointment.",IF(OR(G64="LIVE_ISSUE",AND(G64="SYSTEMIC",D64&amp;""="3")),"Review the reported current matter and reconcile it with the maturity answer before relying on the result. Preserve relevant evidence, allocate an impartial owner and assess immediate safeguards. Context: "&amp;H64,IF(G64="DEADLINE","Confirm the actual deadline and complete the necessary checks before the affected event. "&amp;INDEX('Answer Outcomes'!$M$6:$M$350,$AF64),IF(G64="MATTER_UNCLEAR","Confirm promptly whether the time-sensitive matter exists and who owns the response. Do not treat uncertainty as proof of an incident. "&amp;INDEX('Answer Outcomes'!$M$6:$M$350,$AF64),INDEX('Answer Outcomes'!$M$6:$M$350,$AF64))))))</f>
        <v/>
      </c>
      <c r="S64" s="52" t="str">
        <f>IF(OR(C64&lt;&gt;1,AF64=0),"","1. "&amp;INDEX('Answer Outcomes'!$N$6:$N$350,$AF64)&amp;CHAR(10)&amp;"2. "&amp;INDEX('Answer Outcomes'!$O$6:$O$350,$AF64))</f>
        <v/>
      </c>
      <c r="T64" s="52" t="str">
        <f>IF(OR(C64&lt;&gt;1,AF64=0),"",IF(G64="NONE",INDEX('Answer Outcomes'!$L$6:$L$350,$AF64),"Context "&amp;G64&amp;": "&amp;H64&amp;". Scope: "&amp;I64&amp;". "&amp;IF(G64="DEADLINE","The deadline raises action urgency; it does not establish a breach or automatically raise the risk rating.",IF(D64&amp;""="3","The current context takes precedence over a reassuring maturity answer.","The rating remains provisional; the matter has not been independently verified."))))</f>
        <v/>
      </c>
      <c r="U64" s="52" t="str">
        <f>IF(OR(C64&lt;&gt;1,AF64=0),"",INDEX('Answer Outcomes'!$Q$6:$Q$350,$AF64))</f>
        <v/>
      </c>
      <c r="V64" s="52" t="str">
        <f>IF(OR(C64&lt;&gt;1,AF64=0),"",INDEX('Answer Outcomes'!$T$6:$T$350,$AF64))</f>
        <v/>
      </c>
      <c r="W64" s="52" t="str">
        <f>IF(N64=0,"",IF(N64='Risk Method'!$B$10,"Act now. Immediate protective action and appropriate urgent advice take precedence.",IF(N64='Risk Method'!$B$9,"Review or verify within "&amp;'Risk Method'!$B$11&amp;" business days, or before an earlier duty/event. Do not wait where harm or law requires immediate action.",IF(N64='Risk Method'!$B$8,"Agree and start a plan within "&amp;'Risk Method'!$B$12&amp;" days, or before an earlier affected event.","Maintain at the stated trigger; plan any discretionary improvement within "&amp;'Risk Method'!$B$13&amp;" days.")))&amp;IF(J64="",""," Next event: "&amp;J64))</f>
        <v/>
      </c>
      <c r="X64" s="52" t="str">
        <f>IF(OR(C64&lt;&gt;1,AF64=0),"",INDEX('Answer Outcomes'!$V$6:$V$350,$AF64))</f>
        <v/>
      </c>
      <c r="Y64" s="52" t="str">
        <f>IF(C64&lt;&gt;1,"",A64&amp;"_"&amp;D64)</f>
        <v/>
      </c>
      <c r="Z64" s="52">
        <f>IF(N64=0,0,N64*100000+L64*1000+INDEX('Answer Outcomes'!$I$6:$I$350,$AF64)*100+IF(G64="DEADLINE",50,0)+(75-ROW())/100)</f>
        <v>0</v>
      </c>
      <c r="AA64" s="52" t="str">
        <f>IF(Z64=0,"",RANK(Z64,$Z$6:$Z$74,0))</f>
        <v/>
      </c>
      <c r="AB64" s="52" t="str">
        <f>IF(AND(C64&lt;&gt;0,C64&lt;&gt;1),"Invalid eligibility",IF(AND(C64=0,G64&lt;&gt;"NONE"),"Context conflicts with exclusion",IF(C64=0,"",IF(AF64=0,"Missing or invalid answer",IF(AND(G64&lt;&gt;"NONE",G64&lt;&gt;"LIVE_HARM",G64&lt;&gt;"LIVE_ISSUE",G64&lt;&gt;"DEADLINE",G64&lt;&gt;"SYSTEMIC",G64&lt;&gt;"MATTER_UNCLEAR"),"Invalid context code",IF(AND(G64&lt;&gt;"NONE",OR(H64="",I64="")),"Override needs reason and scope",""))))))</f>
        <v/>
      </c>
      <c r="AC64" s="52" t="str">
        <f>IF(OR(C64&lt;&gt;1,AF64=0),"",INDEX('Answer Outcomes'!$S$6:$S$350,$AF64))</f>
        <v/>
      </c>
      <c r="AD64" s="52" t="str">
        <f>IF(OR(C64&lt;&gt;1,AF64=0),"",INDEX('Answer Outcomes'!$Y$6:$Y$350,$AF64))</f>
        <v/>
      </c>
      <c r="AE64" s="37" t="inlineStr">
        <is>
          <t>WHS01;WHS02</t>
        </is>
      </c>
      <c r="AF64" s="52">
        <f>IF(C64&lt;&gt;1,0,IFERROR(MATCH(Y64,'Answer Outcomes'!$A$6:$A$350,0),0))</f>
        <v>0</v>
      </c>
      <c r="AG64" s="52">
        <f>IF(N64&lt;'Risk Method'!$B$8,0,IF(COUNTIFS($X$6:$X$74,X64,$Z$6:$Z$74,"&gt;"&amp;Z64)=0,Z64,0))</f>
        <v>0</v>
      </c>
      <c r="AH64" s="52" t="str">
        <f>IF(AG64=0,"",RANK(AG64,$AG$6:$AG$74,0))</f>
        <v/>
      </c>
      <c r="AI64" s="52">
        <f>IF(LEN(AB64)&gt;0,1,0)</f>
        <v>0</v>
      </c>
    </row>
    <row r="65" ht="44" customHeight="1">
      <c r="A65" s="38" t="inlineStr">
        <is>
          <t>B16</t>
        </is>
      </c>
      <c r="B65" s="38" t="inlineStr">
        <is>
          <t>CUL</t>
        </is>
      </c>
      <c r="C65" s="54">
        <f>'Score Sandbox'!F85</f>
        <v>0</v>
      </c>
      <c r="D65" s="54">
        <f>IF(COUNTBLANK('Score Sandbox'!G85)&gt;0,"",'Score Sandbox'!G85)</f>
        <v>3</v>
      </c>
      <c r="E65" s="54" t="str">
        <f>IF(OR(C65&lt;&gt;1,AF65=0),"",INDEX('Answer Outcomes'!$J$6:$J$350,$AF65))</f>
        <v/>
      </c>
      <c r="F65" s="54" t="str">
        <f>IF(OR(C65&lt;&gt;1,AF65=0),"",INDEX('Answer Outcomes'!$K$6:$K$350,$AF65))</f>
        <v/>
      </c>
      <c r="G65" s="53" t="inlineStr">
        <is>
          <t>NONE</t>
        </is>
      </c>
      <c r="H65" s="53" t="inlineStr"/>
      <c r="I65" s="53" t="inlineStr"/>
      <c r="J65" s="53" t="inlineStr"/>
      <c r="K65" s="53" t="inlineStr">
        <is>
          <t>Self-report only</t>
        </is>
      </c>
      <c r="L65" s="54">
        <f>IF(OR(C65&lt;&gt;1,AF65=0),0,IF(G65="LIVE_HARM",'Risk Method'!$B$10,IF(G65="LIVE_ISSUE",MAX(E65,'Risk Method'!$B$9),IF(AND(OR(G65="SYSTEMIC",G65="MATTER_UNCLEAR"),D65&amp;""="3"),0,IF(G65="SYSTEMIC",IF(E65=0,0,MIN('Risk Method'!$B$9,E65+1)),E65)))))</f>
        <v>0</v>
      </c>
      <c r="M65" s="54" t="str">
        <f>IF(C65&lt;&gt;1,"Not assessed",IF(AF65=0,"Incomplete",VLOOKUP(L65,'Risk Method'!$F$6:$H$10,2,FALSE)))</f>
        <v>Not assessed</v>
      </c>
      <c r="N65" s="54">
        <f>IF(OR(C65&lt;&gt;1,AF65=0),0,IF(G65="LIVE_HARM",'Risk Method'!$B$10,IF(G65="NONE",F65,IF(G65="SYSTEMIC",MIN('Risk Method'!$B$9,MAX(F65+1,IF(D65&amp;""="3",'Risk Method'!$B$9,0))),MAX(F65,'Risk Method'!$B$9)))))</f>
        <v>0</v>
      </c>
      <c r="O65" s="54" t="str">
        <f>IF(N65=0,"Not assessed",VLOOKUP(N65,'Risk Method'!$F$6:$H$10,3,FALSE))</f>
        <v>Not assessed</v>
      </c>
      <c r="P65" s="54" t="str">
        <f>IF(OR(C65&lt;&gt;1,AF65=0),"",INDEX('Answer Outcomes'!$E$6:$E$350,$AF65))</f>
        <v/>
      </c>
      <c r="Q65" s="54" t="str">
        <f>IF(OR(C65&lt;&gt;1,AF65=0),"",INDEX('Answer Outcomes'!$G$6:$G$350,$AF65))</f>
        <v/>
      </c>
      <c r="R65" s="54" t="str">
        <f>IF(OR(C65&lt;&gt;1,AF65=0),"",IF(G65="LIVE_HARM","Protect people and contain the reported exposure now. Seek appropriate urgent assistance and arrange a competent review. Do not wait for this assessment or a sales appointment.",IF(OR(G65="LIVE_ISSUE",AND(G65="SYSTEMIC",D65&amp;""="3")),"Review the reported current matter and reconcile it with the maturity answer before relying on the result. Preserve relevant evidence, allocate an impartial owner and assess immediate safeguards. Context: "&amp;H65,IF(G65="DEADLINE","Confirm the actual deadline and complete the necessary checks before the affected event. "&amp;INDEX('Answer Outcomes'!$M$6:$M$350,$AF65),IF(G65="MATTER_UNCLEAR","Confirm promptly whether the time-sensitive matter exists and who owns the response. Do not treat uncertainty as proof of an incident. "&amp;INDEX('Answer Outcomes'!$M$6:$M$350,$AF65),INDEX('Answer Outcomes'!$M$6:$M$350,$AF65))))))</f>
        <v/>
      </c>
      <c r="S65" s="54" t="str">
        <f>IF(OR(C65&lt;&gt;1,AF65=0),"","1. "&amp;INDEX('Answer Outcomes'!$N$6:$N$350,$AF65)&amp;CHAR(10)&amp;"2. "&amp;INDEX('Answer Outcomes'!$O$6:$O$350,$AF65))</f>
        <v/>
      </c>
      <c r="T65" s="54" t="str">
        <f>IF(OR(C65&lt;&gt;1,AF65=0),"",IF(G65="NONE",INDEX('Answer Outcomes'!$L$6:$L$350,$AF65),"Context "&amp;G65&amp;": "&amp;H65&amp;". Scope: "&amp;I65&amp;". "&amp;IF(G65="DEADLINE","The deadline raises action urgency; it does not establish a breach or automatically raise the risk rating.",IF(D65&amp;""="3","The current context takes precedence over a reassuring maturity answer.","The rating remains provisional; the matter has not been independently verified."))))</f>
        <v/>
      </c>
      <c r="U65" s="54" t="str">
        <f>IF(OR(C65&lt;&gt;1,AF65=0),"",INDEX('Answer Outcomes'!$Q$6:$Q$350,$AF65))</f>
        <v/>
      </c>
      <c r="V65" s="54" t="str">
        <f>IF(OR(C65&lt;&gt;1,AF65=0),"",INDEX('Answer Outcomes'!$T$6:$T$350,$AF65))</f>
        <v/>
      </c>
      <c r="W65" s="54" t="str">
        <f>IF(N65=0,"",IF(N65='Risk Method'!$B$10,"Act now. Immediate protective action and appropriate urgent advice take precedence.",IF(N65='Risk Method'!$B$9,"Review or verify within "&amp;'Risk Method'!$B$11&amp;" business days, or before an earlier duty/event. Do not wait where harm or law requires immediate action.",IF(N65='Risk Method'!$B$8,"Agree and start a plan within "&amp;'Risk Method'!$B$12&amp;" days, or before an earlier affected event.","Maintain at the stated trigger; plan any discretionary improvement within "&amp;'Risk Method'!$B$13&amp;" days.")))&amp;IF(J65="",""," Next event: "&amp;J65))</f>
        <v/>
      </c>
      <c r="X65" s="54" t="str">
        <f>IF(OR(C65&lt;&gt;1,AF65=0),"",INDEX('Answer Outcomes'!$V$6:$V$350,$AF65))</f>
        <v/>
      </c>
      <c r="Y65" s="54" t="str">
        <f>IF(C65&lt;&gt;1,"",A65&amp;"_"&amp;D65)</f>
        <v/>
      </c>
      <c r="Z65" s="54">
        <f>IF(N65=0,0,N65*100000+L65*1000+INDEX('Answer Outcomes'!$I$6:$I$350,$AF65)*100+IF(G65="DEADLINE",50,0)+(75-ROW())/100)</f>
        <v>0</v>
      </c>
      <c r="AA65" s="54" t="str">
        <f>IF(Z65=0,"",RANK(Z65,$Z$6:$Z$74,0))</f>
        <v/>
      </c>
      <c r="AB65" s="54" t="str">
        <f>IF(AND(C65&lt;&gt;0,C65&lt;&gt;1),"Invalid eligibility",IF(AND(C65=0,G65&lt;&gt;"NONE"),"Context conflicts with exclusion",IF(C65=0,"",IF(AF65=0,"Missing or invalid answer",IF(AND(G65&lt;&gt;"NONE",G65&lt;&gt;"LIVE_HARM",G65&lt;&gt;"LIVE_ISSUE",G65&lt;&gt;"DEADLINE",G65&lt;&gt;"SYSTEMIC",G65&lt;&gt;"MATTER_UNCLEAR"),"Invalid context code",IF(AND(G65&lt;&gt;"NONE",OR(H65="",I65="")),"Override needs reason and scope",""))))))</f>
        <v/>
      </c>
      <c r="AC65" s="54" t="str">
        <f>IF(OR(C65&lt;&gt;1,AF65=0),"",INDEX('Answer Outcomes'!$S$6:$S$350,$AF65))</f>
        <v/>
      </c>
      <c r="AD65" s="54" t="str">
        <f>IF(OR(C65&lt;&gt;1,AF65=0),"",INDEX('Answer Outcomes'!$Y$6:$Y$350,$AF65))</f>
        <v/>
      </c>
      <c r="AE65" s="38" t="inlineStr">
        <is>
          <t>None</t>
        </is>
      </c>
      <c r="AF65" s="54">
        <f>IF(C65&lt;&gt;1,0,IFERROR(MATCH(Y65,'Answer Outcomes'!$A$6:$A$350,0),0))</f>
        <v>0</v>
      </c>
      <c r="AG65" s="54">
        <f>IF(N65&lt;'Risk Method'!$B$8,0,IF(COUNTIFS($X$6:$X$74,X65,$Z$6:$Z$74,"&gt;"&amp;Z65)=0,Z65,0))</f>
        <v>0</v>
      </c>
      <c r="AH65" s="54" t="str">
        <f>IF(AG65=0,"",RANK(AG65,$AG$6:$AG$74,0))</f>
        <v/>
      </c>
      <c r="AI65" s="54">
        <f>IF(LEN(AB65)&gt;0,1,0)</f>
        <v>0</v>
      </c>
    </row>
    <row r="66" ht="44" customHeight="1">
      <c r="A66" s="37" t="inlineStr">
        <is>
          <t>B17</t>
        </is>
      </c>
      <c r="B66" s="37" t="inlineStr">
        <is>
          <t>EXT</t>
        </is>
      </c>
      <c r="C66" s="52">
        <f>'Score Sandbox'!F86</f>
        <v>0</v>
      </c>
      <c r="D66" s="52">
        <f>IF(COUNTBLANK('Score Sandbox'!G86)&gt;0,"",'Score Sandbox'!G86)</f>
        <v>3</v>
      </c>
      <c r="E66" s="52" t="str">
        <f>IF(OR(C66&lt;&gt;1,AF66=0),"",INDEX('Answer Outcomes'!$J$6:$J$350,$AF66))</f>
        <v/>
      </c>
      <c r="F66" s="52" t="str">
        <f>IF(OR(C66&lt;&gt;1,AF66=0),"",INDEX('Answer Outcomes'!$K$6:$K$350,$AF66))</f>
        <v/>
      </c>
      <c r="G66" s="53" t="inlineStr">
        <is>
          <t>NONE</t>
        </is>
      </c>
      <c r="H66" s="53" t="inlineStr"/>
      <c r="I66" s="53" t="inlineStr"/>
      <c r="J66" s="53" t="inlineStr"/>
      <c r="K66" s="53" t="inlineStr">
        <is>
          <t>Self-report only</t>
        </is>
      </c>
      <c r="L66" s="52">
        <f>IF(OR(C66&lt;&gt;1,AF66=0),0,IF(G66="LIVE_HARM",'Risk Method'!$B$10,IF(G66="LIVE_ISSUE",MAX(E66,'Risk Method'!$B$9),IF(AND(OR(G66="SYSTEMIC",G66="MATTER_UNCLEAR"),D66&amp;""="3"),0,IF(G66="SYSTEMIC",IF(E66=0,0,MIN('Risk Method'!$B$9,E66+1)),E66)))))</f>
        <v>0</v>
      </c>
      <c r="M66" s="52" t="str">
        <f>IF(C66&lt;&gt;1,"Not assessed",IF(AF66=0,"Incomplete",VLOOKUP(L66,'Risk Method'!$F$6:$H$10,2,FALSE)))</f>
        <v>Not assessed</v>
      </c>
      <c r="N66" s="52">
        <f>IF(OR(C66&lt;&gt;1,AF66=0),0,IF(G66="LIVE_HARM",'Risk Method'!$B$10,IF(G66="NONE",F66,IF(G66="SYSTEMIC",MIN('Risk Method'!$B$9,MAX(F66+1,IF(D66&amp;""="3",'Risk Method'!$B$9,0))),MAX(F66,'Risk Method'!$B$9)))))</f>
        <v>0</v>
      </c>
      <c r="O66" s="52" t="str">
        <f>IF(N66=0,"Not assessed",VLOOKUP(N66,'Risk Method'!$F$6:$H$10,3,FALSE))</f>
        <v>Not assessed</v>
      </c>
      <c r="P66" s="52" t="str">
        <f>IF(OR(C66&lt;&gt;1,AF66=0),"",INDEX('Answer Outcomes'!$E$6:$E$350,$AF66))</f>
        <v/>
      </c>
      <c r="Q66" s="52" t="str">
        <f>IF(OR(C66&lt;&gt;1,AF66=0),"",INDEX('Answer Outcomes'!$G$6:$G$350,$AF66))</f>
        <v/>
      </c>
      <c r="R66" s="52" t="str">
        <f>IF(OR(C66&lt;&gt;1,AF66=0),"",IF(G66="LIVE_HARM","Protect people and contain the reported exposure now. Seek appropriate urgent assistance and arrange a competent review. Do not wait for this assessment or a sales appointment.",IF(OR(G66="LIVE_ISSUE",AND(G66="SYSTEMIC",D66&amp;""="3")),"Review the reported current matter and reconcile it with the maturity answer before relying on the result. Preserve relevant evidence, allocate an impartial owner and assess immediate safeguards. Context: "&amp;H66,IF(G66="DEADLINE","Confirm the actual deadline and complete the necessary checks before the affected event. "&amp;INDEX('Answer Outcomes'!$M$6:$M$350,$AF66),IF(G66="MATTER_UNCLEAR","Confirm promptly whether the time-sensitive matter exists and who owns the response. Do not treat uncertainty as proof of an incident. "&amp;INDEX('Answer Outcomes'!$M$6:$M$350,$AF66),INDEX('Answer Outcomes'!$M$6:$M$350,$AF66))))))</f>
        <v/>
      </c>
      <c r="S66" s="52" t="str">
        <f>IF(OR(C66&lt;&gt;1,AF66=0),"","1. "&amp;INDEX('Answer Outcomes'!$N$6:$N$350,$AF66)&amp;CHAR(10)&amp;"2. "&amp;INDEX('Answer Outcomes'!$O$6:$O$350,$AF66))</f>
        <v/>
      </c>
      <c r="T66" s="52" t="str">
        <f>IF(OR(C66&lt;&gt;1,AF66=0),"",IF(G66="NONE",INDEX('Answer Outcomes'!$L$6:$L$350,$AF66),"Context "&amp;G66&amp;": "&amp;H66&amp;". Scope: "&amp;I66&amp;". "&amp;IF(G66="DEADLINE","The deadline raises action urgency; it does not establish a breach or automatically raise the risk rating.",IF(D66&amp;""="3","The current context takes precedence over a reassuring maturity answer.","The rating remains provisional; the matter has not been independently verified."))))</f>
        <v/>
      </c>
      <c r="U66" s="52" t="str">
        <f>IF(OR(C66&lt;&gt;1,AF66=0),"",INDEX('Answer Outcomes'!$Q$6:$Q$350,$AF66))</f>
        <v/>
      </c>
      <c r="V66" s="52" t="str">
        <f>IF(OR(C66&lt;&gt;1,AF66=0),"",INDEX('Answer Outcomes'!$T$6:$T$350,$AF66))</f>
        <v/>
      </c>
      <c r="W66" s="52" t="str">
        <f>IF(N66=0,"",IF(N66='Risk Method'!$B$10,"Act now. Immediate protective action and appropriate urgent advice take precedence.",IF(N66='Risk Method'!$B$9,"Review or verify within "&amp;'Risk Method'!$B$11&amp;" business days, or before an earlier duty/event. Do not wait where harm or law requires immediate action.",IF(N66='Risk Method'!$B$8,"Agree and start a plan within "&amp;'Risk Method'!$B$12&amp;" days, or before an earlier affected event.","Maintain at the stated trigger; plan any discretionary improvement within "&amp;'Risk Method'!$B$13&amp;" days.")))&amp;IF(J66="",""," Next event: "&amp;J66))</f>
        <v/>
      </c>
      <c r="X66" s="52" t="str">
        <f>IF(OR(C66&lt;&gt;1,AF66=0),"",INDEX('Answer Outcomes'!$V$6:$V$350,$AF66))</f>
        <v/>
      </c>
      <c r="Y66" s="52" t="str">
        <f>IF(C66&lt;&gt;1,"",A66&amp;"_"&amp;D66)</f>
        <v/>
      </c>
      <c r="Z66" s="52">
        <f>IF(N66=0,0,N66*100000+L66*1000+INDEX('Answer Outcomes'!$I$6:$I$350,$AF66)*100+IF(G66="DEADLINE",50,0)+(75-ROW())/100)</f>
        <v>0</v>
      </c>
      <c r="AA66" s="52" t="str">
        <f>IF(Z66=0,"",RANK(Z66,$Z$6:$Z$74,0))</f>
        <v/>
      </c>
      <c r="AB66" s="52" t="str">
        <f>IF(AND(C66&lt;&gt;0,C66&lt;&gt;1),"Invalid eligibility",IF(AND(C66=0,G66&lt;&gt;"NONE"),"Context conflicts with exclusion",IF(C66=0,"",IF(AF66=0,"Missing or invalid answer",IF(AND(G66&lt;&gt;"NONE",G66&lt;&gt;"LIVE_HARM",G66&lt;&gt;"LIVE_ISSUE",G66&lt;&gt;"DEADLINE",G66&lt;&gt;"SYSTEMIC",G66&lt;&gt;"MATTER_UNCLEAR"),"Invalid context code",IF(AND(G66&lt;&gt;"NONE",OR(H66="",I66="")),"Override needs reason and scope",""))))))</f>
        <v/>
      </c>
      <c r="AC66" s="52" t="str">
        <f>IF(OR(C66&lt;&gt;1,AF66=0),"",INDEX('Answer Outcomes'!$S$6:$S$350,$AF66))</f>
        <v/>
      </c>
      <c r="AD66" s="52" t="str">
        <f>IF(OR(C66&lt;&gt;1,AF66=0),"",INDEX('Answer Outcomes'!$Y$6:$Y$350,$AF66))</f>
        <v/>
      </c>
      <c r="AE66" s="37" t="inlineStr">
        <is>
          <t>EXT01;B21</t>
        </is>
      </c>
      <c r="AF66" s="52">
        <f>IF(C66&lt;&gt;1,0,IFERROR(MATCH(Y66,'Answer Outcomes'!$A$6:$A$350,0),0))</f>
        <v>0</v>
      </c>
      <c r="AG66" s="52">
        <f>IF(N66&lt;'Risk Method'!$B$8,0,IF(COUNTIFS($X$6:$X$74,X66,$Z$6:$Z$74,"&gt;"&amp;Z66)=0,Z66,0))</f>
        <v>0</v>
      </c>
      <c r="AH66" s="52" t="str">
        <f>IF(AG66=0,"",RANK(AG66,$AG$6:$AG$74,0))</f>
        <v/>
      </c>
      <c r="AI66" s="52">
        <f>IF(LEN(AB66)&gt;0,1,0)</f>
        <v>0</v>
      </c>
    </row>
    <row r="67" ht="44" customHeight="1">
      <c r="A67" s="38" t="inlineStr">
        <is>
          <t>B18</t>
        </is>
      </c>
      <c r="B67" s="38" t="inlineStr">
        <is>
          <t>PER</t>
        </is>
      </c>
      <c r="C67" s="54">
        <f>'Score Sandbox'!F87</f>
        <v>0</v>
      </c>
      <c r="D67" s="54">
        <f>IF(COUNTBLANK('Score Sandbox'!G87)&gt;0,"",'Score Sandbox'!G87)</f>
        <v>3</v>
      </c>
      <c r="E67" s="54" t="str">
        <f>IF(OR(C67&lt;&gt;1,AF67=0),"",INDEX('Answer Outcomes'!$J$6:$J$350,$AF67))</f>
        <v/>
      </c>
      <c r="F67" s="54" t="str">
        <f>IF(OR(C67&lt;&gt;1,AF67=0),"",INDEX('Answer Outcomes'!$K$6:$K$350,$AF67))</f>
        <v/>
      </c>
      <c r="G67" s="53" t="inlineStr">
        <is>
          <t>NONE</t>
        </is>
      </c>
      <c r="H67" s="53" t="inlineStr"/>
      <c r="I67" s="53" t="inlineStr"/>
      <c r="J67" s="53" t="inlineStr"/>
      <c r="K67" s="53" t="inlineStr">
        <is>
          <t>Self-report only</t>
        </is>
      </c>
      <c r="L67" s="54">
        <f>IF(OR(C67&lt;&gt;1,AF67=0),0,IF(G67="LIVE_HARM",'Risk Method'!$B$10,IF(G67="LIVE_ISSUE",MAX(E67,'Risk Method'!$B$9),IF(AND(OR(G67="SYSTEMIC",G67="MATTER_UNCLEAR"),D67&amp;""="3"),0,IF(G67="SYSTEMIC",IF(E67=0,0,MIN('Risk Method'!$B$9,E67+1)),E67)))))</f>
        <v>0</v>
      </c>
      <c r="M67" s="54" t="str">
        <f>IF(C67&lt;&gt;1,"Not assessed",IF(AF67=0,"Incomplete",VLOOKUP(L67,'Risk Method'!$F$6:$H$10,2,FALSE)))</f>
        <v>Not assessed</v>
      </c>
      <c r="N67" s="54">
        <f>IF(OR(C67&lt;&gt;1,AF67=0),0,IF(G67="LIVE_HARM",'Risk Method'!$B$10,IF(G67="NONE",F67,IF(G67="SYSTEMIC",MIN('Risk Method'!$B$9,MAX(F67+1,IF(D67&amp;""="3",'Risk Method'!$B$9,0))),MAX(F67,'Risk Method'!$B$9)))))</f>
        <v>0</v>
      </c>
      <c r="O67" s="54" t="str">
        <f>IF(N67=0,"Not assessed",VLOOKUP(N67,'Risk Method'!$F$6:$H$10,3,FALSE))</f>
        <v>Not assessed</v>
      </c>
      <c r="P67" s="54" t="str">
        <f>IF(OR(C67&lt;&gt;1,AF67=0),"",INDEX('Answer Outcomes'!$E$6:$E$350,$AF67))</f>
        <v/>
      </c>
      <c r="Q67" s="54" t="str">
        <f>IF(OR(C67&lt;&gt;1,AF67=0),"",INDEX('Answer Outcomes'!$G$6:$G$350,$AF67))</f>
        <v/>
      </c>
      <c r="R67" s="54" t="str">
        <f>IF(OR(C67&lt;&gt;1,AF67=0),"",IF(G67="LIVE_HARM","Protect people and contain the reported exposure now. Seek appropriate urgent assistance and arrange a competent review. Do not wait for this assessment or a sales appointment.",IF(OR(G67="LIVE_ISSUE",AND(G67="SYSTEMIC",D67&amp;""="3")),"Review the reported current matter and reconcile it with the maturity answer before relying on the result. Preserve relevant evidence, allocate an impartial owner and assess immediate safeguards. Context: "&amp;H67,IF(G67="DEADLINE","Confirm the actual deadline and complete the necessary checks before the affected event. "&amp;INDEX('Answer Outcomes'!$M$6:$M$350,$AF67),IF(G67="MATTER_UNCLEAR","Confirm promptly whether the time-sensitive matter exists and who owns the response. Do not treat uncertainty as proof of an incident. "&amp;INDEX('Answer Outcomes'!$M$6:$M$350,$AF67),INDEX('Answer Outcomes'!$M$6:$M$350,$AF67))))))</f>
        <v/>
      </c>
      <c r="S67" s="54" t="str">
        <f>IF(OR(C67&lt;&gt;1,AF67=0),"","1. "&amp;INDEX('Answer Outcomes'!$N$6:$N$350,$AF67)&amp;CHAR(10)&amp;"2. "&amp;INDEX('Answer Outcomes'!$O$6:$O$350,$AF67))</f>
        <v/>
      </c>
      <c r="T67" s="54" t="str">
        <f>IF(OR(C67&lt;&gt;1,AF67=0),"",IF(G67="NONE",INDEX('Answer Outcomes'!$L$6:$L$350,$AF67),"Context "&amp;G67&amp;": "&amp;H67&amp;". Scope: "&amp;I67&amp;". "&amp;IF(G67="DEADLINE","The deadline raises action urgency; it does not establish a breach or automatically raise the risk rating.",IF(D67&amp;""="3","The current context takes precedence over a reassuring maturity answer.","The rating remains provisional; the matter has not been independently verified."))))</f>
        <v/>
      </c>
      <c r="U67" s="54" t="str">
        <f>IF(OR(C67&lt;&gt;1,AF67=0),"",INDEX('Answer Outcomes'!$Q$6:$Q$350,$AF67))</f>
        <v/>
      </c>
      <c r="V67" s="54" t="str">
        <f>IF(OR(C67&lt;&gt;1,AF67=0),"",INDEX('Answer Outcomes'!$T$6:$T$350,$AF67))</f>
        <v/>
      </c>
      <c r="W67" s="54" t="str">
        <f>IF(N67=0,"",IF(N67='Risk Method'!$B$10,"Act now. Immediate protective action and appropriate urgent advice take precedence.",IF(N67='Risk Method'!$B$9,"Review or verify within "&amp;'Risk Method'!$B$11&amp;" business days, or before an earlier duty/event. Do not wait where harm or law requires immediate action.",IF(N67='Risk Method'!$B$8,"Agree and start a plan within "&amp;'Risk Method'!$B$12&amp;" days, or before an earlier affected event.","Maintain at the stated trigger; plan any discretionary improvement within "&amp;'Risk Method'!$B$13&amp;" days.")))&amp;IF(J67="",""," Next event: "&amp;J67))</f>
        <v/>
      </c>
      <c r="X67" s="54" t="str">
        <f>IF(OR(C67&lt;&gt;1,AF67=0),"",INDEX('Answer Outcomes'!$V$6:$V$350,$AF67))</f>
        <v/>
      </c>
      <c r="Y67" s="54" t="str">
        <f>IF(C67&lt;&gt;1,"",A67&amp;"_"&amp;D67)</f>
        <v/>
      </c>
      <c r="Z67" s="54">
        <f>IF(N67=0,0,N67*100000+L67*1000+INDEX('Answer Outcomes'!$I$6:$I$350,$AF67)*100+IF(G67="DEADLINE",50,0)+(75-ROW())/100)</f>
        <v>0</v>
      </c>
      <c r="AA67" s="54" t="str">
        <f>IF(Z67=0,"",RANK(Z67,$Z$6:$Z$74,0))</f>
        <v/>
      </c>
      <c r="AB67" s="54" t="str">
        <f>IF(AND(C67&lt;&gt;0,C67&lt;&gt;1),"Invalid eligibility",IF(AND(C67=0,G67&lt;&gt;"NONE"),"Context conflicts with exclusion",IF(C67=0,"",IF(AF67=0,"Missing or invalid answer",IF(AND(G67&lt;&gt;"NONE",G67&lt;&gt;"LIVE_HARM",G67&lt;&gt;"LIVE_ISSUE",G67&lt;&gt;"DEADLINE",G67&lt;&gt;"SYSTEMIC",G67&lt;&gt;"MATTER_UNCLEAR"),"Invalid context code",IF(AND(G67&lt;&gt;"NONE",OR(H67="",I67="")),"Override needs reason and scope",""))))))</f>
        <v/>
      </c>
      <c r="AC67" s="54" t="str">
        <f>IF(OR(C67&lt;&gt;1,AF67=0),"",INDEX('Answer Outcomes'!$S$6:$S$350,$AF67))</f>
        <v/>
      </c>
      <c r="AD67" s="54" t="str">
        <f>IF(OR(C67&lt;&gt;1,AF67=0),"",INDEX('Answer Outcomes'!$Y$6:$Y$350,$AF67))</f>
        <v/>
      </c>
      <c r="AE67" s="38" t="inlineStr">
        <is>
          <t>POL02;CUL04</t>
        </is>
      </c>
      <c r="AF67" s="54">
        <f>IF(C67&lt;&gt;1,0,IFERROR(MATCH(Y67,'Answer Outcomes'!$A$6:$A$350,0),0))</f>
        <v>0</v>
      </c>
      <c r="AG67" s="54">
        <f>IF(N67&lt;'Risk Method'!$B$8,0,IF(COUNTIFS($X$6:$X$74,X67,$Z$6:$Z$74,"&gt;"&amp;Z67)=0,Z67,0))</f>
        <v>0</v>
      </c>
      <c r="AH67" s="54" t="str">
        <f>IF(AG67=0,"",RANK(AG67,$AG$6:$AG$74,0))</f>
        <v/>
      </c>
      <c r="AI67" s="54">
        <f>IF(LEN(AB67)&gt;0,1,0)</f>
        <v>0</v>
      </c>
    </row>
    <row r="68" ht="44" customHeight="1">
      <c r="A68" s="37" t="inlineStr">
        <is>
          <t>B19</t>
        </is>
      </c>
      <c r="B68" s="37" t="inlineStr">
        <is>
          <t>POL</t>
        </is>
      </c>
      <c r="C68" s="52">
        <f>'Score Sandbox'!F88</f>
        <v>0</v>
      </c>
      <c r="D68" s="52">
        <f>IF(COUNTBLANK('Score Sandbox'!G88)&gt;0,"",'Score Sandbox'!G88)</f>
        <v>3</v>
      </c>
      <c r="E68" s="52" t="str">
        <f>IF(OR(C68&lt;&gt;1,AF68=0),"",INDEX('Answer Outcomes'!$J$6:$J$350,$AF68))</f>
        <v/>
      </c>
      <c r="F68" s="52" t="str">
        <f>IF(OR(C68&lt;&gt;1,AF68=0),"",INDEX('Answer Outcomes'!$K$6:$K$350,$AF68))</f>
        <v/>
      </c>
      <c r="G68" s="53" t="inlineStr">
        <is>
          <t>NONE</t>
        </is>
      </c>
      <c r="H68" s="53" t="inlineStr"/>
      <c r="I68" s="53" t="inlineStr"/>
      <c r="J68" s="53" t="inlineStr"/>
      <c r="K68" s="53" t="inlineStr">
        <is>
          <t>Self-report only</t>
        </is>
      </c>
      <c r="L68" s="52">
        <f>IF(OR(C68&lt;&gt;1,AF68=0),0,IF(G68="LIVE_HARM",'Risk Method'!$B$10,IF(G68="LIVE_ISSUE",MAX(E68,'Risk Method'!$B$9),IF(AND(OR(G68="SYSTEMIC",G68="MATTER_UNCLEAR"),D68&amp;""="3"),0,IF(G68="SYSTEMIC",IF(E68=0,0,MIN('Risk Method'!$B$9,E68+1)),E68)))))</f>
        <v>0</v>
      </c>
      <c r="M68" s="52" t="str">
        <f>IF(C68&lt;&gt;1,"Not assessed",IF(AF68=0,"Incomplete",VLOOKUP(L68,'Risk Method'!$F$6:$H$10,2,FALSE)))</f>
        <v>Not assessed</v>
      </c>
      <c r="N68" s="52">
        <f>IF(OR(C68&lt;&gt;1,AF68=0),0,IF(G68="LIVE_HARM",'Risk Method'!$B$10,IF(G68="NONE",F68,IF(G68="SYSTEMIC",MIN('Risk Method'!$B$9,MAX(F68+1,IF(D68&amp;""="3",'Risk Method'!$B$9,0))),MAX(F68,'Risk Method'!$B$9)))))</f>
        <v>0</v>
      </c>
      <c r="O68" s="52" t="str">
        <f>IF(N68=0,"Not assessed",VLOOKUP(N68,'Risk Method'!$F$6:$H$10,3,FALSE))</f>
        <v>Not assessed</v>
      </c>
      <c r="P68" s="52" t="str">
        <f>IF(OR(C68&lt;&gt;1,AF68=0),"",INDEX('Answer Outcomes'!$E$6:$E$350,$AF68))</f>
        <v/>
      </c>
      <c r="Q68" s="52" t="str">
        <f>IF(OR(C68&lt;&gt;1,AF68=0),"",INDEX('Answer Outcomes'!$G$6:$G$350,$AF68))</f>
        <v/>
      </c>
      <c r="R68" s="52" t="str">
        <f>IF(OR(C68&lt;&gt;1,AF68=0),"",IF(G68="LIVE_HARM","Protect people and contain the reported exposure now. Seek appropriate urgent assistance and arrange a competent review. Do not wait for this assessment or a sales appointment.",IF(OR(G68="LIVE_ISSUE",AND(G68="SYSTEMIC",D68&amp;""="3")),"Review the reported current matter and reconcile it with the maturity answer before relying on the result. Preserve relevant evidence, allocate an impartial owner and assess immediate safeguards. Context: "&amp;H68,IF(G68="DEADLINE","Confirm the actual deadline and complete the necessary checks before the affected event. "&amp;INDEX('Answer Outcomes'!$M$6:$M$350,$AF68),IF(G68="MATTER_UNCLEAR","Confirm promptly whether the time-sensitive matter exists and who owns the response. Do not treat uncertainty as proof of an incident. "&amp;INDEX('Answer Outcomes'!$M$6:$M$350,$AF68),INDEX('Answer Outcomes'!$M$6:$M$350,$AF68))))))</f>
        <v/>
      </c>
      <c r="S68" s="52" t="str">
        <f>IF(OR(C68&lt;&gt;1,AF68=0),"","1. "&amp;INDEX('Answer Outcomes'!$N$6:$N$350,$AF68)&amp;CHAR(10)&amp;"2. "&amp;INDEX('Answer Outcomes'!$O$6:$O$350,$AF68))</f>
        <v/>
      </c>
      <c r="T68" s="52" t="str">
        <f>IF(OR(C68&lt;&gt;1,AF68=0),"",IF(G68="NONE",INDEX('Answer Outcomes'!$L$6:$L$350,$AF68),"Context "&amp;G68&amp;": "&amp;H68&amp;". Scope: "&amp;I68&amp;". "&amp;IF(G68="DEADLINE","The deadline raises action urgency; it does not establish a breach or automatically raise the risk rating.",IF(D68&amp;""="3","The current context takes precedence over a reassuring maturity answer.","The rating remains provisional; the matter has not been independently verified."))))</f>
        <v/>
      </c>
      <c r="U68" s="52" t="str">
        <f>IF(OR(C68&lt;&gt;1,AF68=0),"",INDEX('Answer Outcomes'!$Q$6:$Q$350,$AF68))</f>
        <v/>
      </c>
      <c r="V68" s="52" t="str">
        <f>IF(OR(C68&lt;&gt;1,AF68=0),"",INDEX('Answer Outcomes'!$T$6:$T$350,$AF68))</f>
        <v/>
      </c>
      <c r="W68" s="52" t="str">
        <f>IF(N68=0,"",IF(N68='Risk Method'!$B$10,"Act now. Immediate protective action and appropriate urgent advice take precedence.",IF(N68='Risk Method'!$B$9,"Review or verify within "&amp;'Risk Method'!$B$11&amp;" business days, or before an earlier duty/event. Do not wait where harm or law requires immediate action.",IF(N68='Risk Method'!$B$8,"Agree and start a plan within "&amp;'Risk Method'!$B$12&amp;" days, or before an earlier affected event.","Maintain at the stated trigger; plan any discretionary improvement within "&amp;'Risk Method'!$B$13&amp;" days.")))&amp;IF(J68="",""," Next event: "&amp;J68))</f>
        <v/>
      </c>
      <c r="X68" s="52" t="str">
        <f>IF(OR(C68&lt;&gt;1,AF68=0),"",INDEX('Answer Outcomes'!$V$6:$V$350,$AF68))</f>
        <v/>
      </c>
      <c r="Y68" s="52" t="str">
        <f>IF(C68&lt;&gt;1,"",A68&amp;"_"&amp;D68)</f>
        <v/>
      </c>
      <c r="Z68" s="52">
        <f>IF(N68=0,0,N68*100000+L68*1000+INDEX('Answer Outcomes'!$I$6:$I$350,$AF68)*100+IF(G68="DEADLINE",50,0)+(75-ROW())/100)</f>
        <v>0</v>
      </c>
      <c r="AA68" s="52" t="str">
        <f>IF(Z68=0,"",RANK(Z68,$Z$6:$Z$74,0))</f>
        <v/>
      </c>
      <c r="AB68" s="52" t="str">
        <f>IF(AND(C68&lt;&gt;0,C68&lt;&gt;1),"Invalid eligibility",IF(AND(C68=0,G68&lt;&gt;"NONE"),"Context conflicts with exclusion",IF(C68=0,"",IF(AF68=0,"Missing or invalid answer",IF(AND(G68&lt;&gt;"NONE",G68&lt;&gt;"LIVE_HARM",G68&lt;&gt;"LIVE_ISSUE",G68&lt;&gt;"DEADLINE",G68&lt;&gt;"SYSTEMIC",G68&lt;&gt;"MATTER_UNCLEAR"),"Invalid context code",IF(AND(G68&lt;&gt;"NONE",OR(H68="",I68="")),"Override needs reason and scope",""))))))</f>
        <v/>
      </c>
      <c r="AC68" s="52" t="str">
        <f>IF(OR(C68&lt;&gt;1,AF68=0),"",INDEX('Answer Outcomes'!$S$6:$S$350,$AF68))</f>
        <v/>
      </c>
      <c r="AD68" s="52" t="str">
        <f>IF(OR(C68&lt;&gt;1,AF68=0),"",INDEX('Answer Outcomes'!$Y$6:$Y$350,$AF68))</f>
        <v/>
      </c>
      <c r="AE68" s="37" t="inlineStr">
        <is>
          <t>PAY01;PSY01</t>
        </is>
      </c>
      <c r="AF68" s="52">
        <f>IF(C68&lt;&gt;1,0,IFERROR(MATCH(Y68,'Answer Outcomes'!$A$6:$A$350,0),0))</f>
        <v>0</v>
      </c>
      <c r="AG68" s="52">
        <f>IF(N68&lt;'Risk Method'!$B$8,0,IF(COUNTIFS($X$6:$X$74,X68,$Z$6:$Z$74,"&gt;"&amp;Z68)=0,Z68,0))</f>
        <v>0</v>
      </c>
      <c r="AH68" s="52" t="str">
        <f>IF(AG68=0,"",RANK(AG68,$AG$6:$AG$74,0))</f>
        <v/>
      </c>
      <c r="AI68" s="52">
        <f>IF(LEN(AB68)&gt;0,1,0)</f>
        <v>0</v>
      </c>
    </row>
    <row r="69" ht="44" customHeight="1">
      <c r="A69" s="38" t="inlineStr">
        <is>
          <t>B20</t>
        </is>
      </c>
      <c r="B69" s="38" t="inlineStr">
        <is>
          <t>PAY</t>
        </is>
      </c>
      <c r="C69" s="54">
        <f>'Score Sandbox'!F89</f>
        <v>0</v>
      </c>
      <c r="D69" s="54">
        <f>IF(COUNTBLANK('Score Sandbox'!G89)&gt;0,"",'Score Sandbox'!G89)</f>
        <v>3</v>
      </c>
      <c r="E69" s="54" t="str">
        <f>IF(OR(C69&lt;&gt;1,AF69=0),"",INDEX('Answer Outcomes'!$J$6:$J$350,$AF69))</f>
        <v/>
      </c>
      <c r="F69" s="54" t="str">
        <f>IF(OR(C69&lt;&gt;1,AF69=0),"",INDEX('Answer Outcomes'!$K$6:$K$350,$AF69))</f>
        <v/>
      </c>
      <c r="G69" s="53" t="inlineStr">
        <is>
          <t>NONE</t>
        </is>
      </c>
      <c r="H69" s="53" t="inlineStr"/>
      <c r="I69" s="53" t="inlineStr"/>
      <c r="J69" s="53" t="inlineStr"/>
      <c r="K69" s="53" t="inlineStr">
        <is>
          <t>Self-report only</t>
        </is>
      </c>
      <c r="L69" s="54">
        <f>IF(OR(C69&lt;&gt;1,AF69=0),0,IF(G69="LIVE_HARM",'Risk Method'!$B$10,IF(G69="LIVE_ISSUE",MAX(E69,'Risk Method'!$B$9),IF(AND(OR(G69="SYSTEMIC",G69="MATTER_UNCLEAR"),D69&amp;""="3"),0,IF(G69="SYSTEMIC",IF(E69=0,0,MIN('Risk Method'!$B$9,E69+1)),E69)))))</f>
        <v>0</v>
      </c>
      <c r="M69" s="54" t="str">
        <f>IF(C69&lt;&gt;1,"Not assessed",IF(AF69=0,"Incomplete",VLOOKUP(L69,'Risk Method'!$F$6:$H$10,2,FALSE)))</f>
        <v>Not assessed</v>
      </c>
      <c r="N69" s="54">
        <f>IF(OR(C69&lt;&gt;1,AF69=0),0,IF(G69="LIVE_HARM",'Risk Method'!$B$10,IF(G69="NONE",F69,IF(G69="SYSTEMIC",MIN('Risk Method'!$B$9,MAX(F69+1,IF(D69&amp;""="3",'Risk Method'!$B$9,0))),MAX(F69,'Risk Method'!$B$9)))))</f>
        <v>0</v>
      </c>
      <c r="O69" s="54" t="str">
        <f>IF(N69=0,"Not assessed",VLOOKUP(N69,'Risk Method'!$F$6:$H$10,3,FALSE))</f>
        <v>Not assessed</v>
      </c>
      <c r="P69" s="54" t="str">
        <f>IF(OR(C69&lt;&gt;1,AF69=0),"",INDEX('Answer Outcomes'!$E$6:$E$350,$AF69))</f>
        <v/>
      </c>
      <c r="Q69" s="54" t="str">
        <f>IF(OR(C69&lt;&gt;1,AF69=0),"",INDEX('Answer Outcomes'!$G$6:$G$350,$AF69))</f>
        <v/>
      </c>
      <c r="R69" s="54" t="str">
        <f>IF(OR(C69&lt;&gt;1,AF69=0),"",IF(G69="LIVE_HARM","Protect people and contain the reported exposure now. Seek appropriate urgent assistance and arrange a competent review. Do not wait for this assessment or a sales appointment.",IF(OR(G69="LIVE_ISSUE",AND(G69="SYSTEMIC",D69&amp;""="3")),"Review the reported current matter and reconcile it with the maturity answer before relying on the result. Preserve relevant evidence, allocate an impartial owner and assess immediate safeguards. Context: "&amp;H69,IF(G69="DEADLINE","Confirm the actual deadline and complete the necessary checks before the affected event. "&amp;INDEX('Answer Outcomes'!$M$6:$M$350,$AF69),IF(G69="MATTER_UNCLEAR","Confirm promptly whether the time-sensitive matter exists and who owns the response. Do not treat uncertainty as proof of an incident. "&amp;INDEX('Answer Outcomes'!$M$6:$M$350,$AF69),INDEX('Answer Outcomes'!$M$6:$M$350,$AF69))))))</f>
        <v/>
      </c>
      <c r="S69" s="54" t="str">
        <f>IF(OR(C69&lt;&gt;1,AF69=0),"","1. "&amp;INDEX('Answer Outcomes'!$N$6:$N$350,$AF69)&amp;CHAR(10)&amp;"2. "&amp;INDEX('Answer Outcomes'!$O$6:$O$350,$AF69))</f>
        <v/>
      </c>
      <c r="T69" s="54" t="str">
        <f>IF(OR(C69&lt;&gt;1,AF69=0),"",IF(G69="NONE",INDEX('Answer Outcomes'!$L$6:$L$350,$AF69),"Context "&amp;G69&amp;": "&amp;H69&amp;". Scope: "&amp;I69&amp;". "&amp;IF(G69="DEADLINE","The deadline raises action urgency; it does not establish a breach or automatically raise the risk rating.",IF(D69&amp;""="3","The current context takes precedence over a reassuring maturity answer.","The rating remains provisional; the matter has not been independently verified."))))</f>
        <v/>
      </c>
      <c r="U69" s="54" t="str">
        <f>IF(OR(C69&lt;&gt;1,AF69=0),"",INDEX('Answer Outcomes'!$Q$6:$Q$350,$AF69))</f>
        <v/>
      </c>
      <c r="V69" s="54" t="str">
        <f>IF(OR(C69&lt;&gt;1,AF69=0),"",INDEX('Answer Outcomes'!$T$6:$T$350,$AF69))</f>
        <v/>
      </c>
      <c r="W69" s="54" t="str">
        <f>IF(N69=0,"",IF(N69='Risk Method'!$B$10,"Act now. Immediate protective action and appropriate urgent advice take precedence.",IF(N69='Risk Method'!$B$9,"Review or verify within "&amp;'Risk Method'!$B$11&amp;" business days, or before an earlier duty/event. Do not wait where harm or law requires immediate action.",IF(N69='Risk Method'!$B$8,"Agree and start a plan within "&amp;'Risk Method'!$B$12&amp;" days, or before an earlier affected event.","Maintain at the stated trigger; plan any discretionary improvement within "&amp;'Risk Method'!$B$13&amp;" days.")))&amp;IF(J69="",""," Next event: "&amp;J69))</f>
        <v/>
      </c>
      <c r="X69" s="54" t="str">
        <f>IF(OR(C69&lt;&gt;1,AF69=0),"",INDEX('Answer Outcomes'!$V$6:$V$350,$AF69))</f>
        <v/>
      </c>
      <c r="Y69" s="54" t="str">
        <f>IF(C69&lt;&gt;1,"",A69&amp;"_"&amp;D69)</f>
        <v/>
      </c>
      <c r="Z69" s="54">
        <f>IF(N69=0,0,N69*100000+L69*1000+INDEX('Answer Outcomes'!$I$6:$I$350,$AF69)*100+IF(G69="DEADLINE",50,0)+(75-ROW())/100)</f>
        <v>0</v>
      </c>
      <c r="AA69" s="54" t="str">
        <f>IF(Z69=0,"",RANK(Z69,$Z$6:$Z$74,0))</f>
        <v/>
      </c>
      <c r="AB69" s="54" t="str">
        <f>IF(AND(C69&lt;&gt;0,C69&lt;&gt;1),"Invalid eligibility",IF(AND(C69=0,G69&lt;&gt;"NONE"),"Context conflicts with exclusion",IF(C69=0,"",IF(AF69=0,"Missing or invalid answer",IF(AND(G69&lt;&gt;"NONE",G69&lt;&gt;"LIVE_HARM",G69&lt;&gt;"LIVE_ISSUE",G69&lt;&gt;"DEADLINE",G69&lt;&gt;"SYSTEMIC",G69&lt;&gt;"MATTER_UNCLEAR"),"Invalid context code",IF(AND(G69&lt;&gt;"NONE",OR(H69="",I69="")),"Override needs reason and scope",""))))))</f>
        <v/>
      </c>
      <c r="AC69" s="54" t="str">
        <f>IF(OR(C69&lt;&gt;1,AF69=0),"",INDEX('Answer Outcomes'!$S$6:$S$350,$AF69))</f>
        <v/>
      </c>
      <c r="AD69" s="54" t="str">
        <f>IF(OR(C69&lt;&gt;1,AF69=0),"",INDEX('Answer Outcomes'!$Y$6:$Y$350,$AF69))</f>
        <v/>
      </c>
      <c r="AE69" s="38" t="inlineStr">
        <is>
          <t>PAY01</t>
        </is>
      </c>
      <c r="AF69" s="54">
        <f>IF(C69&lt;&gt;1,0,IFERROR(MATCH(Y69,'Answer Outcomes'!$A$6:$A$350,0),0))</f>
        <v>0</v>
      </c>
      <c r="AG69" s="54">
        <f>IF(N69&lt;'Risk Method'!$B$8,0,IF(COUNTIFS($X$6:$X$74,X69,$Z$6:$Z$74,"&gt;"&amp;Z69)=0,Z69,0))</f>
        <v>0</v>
      </c>
      <c r="AH69" s="54" t="str">
        <f>IF(AG69=0,"",RANK(AG69,$AG$6:$AG$74,0))</f>
        <v/>
      </c>
      <c r="AI69" s="54">
        <f>IF(LEN(AB69)&gt;0,1,0)</f>
        <v>0</v>
      </c>
    </row>
    <row r="70" ht="44" customHeight="1">
      <c r="A70" s="37" t="inlineStr">
        <is>
          <t>B21</t>
        </is>
      </c>
      <c r="B70" s="37" t="inlineStr">
        <is>
          <t>POL</t>
        </is>
      </c>
      <c r="C70" s="52">
        <f>'Score Sandbox'!F90</f>
        <v>0</v>
      </c>
      <c r="D70" s="52">
        <f>IF(COUNTBLANK('Score Sandbox'!G90)&gt;0,"",'Score Sandbox'!G90)</f>
        <v>3</v>
      </c>
      <c r="E70" s="52" t="str">
        <f>IF(OR(C70&lt;&gt;1,AF70=0),"",INDEX('Answer Outcomes'!$J$6:$J$350,$AF70))</f>
        <v/>
      </c>
      <c r="F70" s="52" t="str">
        <f>IF(OR(C70&lt;&gt;1,AF70=0),"",INDEX('Answer Outcomes'!$K$6:$K$350,$AF70))</f>
        <v/>
      </c>
      <c r="G70" s="53" t="inlineStr">
        <is>
          <t>NONE</t>
        </is>
      </c>
      <c r="H70" s="53" t="inlineStr"/>
      <c r="I70" s="53" t="inlineStr"/>
      <c r="J70" s="53" t="inlineStr"/>
      <c r="K70" s="53" t="inlineStr">
        <is>
          <t>Self-report only</t>
        </is>
      </c>
      <c r="L70" s="52">
        <f>IF(OR(C70&lt;&gt;1,AF70=0),0,IF(G70="LIVE_HARM",'Risk Method'!$B$10,IF(G70="LIVE_ISSUE",MAX(E70,'Risk Method'!$B$9),IF(AND(OR(G70="SYSTEMIC",G70="MATTER_UNCLEAR"),D70&amp;""="3"),0,IF(G70="SYSTEMIC",IF(E70=0,0,MIN('Risk Method'!$B$9,E70+1)),E70)))))</f>
        <v>0</v>
      </c>
      <c r="M70" s="52" t="str">
        <f>IF(C70&lt;&gt;1,"Not assessed",IF(AF70=0,"Incomplete",VLOOKUP(L70,'Risk Method'!$F$6:$H$10,2,FALSE)))</f>
        <v>Not assessed</v>
      </c>
      <c r="N70" s="52">
        <f>IF(OR(C70&lt;&gt;1,AF70=0),0,IF(G70="LIVE_HARM",'Risk Method'!$B$10,IF(G70="NONE",F70,IF(G70="SYSTEMIC",MIN('Risk Method'!$B$9,MAX(F70+1,IF(D70&amp;""="3",'Risk Method'!$B$9,0))),MAX(F70,'Risk Method'!$B$9)))))</f>
        <v>0</v>
      </c>
      <c r="O70" s="52" t="str">
        <f>IF(N70=0,"Not assessed",VLOOKUP(N70,'Risk Method'!$F$6:$H$10,3,FALSE))</f>
        <v>Not assessed</v>
      </c>
      <c r="P70" s="52" t="str">
        <f>IF(OR(C70&lt;&gt;1,AF70=0),"",INDEX('Answer Outcomes'!$E$6:$E$350,$AF70))</f>
        <v/>
      </c>
      <c r="Q70" s="52" t="str">
        <f>IF(OR(C70&lt;&gt;1,AF70=0),"",INDEX('Answer Outcomes'!$G$6:$G$350,$AF70))</f>
        <v/>
      </c>
      <c r="R70" s="52" t="str">
        <f>IF(OR(C70&lt;&gt;1,AF70=0),"",IF(G70="LIVE_HARM","Protect people and contain the reported exposure now. Seek appropriate urgent assistance and arrange a competent review. Do not wait for this assessment or a sales appointment.",IF(OR(G70="LIVE_ISSUE",AND(G70="SYSTEMIC",D70&amp;""="3")),"Review the reported current matter and reconcile it with the maturity answer before relying on the result. Preserve relevant evidence, allocate an impartial owner and assess immediate safeguards. Context: "&amp;H70,IF(G70="DEADLINE","Confirm the actual deadline and complete the necessary checks before the affected event. "&amp;INDEX('Answer Outcomes'!$M$6:$M$350,$AF70),IF(G70="MATTER_UNCLEAR","Confirm promptly whether the time-sensitive matter exists and who owns the response. Do not treat uncertainty as proof of an incident. "&amp;INDEX('Answer Outcomes'!$M$6:$M$350,$AF70),INDEX('Answer Outcomes'!$M$6:$M$350,$AF70))))))</f>
        <v/>
      </c>
      <c r="S70" s="52" t="str">
        <f>IF(OR(C70&lt;&gt;1,AF70=0),"","1. "&amp;INDEX('Answer Outcomes'!$N$6:$N$350,$AF70)&amp;CHAR(10)&amp;"2. "&amp;INDEX('Answer Outcomes'!$O$6:$O$350,$AF70))</f>
        <v/>
      </c>
      <c r="T70" s="52" t="str">
        <f>IF(OR(C70&lt;&gt;1,AF70=0),"",IF(G70="NONE",INDEX('Answer Outcomes'!$L$6:$L$350,$AF70),"Context "&amp;G70&amp;": "&amp;H70&amp;". Scope: "&amp;I70&amp;". "&amp;IF(G70="DEADLINE","The deadline raises action urgency; it does not establish a breach or automatically raise the risk rating.",IF(D70&amp;""="3","The current context takes precedence over a reassuring maturity answer.","The rating remains provisional; the matter has not been independently verified."))))</f>
        <v/>
      </c>
      <c r="U70" s="52" t="str">
        <f>IF(OR(C70&lt;&gt;1,AF70=0),"",INDEX('Answer Outcomes'!$Q$6:$Q$350,$AF70))</f>
        <v/>
      </c>
      <c r="V70" s="52" t="str">
        <f>IF(OR(C70&lt;&gt;1,AF70=0),"",INDEX('Answer Outcomes'!$T$6:$T$350,$AF70))</f>
        <v/>
      </c>
      <c r="W70" s="52" t="str">
        <f>IF(N70=0,"",IF(N70='Risk Method'!$B$10,"Act now. Immediate protective action and appropriate urgent advice take precedence.",IF(N70='Risk Method'!$B$9,"Review or verify within "&amp;'Risk Method'!$B$11&amp;" business days, or before an earlier duty/event. Do not wait where harm or law requires immediate action.",IF(N70='Risk Method'!$B$8,"Agree and start a plan within "&amp;'Risk Method'!$B$12&amp;" days, or before an earlier affected event.","Maintain at the stated trigger; plan any discretionary improvement within "&amp;'Risk Method'!$B$13&amp;" days.")))&amp;IF(J70="",""," Next event: "&amp;J70))</f>
        <v/>
      </c>
      <c r="X70" s="52" t="str">
        <f>IF(OR(C70&lt;&gt;1,AF70=0),"",INDEX('Answer Outcomes'!$V$6:$V$350,$AF70))</f>
        <v/>
      </c>
      <c r="Y70" s="52" t="str">
        <f>IF(C70&lt;&gt;1,"",A70&amp;"_"&amp;D70)</f>
        <v/>
      </c>
      <c r="Z70" s="52">
        <f>IF(N70=0,0,N70*100000+L70*1000+INDEX('Answer Outcomes'!$I$6:$I$350,$AF70)*100+IF(G70="DEADLINE",50,0)+(75-ROW())/100)</f>
        <v>0</v>
      </c>
      <c r="AA70" s="52" t="str">
        <f>IF(Z70=0,"",RANK(Z70,$Z$6:$Z$74,0))</f>
        <v/>
      </c>
      <c r="AB70" s="52" t="str">
        <f>IF(AND(C70&lt;&gt;0,C70&lt;&gt;1),"Invalid eligibility",IF(AND(C70=0,G70&lt;&gt;"NONE"),"Context conflicts with exclusion",IF(C70=0,"",IF(AF70=0,"Missing or invalid answer",IF(AND(G70&lt;&gt;"NONE",G70&lt;&gt;"LIVE_HARM",G70&lt;&gt;"LIVE_ISSUE",G70&lt;&gt;"DEADLINE",G70&lt;&gt;"SYSTEMIC",G70&lt;&gt;"MATTER_UNCLEAR"),"Invalid context code",IF(AND(G70&lt;&gt;"NONE",OR(H70="",I70="")),"Override needs reason and scope",""))))))</f>
        <v/>
      </c>
      <c r="AC70" s="52" t="str">
        <f>IF(OR(C70&lt;&gt;1,AF70=0),"",INDEX('Answer Outcomes'!$S$6:$S$350,$AF70))</f>
        <v/>
      </c>
      <c r="AD70" s="52" t="str">
        <f>IF(OR(C70&lt;&gt;1,AF70=0),"",INDEX('Answer Outcomes'!$Y$6:$Y$350,$AF70))</f>
        <v/>
      </c>
      <c r="AE70" s="37" t="inlineStr">
        <is>
          <t>POL01</t>
        </is>
      </c>
      <c r="AF70" s="52">
        <f>IF(C70&lt;&gt;1,0,IFERROR(MATCH(Y70,'Answer Outcomes'!$A$6:$A$350,0),0))</f>
        <v>0</v>
      </c>
      <c r="AG70" s="52">
        <f>IF(N70&lt;'Risk Method'!$B$8,0,IF(COUNTIFS($X$6:$X$74,X70,$Z$6:$Z$74,"&gt;"&amp;Z70)=0,Z70,0))</f>
        <v>0</v>
      </c>
      <c r="AH70" s="52" t="str">
        <f>IF(AG70=0,"",RANK(AG70,$AG$6:$AG$74,0))</f>
        <v/>
      </c>
      <c r="AI70" s="52">
        <f>IF(LEN(AB70)&gt;0,1,0)</f>
        <v>0</v>
      </c>
    </row>
    <row r="71" ht="44" customHeight="1">
      <c r="A71" s="38" t="inlineStr">
        <is>
          <t>B22</t>
        </is>
      </c>
      <c r="B71" s="38" t="inlineStr">
        <is>
          <t>PAY</t>
        </is>
      </c>
      <c r="C71" s="54">
        <f>'Score Sandbox'!F91</f>
        <v>0</v>
      </c>
      <c r="D71" s="54">
        <f>IF(COUNTBLANK('Score Sandbox'!G91)&gt;0,"",'Score Sandbox'!G91)</f>
        <v>3</v>
      </c>
      <c r="E71" s="54" t="str">
        <f>IF(OR(C71&lt;&gt;1,AF71=0),"",INDEX('Answer Outcomes'!$J$6:$J$350,$AF71))</f>
        <v/>
      </c>
      <c r="F71" s="54" t="str">
        <f>IF(OR(C71&lt;&gt;1,AF71=0),"",INDEX('Answer Outcomes'!$K$6:$K$350,$AF71))</f>
        <v/>
      </c>
      <c r="G71" s="53" t="inlineStr">
        <is>
          <t>NONE</t>
        </is>
      </c>
      <c r="H71" s="53" t="inlineStr"/>
      <c r="I71" s="53" t="inlineStr"/>
      <c r="J71" s="53" t="inlineStr"/>
      <c r="K71" s="53" t="inlineStr">
        <is>
          <t>Self-report only</t>
        </is>
      </c>
      <c r="L71" s="54">
        <f>IF(OR(C71&lt;&gt;1,AF71=0),0,IF(G71="LIVE_HARM",'Risk Method'!$B$10,IF(G71="LIVE_ISSUE",MAX(E71,'Risk Method'!$B$9),IF(AND(OR(G71="SYSTEMIC",G71="MATTER_UNCLEAR"),D71&amp;""="3"),0,IF(G71="SYSTEMIC",IF(E71=0,0,MIN('Risk Method'!$B$9,E71+1)),E71)))))</f>
        <v>0</v>
      </c>
      <c r="M71" s="54" t="str">
        <f>IF(C71&lt;&gt;1,"Not assessed",IF(AF71=0,"Incomplete",VLOOKUP(L71,'Risk Method'!$F$6:$H$10,2,FALSE)))</f>
        <v>Not assessed</v>
      </c>
      <c r="N71" s="54">
        <f>IF(OR(C71&lt;&gt;1,AF71=0),0,IF(G71="LIVE_HARM",'Risk Method'!$B$10,IF(G71="NONE",F71,IF(G71="SYSTEMIC",MIN('Risk Method'!$B$9,MAX(F71+1,IF(D71&amp;""="3",'Risk Method'!$B$9,0))),MAX(F71,'Risk Method'!$B$9)))))</f>
        <v>0</v>
      </c>
      <c r="O71" s="54" t="str">
        <f>IF(N71=0,"Not assessed",VLOOKUP(N71,'Risk Method'!$F$6:$H$10,3,FALSE))</f>
        <v>Not assessed</v>
      </c>
      <c r="P71" s="54" t="str">
        <f>IF(OR(C71&lt;&gt;1,AF71=0),"",INDEX('Answer Outcomes'!$E$6:$E$350,$AF71))</f>
        <v/>
      </c>
      <c r="Q71" s="54" t="str">
        <f>IF(OR(C71&lt;&gt;1,AF71=0),"",INDEX('Answer Outcomes'!$G$6:$G$350,$AF71))</f>
        <v/>
      </c>
      <c r="R71" s="54" t="str">
        <f>IF(OR(C71&lt;&gt;1,AF71=0),"",IF(G71="LIVE_HARM","Protect people and contain the reported exposure now. Seek appropriate urgent assistance and arrange a competent review. Do not wait for this assessment or a sales appointment.",IF(OR(G71="LIVE_ISSUE",AND(G71="SYSTEMIC",D71&amp;""="3")),"Review the reported current matter and reconcile it with the maturity answer before relying on the result. Preserve relevant evidence, allocate an impartial owner and assess immediate safeguards. Context: "&amp;H71,IF(G71="DEADLINE","Confirm the actual deadline and complete the necessary checks before the affected event. "&amp;INDEX('Answer Outcomes'!$M$6:$M$350,$AF71),IF(G71="MATTER_UNCLEAR","Confirm promptly whether the time-sensitive matter exists and who owns the response. Do not treat uncertainty as proof of an incident. "&amp;INDEX('Answer Outcomes'!$M$6:$M$350,$AF71),INDEX('Answer Outcomes'!$M$6:$M$350,$AF71))))))</f>
        <v/>
      </c>
      <c r="S71" s="54" t="str">
        <f>IF(OR(C71&lt;&gt;1,AF71=0),"","1. "&amp;INDEX('Answer Outcomes'!$N$6:$N$350,$AF71)&amp;CHAR(10)&amp;"2. "&amp;INDEX('Answer Outcomes'!$O$6:$O$350,$AF71))</f>
        <v/>
      </c>
      <c r="T71" s="54" t="str">
        <f>IF(OR(C71&lt;&gt;1,AF71=0),"",IF(G71="NONE",INDEX('Answer Outcomes'!$L$6:$L$350,$AF71),"Context "&amp;G71&amp;": "&amp;H71&amp;". Scope: "&amp;I71&amp;". "&amp;IF(G71="DEADLINE","The deadline raises action urgency; it does not establish a breach or automatically raise the risk rating.",IF(D71&amp;""="3","The current context takes precedence over a reassuring maturity answer.","The rating remains provisional; the matter has not been independently verified."))))</f>
        <v/>
      </c>
      <c r="U71" s="54" t="str">
        <f>IF(OR(C71&lt;&gt;1,AF71=0),"",INDEX('Answer Outcomes'!$Q$6:$Q$350,$AF71))</f>
        <v/>
      </c>
      <c r="V71" s="54" t="str">
        <f>IF(OR(C71&lt;&gt;1,AF71=0),"",INDEX('Answer Outcomes'!$T$6:$T$350,$AF71))</f>
        <v/>
      </c>
      <c r="W71" s="54" t="str">
        <f>IF(N71=0,"",IF(N71='Risk Method'!$B$10,"Act now. Immediate protective action and appropriate urgent advice take precedence.",IF(N71='Risk Method'!$B$9,"Review or verify within "&amp;'Risk Method'!$B$11&amp;" business days, or before an earlier duty/event. Do not wait where harm or law requires immediate action.",IF(N71='Risk Method'!$B$8,"Agree and start a plan within "&amp;'Risk Method'!$B$12&amp;" days, or before an earlier affected event.","Maintain at the stated trigger; plan any discretionary improvement within "&amp;'Risk Method'!$B$13&amp;" days.")))&amp;IF(J71="",""," Next event: "&amp;J71))</f>
        <v/>
      </c>
      <c r="X71" s="54" t="str">
        <f>IF(OR(C71&lt;&gt;1,AF71=0),"",INDEX('Answer Outcomes'!$V$6:$V$350,$AF71))</f>
        <v/>
      </c>
      <c r="Y71" s="54" t="str">
        <f>IF(C71&lt;&gt;1,"",A71&amp;"_"&amp;D71)</f>
        <v/>
      </c>
      <c r="Z71" s="54">
        <f>IF(N71=0,0,N71*100000+L71*1000+INDEX('Answer Outcomes'!$I$6:$I$350,$AF71)*100+IF(G71="DEADLINE",50,0)+(75-ROW())/100)</f>
        <v>0</v>
      </c>
      <c r="AA71" s="54" t="str">
        <f>IF(Z71=0,"",RANK(Z71,$Z$6:$Z$74,0))</f>
        <v/>
      </c>
      <c r="AB71" s="54" t="str">
        <f>IF(AND(C71&lt;&gt;0,C71&lt;&gt;1),"Invalid eligibility",IF(AND(C71=0,G71&lt;&gt;"NONE"),"Context conflicts with exclusion",IF(C71=0,"",IF(AF71=0,"Missing or invalid answer",IF(AND(G71&lt;&gt;"NONE",G71&lt;&gt;"LIVE_HARM",G71&lt;&gt;"LIVE_ISSUE",G71&lt;&gt;"DEADLINE",G71&lt;&gt;"SYSTEMIC",G71&lt;&gt;"MATTER_UNCLEAR"),"Invalid context code",IF(AND(G71&lt;&gt;"NONE",OR(H71="",I71="")),"Override needs reason and scope",""))))))</f>
        <v/>
      </c>
      <c r="AC71" s="54" t="str">
        <f>IF(OR(C71&lt;&gt;1,AF71=0),"",INDEX('Answer Outcomes'!$S$6:$S$350,$AF71))</f>
        <v/>
      </c>
      <c r="AD71" s="54" t="str">
        <f>IF(OR(C71&lt;&gt;1,AF71=0),"",INDEX('Answer Outcomes'!$Y$6:$Y$350,$AF71))</f>
        <v/>
      </c>
      <c r="AE71" s="38" t="inlineStr">
        <is>
          <t>PAY01</t>
        </is>
      </c>
      <c r="AF71" s="54">
        <f>IF(C71&lt;&gt;1,0,IFERROR(MATCH(Y71,'Answer Outcomes'!$A$6:$A$350,0),0))</f>
        <v>0</v>
      </c>
      <c r="AG71" s="54">
        <f>IF(N71&lt;'Risk Method'!$B$8,0,IF(COUNTIFS($X$6:$X$74,X71,$Z$6:$Z$74,"&gt;"&amp;Z71)=0,Z71,0))</f>
        <v>0</v>
      </c>
      <c r="AH71" s="54" t="str">
        <f>IF(AG71=0,"",RANK(AG71,$AG$6:$AG$74,0))</f>
        <v/>
      </c>
      <c r="AI71" s="54">
        <f>IF(LEN(AB71)&gt;0,1,0)</f>
        <v>0</v>
      </c>
    </row>
    <row r="72" ht="44" customHeight="1">
      <c r="A72" s="37" t="inlineStr">
        <is>
          <t>B23</t>
        </is>
      </c>
      <c r="B72" s="37" t="inlineStr">
        <is>
          <t>PAY</t>
        </is>
      </c>
      <c r="C72" s="52">
        <f>'Score Sandbox'!F92</f>
        <v>0</v>
      </c>
      <c r="D72" s="52">
        <f>IF(COUNTBLANK('Score Sandbox'!G92)&gt;0,"",'Score Sandbox'!G92)</f>
        <v>3</v>
      </c>
      <c r="E72" s="52" t="str">
        <f>IF(OR(C72&lt;&gt;1,AF72=0),"",INDEX('Answer Outcomes'!$J$6:$J$350,$AF72))</f>
        <v/>
      </c>
      <c r="F72" s="52" t="str">
        <f>IF(OR(C72&lt;&gt;1,AF72=0),"",INDEX('Answer Outcomes'!$K$6:$K$350,$AF72))</f>
        <v/>
      </c>
      <c r="G72" s="53" t="inlineStr">
        <is>
          <t>NONE</t>
        </is>
      </c>
      <c r="H72" s="53" t="inlineStr"/>
      <c r="I72" s="53" t="inlineStr"/>
      <c r="J72" s="53" t="inlineStr"/>
      <c r="K72" s="53" t="inlineStr">
        <is>
          <t>Self-report only</t>
        </is>
      </c>
      <c r="L72" s="52">
        <f>IF(OR(C72&lt;&gt;1,AF72=0),0,IF(G72="LIVE_HARM",'Risk Method'!$B$10,IF(G72="LIVE_ISSUE",MAX(E72,'Risk Method'!$B$9),IF(AND(OR(G72="SYSTEMIC",G72="MATTER_UNCLEAR"),D72&amp;""="3"),0,IF(G72="SYSTEMIC",IF(E72=0,0,MIN('Risk Method'!$B$9,E72+1)),E72)))))</f>
        <v>0</v>
      </c>
      <c r="M72" s="52" t="str">
        <f>IF(C72&lt;&gt;1,"Not assessed",IF(AF72=0,"Incomplete",VLOOKUP(L72,'Risk Method'!$F$6:$H$10,2,FALSE)))</f>
        <v>Not assessed</v>
      </c>
      <c r="N72" s="52">
        <f>IF(OR(C72&lt;&gt;1,AF72=0),0,IF(G72="LIVE_HARM",'Risk Method'!$B$10,IF(G72="NONE",F72,IF(G72="SYSTEMIC",MIN('Risk Method'!$B$9,MAX(F72+1,IF(D72&amp;""="3",'Risk Method'!$B$9,0))),MAX(F72,'Risk Method'!$B$9)))))</f>
        <v>0</v>
      </c>
      <c r="O72" s="52" t="str">
        <f>IF(N72=0,"Not assessed",VLOOKUP(N72,'Risk Method'!$F$6:$H$10,3,FALSE))</f>
        <v>Not assessed</v>
      </c>
      <c r="P72" s="52" t="str">
        <f>IF(OR(C72&lt;&gt;1,AF72=0),"",INDEX('Answer Outcomes'!$E$6:$E$350,$AF72))</f>
        <v/>
      </c>
      <c r="Q72" s="52" t="str">
        <f>IF(OR(C72&lt;&gt;1,AF72=0),"",INDEX('Answer Outcomes'!$G$6:$G$350,$AF72))</f>
        <v/>
      </c>
      <c r="R72" s="52" t="str">
        <f>IF(OR(C72&lt;&gt;1,AF72=0),"",IF(G72="LIVE_HARM","Protect people and contain the reported exposure now. Seek appropriate urgent assistance and arrange a competent review. Do not wait for this assessment or a sales appointment.",IF(OR(G72="LIVE_ISSUE",AND(G72="SYSTEMIC",D72&amp;""="3")),"Review the reported current matter and reconcile it with the maturity answer before relying on the result. Preserve relevant evidence, allocate an impartial owner and assess immediate safeguards. Context: "&amp;H72,IF(G72="DEADLINE","Confirm the actual deadline and complete the necessary checks before the affected event. "&amp;INDEX('Answer Outcomes'!$M$6:$M$350,$AF72),IF(G72="MATTER_UNCLEAR","Confirm promptly whether the time-sensitive matter exists and who owns the response. Do not treat uncertainty as proof of an incident. "&amp;INDEX('Answer Outcomes'!$M$6:$M$350,$AF72),INDEX('Answer Outcomes'!$M$6:$M$350,$AF72))))))</f>
        <v/>
      </c>
      <c r="S72" s="52" t="str">
        <f>IF(OR(C72&lt;&gt;1,AF72=0),"","1. "&amp;INDEX('Answer Outcomes'!$N$6:$N$350,$AF72)&amp;CHAR(10)&amp;"2. "&amp;INDEX('Answer Outcomes'!$O$6:$O$350,$AF72))</f>
        <v/>
      </c>
      <c r="T72" s="52" t="str">
        <f>IF(OR(C72&lt;&gt;1,AF72=0),"",IF(G72="NONE",INDEX('Answer Outcomes'!$L$6:$L$350,$AF72),"Context "&amp;G72&amp;": "&amp;H72&amp;". Scope: "&amp;I72&amp;". "&amp;IF(G72="DEADLINE","The deadline raises action urgency; it does not establish a breach or automatically raise the risk rating.",IF(D72&amp;""="3","The current context takes precedence over a reassuring maturity answer.","The rating remains provisional; the matter has not been independently verified."))))</f>
        <v/>
      </c>
      <c r="U72" s="52" t="str">
        <f>IF(OR(C72&lt;&gt;1,AF72=0),"",INDEX('Answer Outcomes'!$Q$6:$Q$350,$AF72))</f>
        <v/>
      </c>
      <c r="V72" s="52" t="str">
        <f>IF(OR(C72&lt;&gt;1,AF72=0),"",INDEX('Answer Outcomes'!$T$6:$T$350,$AF72))</f>
        <v/>
      </c>
      <c r="W72" s="52" t="str">
        <f>IF(N72=0,"",IF(N72='Risk Method'!$B$10,"Act now. Immediate protective action and appropriate urgent advice take precedence.",IF(N72='Risk Method'!$B$9,"Review or verify within "&amp;'Risk Method'!$B$11&amp;" business days, or before an earlier duty/event. Do not wait where harm or law requires immediate action.",IF(N72='Risk Method'!$B$8,"Agree and start a plan within "&amp;'Risk Method'!$B$12&amp;" days, or before an earlier affected event.","Maintain at the stated trigger; plan any discretionary improvement within "&amp;'Risk Method'!$B$13&amp;" days.")))&amp;IF(J72="",""," Next event: "&amp;J72))</f>
        <v/>
      </c>
      <c r="X72" s="52" t="str">
        <f>IF(OR(C72&lt;&gt;1,AF72=0),"",INDEX('Answer Outcomes'!$V$6:$V$350,$AF72))</f>
        <v/>
      </c>
      <c r="Y72" s="52" t="str">
        <f>IF(C72&lt;&gt;1,"",A72&amp;"_"&amp;D72)</f>
        <v/>
      </c>
      <c r="Z72" s="52">
        <f>IF(N72=0,0,N72*100000+L72*1000+INDEX('Answer Outcomes'!$I$6:$I$350,$AF72)*100+IF(G72="DEADLINE",50,0)+(75-ROW())/100)</f>
        <v>0</v>
      </c>
      <c r="AA72" s="52" t="str">
        <f>IF(Z72=0,"",RANK(Z72,$Z$6:$Z$74,0))</f>
        <v/>
      </c>
      <c r="AB72" s="52" t="str">
        <f>IF(AND(C72&lt;&gt;0,C72&lt;&gt;1),"Invalid eligibility",IF(AND(C72=0,G72&lt;&gt;"NONE"),"Context conflicts with exclusion",IF(C72=0,"",IF(AF72=0,"Missing or invalid answer",IF(AND(G72&lt;&gt;"NONE",G72&lt;&gt;"LIVE_HARM",G72&lt;&gt;"LIVE_ISSUE",G72&lt;&gt;"DEADLINE",G72&lt;&gt;"SYSTEMIC",G72&lt;&gt;"MATTER_UNCLEAR"),"Invalid context code",IF(AND(G72&lt;&gt;"NONE",OR(H72="",I72="")),"Override needs reason and scope",""))))))</f>
        <v/>
      </c>
      <c r="AC72" s="52" t="str">
        <f>IF(OR(C72&lt;&gt;1,AF72=0),"",INDEX('Answer Outcomes'!$S$6:$S$350,$AF72))</f>
        <v/>
      </c>
      <c r="AD72" s="52" t="str">
        <f>IF(OR(C72&lt;&gt;1,AF72=0),"",INDEX('Answer Outcomes'!$Y$6:$Y$350,$AF72))</f>
        <v/>
      </c>
      <c r="AE72" s="37" t="inlineStr">
        <is>
          <t>PAY01;PAY02;DAT01</t>
        </is>
      </c>
      <c r="AF72" s="52">
        <f>IF(C72&lt;&gt;1,0,IFERROR(MATCH(Y72,'Answer Outcomes'!$A$6:$A$350,0),0))</f>
        <v>0</v>
      </c>
      <c r="AG72" s="52">
        <f>IF(N72&lt;'Risk Method'!$B$8,0,IF(COUNTIFS($X$6:$X$74,X72,$Z$6:$Z$74,"&gt;"&amp;Z72)=0,Z72,0))</f>
        <v>0</v>
      </c>
      <c r="AH72" s="52" t="str">
        <f>IF(AG72=0,"",RANK(AG72,$AG$6:$AG$74,0))</f>
        <v/>
      </c>
      <c r="AI72" s="52">
        <f>IF(LEN(AB72)&gt;0,1,0)</f>
        <v>0</v>
      </c>
    </row>
    <row r="73" ht="44" customHeight="1">
      <c r="A73" s="38" t="inlineStr">
        <is>
          <t>B24</t>
        </is>
      </c>
      <c r="B73" s="38" t="inlineStr">
        <is>
          <t>POL</t>
        </is>
      </c>
      <c r="C73" s="54">
        <f>'Score Sandbox'!F93</f>
        <v>0</v>
      </c>
      <c r="D73" s="54">
        <f>IF(COUNTBLANK('Score Sandbox'!G93)&gt;0,"",'Score Sandbox'!G93)</f>
        <v>3</v>
      </c>
      <c r="E73" s="54" t="str">
        <f>IF(OR(C73&lt;&gt;1,AF73=0),"",INDEX('Answer Outcomes'!$J$6:$J$350,$AF73))</f>
        <v/>
      </c>
      <c r="F73" s="54" t="str">
        <f>IF(OR(C73&lt;&gt;1,AF73=0),"",INDEX('Answer Outcomes'!$K$6:$K$350,$AF73))</f>
        <v/>
      </c>
      <c r="G73" s="53" t="inlineStr">
        <is>
          <t>NONE</t>
        </is>
      </c>
      <c r="H73" s="53" t="inlineStr"/>
      <c r="I73" s="53" t="inlineStr"/>
      <c r="J73" s="53" t="inlineStr"/>
      <c r="K73" s="53" t="inlineStr">
        <is>
          <t>Self-report only</t>
        </is>
      </c>
      <c r="L73" s="54">
        <f>IF(OR(C73&lt;&gt;1,AF73=0),0,IF(G73="LIVE_HARM",'Risk Method'!$B$10,IF(G73="LIVE_ISSUE",MAX(E73,'Risk Method'!$B$9),IF(AND(OR(G73="SYSTEMIC",G73="MATTER_UNCLEAR"),D73&amp;""="3"),0,IF(G73="SYSTEMIC",IF(E73=0,0,MIN('Risk Method'!$B$9,E73+1)),E73)))))</f>
        <v>0</v>
      </c>
      <c r="M73" s="54" t="str">
        <f>IF(C73&lt;&gt;1,"Not assessed",IF(AF73=0,"Incomplete",VLOOKUP(L73,'Risk Method'!$F$6:$H$10,2,FALSE)))</f>
        <v>Not assessed</v>
      </c>
      <c r="N73" s="54">
        <f>IF(OR(C73&lt;&gt;1,AF73=0),0,IF(G73="LIVE_HARM",'Risk Method'!$B$10,IF(G73="NONE",F73,IF(G73="SYSTEMIC",MIN('Risk Method'!$B$9,MAX(F73+1,IF(D73&amp;""="3",'Risk Method'!$B$9,0))),MAX(F73,'Risk Method'!$B$9)))))</f>
        <v>0</v>
      </c>
      <c r="O73" s="54" t="str">
        <f>IF(N73=0,"Not assessed",VLOOKUP(N73,'Risk Method'!$F$6:$H$10,3,FALSE))</f>
        <v>Not assessed</v>
      </c>
      <c r="P73" s="54" t="str">
        <f>IF(OR(C73&lt;&gt;1,AF73=0),"",INDEX('Answer Outcomes'!$E$6:$E$350,$AF73))</f>
        <v/>
      </c>
      <c r="Q73" s="54" t="str">
        <f>IF(OR(C73&lt;&gt;1,AF73=0),"",INDEX('Answer Outcomes'!$G$6:$G$350,$AF73))</f>
        <v/>
      </c>
      <c r="R73" s="54" t="str">
        <f>IF(OR(C73&lt;&gt;1,AF73=0),"",IF(G73="LIVE_HARM","Protect people and contain the reported exposure now. Seek appropriate urgent assistance and arrange a competent review. Do not wait for this assessment or a sales appointment.",IF(OR(G73="LIVE_ISSUE",AND(G73="SYSTEMIC",D73&amp;""="3")),"Review the reported current matter and reconcile it with the maturity answer before relying on the result. Preserve relevant evidence, allocate an impartial owner and assess immediate safeguards. Context: "&amp;H73,IF(G73="DEADLINE","Confirm the actual deadline and complete the necessary checks before the affected event. "&amp;INDEX('Answer Outcomes'!$M$6:$M$350,$AF73),IF(G73="MATTER_UNCLEAR","Confirm promptly whether the time-sensitive matter exists and who owns the response. Do not treat uncertainty as proof of an incident. "&amp;INDEX('Answer Outcomes'!$M$6:$M$350,$AF73),INDEX('Answer Outcomes'!$M$6:$M$350,$AF73))))))</f>
        <v/>
      </c>
      <c r="S73" s="54" t="str">
        <f>IF(OR(C73&lt;&gt;1,AF73=0),"","1. "&amp;INDEX('Answer Outcomes'!$N$6:$N$350,$AF73)&amp;CHAR(10)&amp;"2. "&amp;INDEX('Answer Outcomes'!$O$6:$O$350,$AF73))</f>
        <v/>
      </c>
      <c r="T73" s="54" t="str">
        <f>IF(OR(C73&lt;&gt;1,AF73=0),"",IF(G73="NONE",INDEX('Answer Outcomes'!$L$6:$L$350,$AF73),"Context "&amp;G73&amp;": "&amp;H73&amp;". Scope: "&amp;I73&amp;". "&amp;IF(G73="DEADLINE","The deadline raises action urgency; it does not establish a breach or automatically raise the risk rating.",IF(D73&amp;""="3","The current context takes precedence over a reassuring maturity answer.","The rating remains provisional; the matter has not been independently verified."))))</f>
        <v/>
      </c>
      <c r="U73" s="54" t="str">
        <f>IF(OR(C73&lt;&gt;1,AF73=0),"",INDEX('Answer Outcomes'!$Q$6:$Q$350,$AF73))</f>
        <v/>
      </c>
      <c r="V73" s="54" t="str">
        <f>IF(OR(C73&lt;&gt;1,AF73=0),"",INDEX('Answer Outcomes'!$T$6:$T$350,$AF73))</f>
        <v/>
      </c>
      <c r="W73" s="54" t="str">
        <f>IF(N73=0,"",IF(N73='Risk Method'!$B$10,"Act now. Immediate protective action and appropriate urgent advice take precedence.",IF(N73='Risk Method'!$B$9,"Review or verify within "&amp;'Risk Method'!$B$11&amp;" business days, or before an earlier duty/event. Do not wait where harm or law requires immediate action.",IF(N73='Risk Method'!$B$8,"Agree and start a plan within "&amp;'Risk Method'!$B$12&amp;" days, or before an earlier affected event.","Maintain at the stated trigger; plan any discretionary improvement within "&amp;'Risk Method'!$B$13&amp;" days.")))&amp;IF(J73="",""," Next event: "&amp;J73))</f>
        <v/>
      </c>
      <c r="X73" s="54" t="str">
        <f>IF(OR(C73&lt;&gt;1,AF73=0),"",INDEX('Answer Outcomes'!$V$6:$V$350,$AF73))</f>
        <v/>
      </c>
      <c r="Y73" s="54" t="str">
        <f>IF(C73&lt;&gt;1,"",A73&amp;"_"&amp;D73)</f>
        <v/>
      </c>
      <c r="Z73" s="54">
        <f>IF(N73=0,0,N73*100000+L73*1000+INDEX('Answer Outcomes'!$I$6:$I$350,$AF73)*100+IF(G73="DEADLINE",50,0)+(75-ROW())/100)</f>
        <v>0</v>
      </c>
      <c r="AA73" s="54" t="str">
        <f>IF(Z73=0,"",RANK(Z73,$Z$6:$Z$74,0))</f>
        <v/>
      </c>
      <c r="AB73" s="54" t="str">
        <f>IF(AND(C73&lt;&gt;0,C73&lt;&gt;1),"Invalid eligibility",IF(AND(C73=0,G73&lt;&gt;"NONE"),"Context conflicts with exclusion",IF(C73=0,"",IF(AF73=0,"Missing or invalid answer",IF(AND(G73&lt;&gt;"NONE",G73&lt;&gt;"LIVE_HARM",G73&lt;&gt;"LIVE_ISSUE",G73&lt;&gt;"DEADLINE",G73&lt;&gt;"SYSTEMIC",G73&lt;&gt;"MATTER_UNCLEAR"),"Invalid context code",IF(AND(G73&lt;&gt;"NONE",OR(H73="",I73="")),"Override needs reason and scope",""))))))</f>
        <v/>
      </c>
      <c r="AC73" s="54" t="str">
        <f>IF(OR(C73&lt;&gt;1,AF73=0),"",INDEX('Answer Outcomes'!$S$6:$S$350,$AF73))</f>
        <v/>
      </c>
      <c r="AD73" s="54" t="str">
        <f>IF(OR(C73&lt;&gt;1,AF73=0),"",INDEX('Answer Outcomes'!$Y$6:$Y$350,$AF73))</f>
        <v/>
      </c>
      <c r="AE73" s="38" t="inlineStr">
        <is>
          <t>POL03;DAT02</t>
        </is>
      </c>
      <c r="AF73" s="54">
        <f>IF(C73&lt;&gt;1,0,IFERROR(MATCH(Y73,'Answer Outcomes'!$A$6:$A$350,0),0))</f>
        <v>0</v>
      </c>
      <c r="AG73" s="54">
        <f>IF(N73&lt;'Risk Method'!$B$8,0,IF(COUNTIFS($X$6:$X$74,X73,$Z$6:$Z$74,"&gt;"&amp;Z73)=0,Z73,0))</f>
        <v>0</v>
      </c>
      <c r="AH73" s="54" t="str">
        <f>IF(AG73=0,"",RANK(AG73,$AG$6:$AG$74,0))</f>
        <v/>
      </c>
      <c r="AI73" s="54">
        <f>IF(LEN(AB73)&gt;0,1,0)</f>
        <v>0</v>
      </c>
    </row>
    <row r="74" ht="44" customHeight="1">
      <c r="A74" s="37" t="inlineStr">
        <is>
          <t>B25</t>
        </is>
      </c>
      <c r="B74" s="37" t="inlineStr">
        <is>
          <t>WHS</t>
        </is>
      </c>
      <c r="C74" s="52">
        <f>'Score Sandbox'!F94</f>
        <v>0</v>
      </c>
      <c r="D74" s="52">
        <f>IF(COUNTBLANK('Score Sandbox'!G94)&gt;0,"",'Score Sandbox'!G94)</f>
        <v>3</v>
      </c>
      <c r="E74" s="52" t="str">
        <f>IF(OR(C74&lt;&gt;1,AF74=0),"",INDEX('Answer Outcomes'!$J$6:$J$350,$AF74))</f>
        <v/>
      </c>
      <c r="F74" s="52" t="str">
        <f>IF(OR(C74&lt;&gt;1,AF74=0),"",INDEX('Answer Outcomes'!$K$6:$K$350,$AF74))</f>
        <v/>
      </c>
      <c r="G74" s="53" t="inlineStr">
        <is>
          <t>NONE</t>
        </is>
      </c>
      <c r="H74" s="53" t="inlineStr"/>
      <c r="I74" s="53" t="inlineStr"/>
      <c r="J74" s="53" t="inlineStr"/>
      <c r="K74" s="53" t="inlineStr">
        <is>
          <t>Self-report only</t>
        </is>
      </c>
      <c r="L74" s="52">
        <f>IF(OR(C74&lt;&gt;1,AF74=0),0,IF(G74="LIVE_HARM",'Risk Method'!$B$10,IF(G74="LIVE_ISSUE",MAX(E74,'Risk Method'!$B$9),IF(AND(OR(G74="SYSTEMIC",G74="MATTER_UNCLEAR"),D74&amp;""="3"),0,IF(G74="SYSTEMIC",IF(E74=0,0,MIN('Risk Method'!$B$9,E74+1)),E74)))))</f>
        <v>0</v>
      </c>
      <c r="M74" s="52" t="str">
        <f>IF(C74&lt;&gt;1,"Not assessed",IF(AF74=0,"Incomplete",VLOOKUP(L74,'Risk Method'!$F$6:$H$10,2,FALSE)))</f>
        <v>Not assessed</v>
      </c>
      <c r="N74" s="52">
        <f>IF(OR(C74&lt;&gt;1,AF74=0),0,IF(G74="LIVE_HARM",'Risk Method'!$B$10,IF(G74="NONE",F74,IF(G74="SYSTEMIC",MIN('Risk Method'!$B$9,MAX(F74+1,IF(D74&amp;""="3",'Risk Method'!$B$9,0))),MAX(F74,'Risk Method'!$B$9)))))</f>
        <v>0</v>
      </c>
      <c r="O74" s="52" t="str">
        <f>IF(N74=0,"Not assessed",VLOOKUP(N74,'Risk Method'!$F$6:$H$10,3,FALSE))</f>
        <v>Not assessed</v>
      </c>
      <c r="P74" s="52" t="str">
        <f>IF(OR(C74&lt;&gt;1,AF74=0),"",INDEX('Answer Outcomes'!$E$6:$E$350,$AF74))</f>
        <v/>
      </c>
      <c r="Q74" s="52" t="str">
        <f>IF(OR(C74&lt;&gt;1,AF74=0),"",INDEX('Answer Outcomes'!$G$6:$G$350,$AF74))</f>
        <v/>
      </c>
      <c r="R74" s="52" t="str">
        <f>IF(OR(C74&lt;&gt;1,AF74=0),"",IF(G74="LIVE_HARM","Protect people and contain the reported exposure now. Seek appropriate urgent assistance and arrange a competent review. Do not wait for this assessment or a sales appointment.",IF(OR(G74="LIVE_ISSUE",AND(G74="SYSTEMIC",D74&amp;""="3")),"Review the reported current matter and reconcile it with the maturity answer before relying on the result. Preserve relevant evidence, allocate an impartial owner and assess immediate safeguards. Context: "&amp;H74,IF(G74="DEADLINE","Confirm the actual deadline and complete the necessary checks before the affected event. "&amp;INDEX('Answer Outcomes'!$M$6:$M$350,$AF74),IF(G74="MATTER_UNCLEAR","Confirm promptly whether the time-sensitive matter exists and who owns the response. Do not treat uncertainty as proof of an incident. "&amp;INDEX('Answer Outcomes'!$M$6:$M$350,$AF74),INDEX('Answer Outcomes'!$M$6:$M$350,$AF74))))))</f>
        <v/>
      </c>
      <c r="S74" s="52" t="str">
        <f>IF(OR(C74&lt;&gt;1,AF74=0),"","1. "&amp;INDEX('Answer Outcomes'!$N$6:$N$350,$AF74)&amp;CHAR(10)&amp;"2. "&amp;INDEX('Answer Outcomes'!$O$6:$O$350,$AF74))</f>
        <v/>
      </c>
      <c r="T74" s="52" t="str">
        <f>IF(OR(C74&lt;&gt;1,AF74=0),"",IF(G74="NONE",INDEX('Answer Outcomes'!$L$6:$L$350,$AF74),"Context "&amp;G74&amp;": "&amp;H74&amp;". Scope: "&amp;I74&amp;". "&amp;IF(G74="DEADLINE","The deadline raises action urgency; it does not establish a breach or automatically raise the risk rating.",IF(D74&amp;""="3","The current context takes precedence over a reassuring maturity answer.","The rating remains provisional; the matter has not been independently verified."))))</f>
        <v/>
      </c>
      <c r="U74" s="52" t="str">
        <f>IF(OR(C74&lt;&gt;1,AF74=0),"",INDEX('Answer Outcomes'!$Q$6:$Q$350,$AF74))</f>
        <v/>
      </c>
      <c r="V74" s="52" t="str">
        <f>IF(OR(C74&lt;&gt;1,AF74=0),"",INDEX('Answer Outcomes'!$T$6:$T$350,$AF74))</f>
        <v/>
      </c>
      <c r="W74" s="52" t="str">
        <f>IF(N74=0,"",IF(N74='Risk Method'!$B$10,"Act now. Immediate protective action and appropriate urgent advice take precedence.",IF(N74='Risk Method'!$B$9,"Review or verify within "&amp;'Risk Method'!$B$11&amp;" business days, or before an earlier duty/event. Do not wait where harm or law requires immediate action.",IF(N74='Risk Method'!$B$8,"Agree and start a plan within "&amp;'Risk Method'!$B$12&amp;" days, or before an earlier affected event.","Maintain at the stated trigger; plan any discretionary improvement within "&amp;'Risk Method'!$B$13&amp;" days.")))&amp;IF(J74="",""," Next event: "&amp;J74))</f>
        <v/>
      </c>
      <c r="X74" s="52" t="str">
        <f>IF(OR(C74&lt;&gt;1,AF74=0),"",INDEX('Answer Outcomes'!$V$6:$V$350,$AF74))</f>
        <v/>
      </c>
      <c r="Y74" s="52" t="str">
        <f>IF(C74&lt;&gt;1,"",A74&amp;"_"&amp;D74)</f>
        <v/>
      </c>
      <c r="Z74" s="52">
        <f>IF(N74=0,0,N74*100000+L74*1000+INDEX('Answer Outcomes'!$I$6:$I$350,$AF74)*100+IF(G74="DEADLINE",50,0)+(75-ROW())/100)</f>
        <v>0</v>
      </c>
      <c r="AA74" s="52" t="str">
        <f>IF(Z74=0,"",RANK(Z74,$Z$6:$Z$74,0))</f>
        <v/>
      </c>
      <c r="AB74" s="52" t="str">
        <f>IF(AND(C74&lt;&gt;0,C74&lt;&gt;1),"Invalid eligibility",IF(AND(C74=0,G74&lt;&gt;"NONE"),"Context conflicts with exclusion",IF(C74=0,"",IF(AF74=0,"Missing or invalid answer",IF(AND(G74&lt;&gt;"NONE",G74&lt;&gt;"LIVE_HARM",G74&lt;&gt;"LIVE_ISSUE",G74&lt;&gt;"DEADLINE",G74&lt;&gt;"SYSTEMIC",G74&lt;&gt;"MATTER_UNCLEAR"),"Invalid context code",IF(AND(G74&lt;&gt;"NONE",OR(H74="",I74="")),"Override needs reason and scope",""))))))</f>
        <v/>
      </c>
      <c r="AC74" s="52" t="str">
        <f>IF(OR(C74&lt;&gt;1,AF74=0),"",INDEX('Answer Outcomes'!$S$6:$S$350,$AF74))</f>
        <v/>
      </c>
      <c r="AD74" s="52" t="str">
        <f>IF(OR(C74&lt;&gt;1,AF74=0),"",INDEX('Answer Outcomes'!$Y$6:$Y$350,$AF74))</f>
        <v/>
      </c>
      <c r="AE74" s="37" t="inlineStr">
        <is>
          <t>WHS01;WHS02;B13</t>
        </is>
      </c>
      <c r="AF74" s="52">
        <f>IF(C74&lt;&gt;1,0,IFERROR(MATCH(Y74,'Answer Outcomes'!$A$6:$A$350,0),0))</f>
        <v>0</v>
      </c>
      <c r="AG74" s="52">
        <f>IF(N74&lt;'Risk Method'!$B$8,0,IF(COUNTIFS($X$6:$X$74,X74,$Z$6:$Z$74,"&gt;"&amp;Z74)=0,Z74,0))</f>
        <v>0</v>
      </c>
      <c r="AH74" s="52" t="str">
        <f>IF(AG74=0,"",RANK(AG74,$AG$6:$AG$74,0))</f>
        <v/>
      </c>
      <c r="AI74" s="52">
        <f>IF(LEN(AB74)&gt;0,1,0)</f>
        <v>0</v>
      </c>
    </row>
  </sheetData>
  <autoFilter ref="A5:AI74"/>
  <mergeCells count="3">
    <mergeCell ref="A3:AI3"/>
    <mergeCell ref="A1:AI1"/>
    <mergeCell ref="A2:AI2"/>
  </mergeCells>
  <conditionalFormatting sqref="L6:L74">
    <cfRule type="cellIs" priority="1" operator="equal" dxfId="3">
      <formula>4</formula>
    </cfRule>
    <cfRule type="cellIs" priority="2" operator="equal" dxfId="4">
      <formula>3</formula>
    </cfRule>
    <cfRule type="cellIs" priority="3" operator="equal" dxfId="5">
      <formula>2</formula>
    </cfRule>
    <cfRule type="cellIs" priority="4" operator="equal" dxfId="6">
      <formula>1</formula>
    </cfRule>
  </conditionalFormatting>
  <conditionalFormatting sqref="N6:N74">
    <cfRule type="cellIs" priority="5" operator="equal" dxfId="3">
      <formula>4</formula>
    </cfRule>
    <cfRule type="cellIs" priority="6" operator="equal" dxfId="4">
      <formula>3</formula>
    </cfRule>
    <cfRule type="cellIs" priority="7" operator="equal" dxfId="5">
      <formula>2</formula>
    </cfRule>
    <cfRule type="cellIs" priority="8" operator="equal" dxfId="6">
      <formula>1</formula>
    </cfRule>
  </conditionalFormatting>
  <dataValidations count="2">
    <dataValidation sqref="G6:G74" showDropDown="0" showInputMessage="0" showErrorMessage="1" allowBlank="0" error="Select a listed scoped context code." type="list">
      <formula1>"NONE,LIVE_HARM,LIVE_ISSUE,DEADLINE,SYSTEMIC,MATTER_UNCLEAR"</formula1>
    </dataValidation>
    <dataValidation sqref="K6:K74" showDropDown="0" showInputMessage="0" showErrorMessage="0" allowBlank="0" type="list">
      <formula1>"Self-report only,Current record located,Recent example checked,Independent review noted"</formula1>
    </dataValidation>
  </dataValidations>
  <printOptions horizontalCentered="0"/>
  <pageMargins left="0.75" right="0.75" top="1" bottom="1" header="0.5" footer="0.5"/>
  <pageSetup orientation="landscape" paperSize="8" fitToHeight="0" fitToWidth="1"/>
</worksheet>
</file>

<file path=xl/worksheets/sheet10.xml><?xml version="1.0" encoding="utf-8"?>
<worksheet xmlns="http://schemas.openxmlformats.org/spreadsheetml/2006/main">
  <sheetPr>
    <tabColor rgb="FF472C5B"/>
    <outlinePr summaryBelow="1" summaryRight="1"/>
    <pageSetUpPr/>
  </sheetPr>
  <dimension ref="A1:H42"/>
  <sheetViews>
    <sheetView showGridLines="0" workbookViewId="0">
      <pane xSplit="2" ySplit="5" topLeftCell="C6" activePane="bottomRight" state="frozen"/>
      <selection activeCell="A1" sqref="A1"/>
    </sheetView>
  </sheetViews>
  <sheetFormatPr baseColWidth="8" defaultRowHeight="15"/>
  <cols>
    <col width="17" customWidth="1" min="1" max="1"/>
    <col width="24" customWidth="1" min="2" max="2"/>
    <col width="79" customWidth="1" min="3" max="3"/>
    <col width="91" customWidth="1" min="4" max="4"/>
    <col width="88" customWidth="1" min="5" max="5"/>
    <col width="39" customWidth="1" min="6" max="6"/>
    <col width="25" customWidth="1" min="7" max="7"/>
    <col width="75" customWidth="1" min="8" max="8"/>
  </cols>
  <sheetData>
    <row r="1" ht="38" customHeight="1">
      <c r="A1" s="1" t="inlineStr">
        <is>
          <t>Profile and branching specification</t>
        </is>
      </c>
    </row>
    <row r="2" ht="34" customHeight="1">
      <c r="A2" s="2" t="inlineStr">
        <is>
          <t>Profile answers are unscored. Show relevant follow-ups only; unknown applicability is never silently treated as non-applicability. Resolve legal scope before taking payment for legal feedback.</t>
        </is>
      </c>
    </row>
    <row r="3" ht="22" customHeight="1">
      <c r="A3" s="3" t="inlineStr">
        <is>
          <t>DREAMSTONEHR | PROPOSED V3.0 | 10 OCTOBER 2026</t>
        </is>
      </c>
    </row>
    <row r="4"/>
    <row r="5" ht="34" customHeight="1">
      <c r="A5" s="4" t="inlineStr">
        <is>
          <t>ID / flag</t>
        </is>
      </c>
      <c r="B5" s="4" t="inlineStr">
        <is>
          <t>Purpose</t>
        </is>
      </c>
      <c r="C5" s="4" t="inlineStr">
        <is>
          <t>Question or triggering condition</t>
        </is>
      </c>
      <c r="D5" s="4" t="inlineStr">
        <is>
          <t>Response fields / implementation rule</t>
        </is>
      </c>
      <c r="E5" s="4" t="inlineStr">
        <is>
          <t>Interpretation and safeguards</t>
        </is>
      </c>
      <c r="F5" s="4" t="inlineStr">
        <is>
          <t>Question IDs / rule outputs</t>
        </is>
      </c>
      <c r="G5" s="4" t="inlineStr">
        <is>
          <t>Source IDs</t>
        </is>
      </c>
      <c r="H5" s="4" t="inlineStr">
        <is>
          <t>Primary source URLs</t>
        </is>
      </c>
    </row>
    <row r="6" ht="56" customHeight="1">
      <c r="A6" s="5" t="inlineStr">
        <is>
          <t>P01</t>
        </is>
      </c>
      <c r="B6" s="5" t="inlineStr">
        <is>
          <t>Fit and jurisdiction</t>
        </is>
      </c>
      <c r="C6" s="5" t="inlineStr">
        <is>
          <t>Which legal entity employs the people being assessed, and where do they work?</t>
        </is>
      </c>
      <c r="D6" s="5" t="inlineStr">
        <is>
          <t>Legal structure; private/public/not-for-profit; employing entity; each state/territory of work; Australia/overseas; I need to confirm.</t>
        </is>
      </c>
      <c r="E6" s="5" t="inlineStr">
        <is>
          <t>Resolve national/state coverage before payment or any legal result. WA and public-sector edge cases require review; headquarters alone is not a routing rule.</t>
        </is>
      </c>
      <c r="F6" s="5" t="inlineStr">
        <is>
          <t>JURISDICTION</t>
        </is>
      </c>
      <c r="G6" s="5" t="inlineStr">
        <is>
          <t>S35;S36</t>
        </is>
      </c>
      <c r="H6" s="5" t="inlineStr">
        <is>
          <t>https://www.wa.gov.au/organisation/private-sector-labour-relations/which-system-of-employment-law-applies
https://library.fairwork.gov.au/viewer/?krn=K600619</t>
        </is>
      </c>
    </row>
    <row r="7" ht="70" customHeight="1">
      <c r="A7" s="6" t="inlineStr">
        <is>
          <t>P02</t>
        </is>
      </c>
      <c r="B7" s="6" t="inlineStr">
        <is>
          <t>Workforce size</t>
        </is>
      </c>
      <c r="C7" s="6" t="inlineStr">
        <is>
          <t>How many employees are in this business, and is it part of a wider employing group?</t>
        </is>
      </c>
      <c r="D7" s="6" t="inlineStr">
        <is>
          <t>Business headcount; related employing entities; ongoing casual patterns; separate WGEA reporting history and group details where relevant.</t>
        </is>
      </c>
      <c r="E7" s="6" t="inlineStr">
        <is>
          <t>Use size for examples. Calculate the Fair Work fewer-than-15 test separately from WGEA and privacy coverage. Do not rely on a single headcount band for legal decisions.</t>
        </is>
      </c>
      <c r="F7" s="6" t="inlineStr">
        <is>
          <t>SIZE / GROUP</t>
        </is>
      </c>
      <c r="G7" s="6" t="inlineStr">
        <is>
          <t>S02;S18;S19</t>
        </is>
      </c>
      <c r="H7" s="6" t="inlineStr">
        <is>
          <t>https://www.fairwork.gov.au/taxonomy/term/527
https://www.wgea.gov.au/reporting/reporting-guide/eligibility
https://www.wgea.gov.au/reporting/reporting-guide/corporate-structures</t>
        </is>
      </c>
    </row>
    <row r="8" ht="196" customHeight="1">
      <c r="A8" s="5" t="inlineStr">
        <is>
          <t>P03</t>
        </is>
      </c>
      <c r="B8" s="5" t="inlineStr">
        <is>
          <t>Employment arrangements</t>
        </is>
      </c>
      <c r="C8" s="5" t="inlineStr">
        <is>
          <t>Which arrangements does the business use, or expect to use in the next six months?</t>
        </is>
      </c>
      <c r="D8" s="5" t="inlineStr">
        <is>
          <t>Part-time; casual; fixed-term; independent contractors; juniors/apprentices/trainees; none of these; I need to confirm.</t>
        </is>
      </c>
      <c r="E8" s="5" t="inlineStr">
        <is>
          <t>Each selected arrangement enables its related questions. Make none exclusive. An unknown selection is not treated as no.</t>
        </is>
      </c>
      <c r="F8" s="5" t="inlineStr">
        <is>
          <t>PART_TIME;CASUAL;FIXED;CONTRACTOR;JUNIOR</t>
        </is>
      </c>
      <c r="G8" s="5" t="inlineStr">
        <is>
          <t>S03;S09;S23;S24;S33;S34</t>
        </is>
      </c>
      <c r="H8" s="5" t="inlineStr">
        <is>
          <t>https://www.fairwork.gov.au/starting-employment/types-of-employees/casual-employees/becoming-a-permanent-employee
https://www.fairwork.gov.au/starting-employment/types-of-employees/fixed-term-contract-employees
https://www.fairwork.gov.au/find-help-for/independent-contractors/whole-of-relationship-test
https://www.ato.gov.au/businesses-and-organisations/super-for-employers/work-out-if-you-have-to-pay-super/super-for-independent-contractors
https://www.fairwork.gov.au/pay-and-wages/minimum-wages/apprentice-and-trainee-pay-rates
https://www.fairwork.gov.au/pay-and-wages/minimum-wages/junior-pay-rates</t>
        </is>
      </c>
    </row>
    <row r="9" ht="84" customHeight="1">
      <c r="A9" s="6" t="inlineStr">
        <is>
          <t>P04</t>
        </is>
      </c>
      <c r="B9" s="6" t="inlineStr">
        <is>
          <t>Pay rules</t>
        </is>
      </c>
      <c r="C9" s="6" t="inlineStr">
        <is>
          <t>Which pay arrangements apply to your workforce?</t>
        </is>
      </c>
      <c r="D9" s="6" t="inlineStr">
        <is>
          <t>Awards; enterprise agreements; confirmed award/agreement-free roles; salary/flat rate intended to cover entitlements; I need to confirm.</t>
        </is>
      </c>
      <c r="E9" s="6" t="inlineStr">
        <is>
          <t>Capture combinations by role where needed. Unknown coverage retains the pay applicability checks; it does not produce an award-free result.</t>
        </is>
      </c>
      <c r="F9" s="6" t="inlineStr">
        <is>
          <t>AGREEMENT;SALARY;ALLOWANCE</t>
        </is>
      </c>
      <c r="G9" s="6" t="inlineStr">
        <is>
          <t>S06;S07;S37</t>
        </is>
      </c>
      <c r="H9" s="6" t="inlineStr">
        <is>
          <t>https://www.fairwork.gov.au/pay-and-wages/minimum-wages/annualised-salaries
https://www.fairwork.gov.au/newsroom/news/offsetting-and-record-keeping-salaried-employees
https://www.fwc.gov.au/what-enterprise-agreement</t>
        </is>
      </c>
    </row>
    <row r="10" ht="140" customHeight="1">
      <c r="A10" s="5" t="inlineStr">
        <is>
          <t>P05</t>
        </is>
      </c>
      <c r="B10" s="5" t="inlineStr">
        <is>
          <t>Specific arrangements</t>
        </is>
      </c>
      <c r="C10" s="5" t="inlineStr">
        <is>
          <t>Which of these arrangements are used or planned?</t>
        </is>
      </c>
      <c r="D10" s="5" t="inlineStr">
        <is>
          <t>Non-statutory payroll deductions; shutdowns; annual-leave cash-outs; individual flexibility arrangements; none; I need to confirm.</t>
        </is>
      </c>
      <c r="E10" s="5" t="inlineStr">
        <is>
          <t>Explain each briefly. Distinguish an IFA from an ordinary flexible-work request. Never ask the respondent to claim an exemption without explaining it.</t>
        </is>
      </c>
      <c r="F10" s="5" t="inlineStr">
        <is>
          <t>DEDUCTION;SHUTDOWN;CASHOUT;IFA</t>
        </is>
      </c>
      <c r="G10" s="5" t="inlineStr">
        <is>
          <t>S08;S28;S29;S30</t>
        </is>
      </c>
      <c r="H10" s="5" t="inlineStr">
        <is>
          <t>https://www.fairwork.gov.au/pay-and-wages/deductions-and-related-issues/deducting-pay
https://www.fairwork.gov.au/leave/annual-leave/cashing-out-annual-leave
https://www.fairwork.gov.au/leave/annual-leave/directing-an-employee-to-take-annual-leave/direction-to-take-annual-leave-during-a-shut-down
https://www.fairwork.gov.au/employment-conditions/flexibility-in-the-workplace/individual-flexibility-arrangements</t>
        </is>
      </c>
    </row>
    <row r="11" ht="140" customHeight="1">
      <c r="A11" s="6" t="inlineStr">
        <is>
          <t>P06</t>
        </is>
      </c>
      <c r="B11" s="6" t="inlineStr">
        <is>
          <t>Work and sector</t>
        </is>
      </c>
      <c r="C11" s="6" t="inlineStr">
        <is>
          <t>What work does your business do, and where is it performed?</t>
        </is>
      </c>
      <c r="D11" s="6" t="inlineStr">
        <is>
          <t>Plain-language industry and work description; work locations; regulated credentials; remote, alone, multi-site or client-premises work; I need to confirm.</t>
        </is>
      </c>
      <c r="E11" s="6" t="inlineStr">
        <is>
          <t>Use a maintained state/industry rules table to screen portable leave and regulated work. Ask a short follow-up rather than assume non-applicability.</t>
        </is>
      </c>
      <c r="F11" s="6" t="inlineStr">
        <is>
          <t>PORTABLE;CREDENTIAL;REMOTE</t>
        </is>
      </c>
      <c r="G11" s="6" t="inlineStr">
        <is>
          <t>S11;S13;S31;S32</t>
        </is>
      </c>
      <c r="H11" s="6" t="inlineStr">
        <is>
          <t>https://www.safeworkaustralia.gov.au/safety-topic/managing-health-and-safety/mental-health/managing-risks/identifying-assessing-controlling-and-reviewing
https://www.safeworkaustralia.gov.au/safety-topic/managing-health-and-safety/identify-assess-and-control-hazards/managing-risks
https://www.nsw.gov.au/employment/rights-responsibilities/portable-long-service/csi-long-service-leave-scheme/employer-obligations
https://immi.homeaffairs.gov.au/visa-conditions-subsite/Pages/Check-conditions-online-vevo.aspx</t>
        </is>
      </c>
    </row>
    <row r="12" ht="42" customHeight="1">
      <c r="A12" s="5" t="inlineStr">
        <is>
          <t>P07</t>
        </is>
      </c>
      <c r="B12" s="5" t="inlineStr">
        <is>
          <t>Decision-making structure</t>
        </is>
      </c>
      <c r="C12" s="5" t="inlineStr">
        <is>
          <t>Who makes day-to-day decisions about employees?</t>
        </is>
      </c>
      <c r="D12" s="5" t="inlineStr">
        <is>
          <t>Owner alone; one designated leader; several managers or site leaders; external support; combination; I need to confirm.</t>
        </is>
      </c>
      <c r="E12" s="5" t="inlineStr">
        <is>
          <t>All businesses answer the core leadership questions. Multiple decision-makers or sites enable a consistency follow-up, not an automatic score penalty.</t>
        </is>
      </c>
      <c r="F12" s="5" t="inlineStr">
        <is>
          <t>MANAGERS</t>
        </is>
      </c>
      <c r="G12" s="5" t="inlineStr">
        <is>
          <t>DESIGN</t>
        </is>
      </c>
      <c r="H12" s="5" t="inlineStr"/>
    </row>
    <row r="13" ht="70" customHeight="1">
      <c r="A13" s="6" t="inlineStr">
        <is>
          <t>P08</t>
        </is>
      </c>
      <c r="B13" s="6" t="inlineStr">
        <is>
          <t>Technology and contact</t>
        </is>
      </c>
      <c r="C13" s="6" t="inlineStr">
        <is>
          <t>Do you use technology to influence people decisions, or expect employees to deal with work contact outside their hours?</t>
        </is>
      </c>
      <c r="D13" s="6" t="inlineStr">
        <is>
          <t>AI/automated recruitment, rostering, monitoring or people decisions: yes/no/unsure; after-hours contact expectations: yes/no/unsure.</t>
        </is>
      </c>
      <c r="E13" s="6" t="inlineStr">
        <is>
          <t>Use two separate controls on one profile card, not a combined yes/no question. Link current oversight and future legal transparency dates to the appropriate scope.</t>
        </is>
      </c>
      <c r="F13" s="6" t="inlineStr">
        <is>
          <t>AI;AFTER_HOURS</t>
        </is>
      </c>
      <c r="G13" s="6" t="inlineStr">
        <is>
          <t>S17;S20</t>
        </is>
      </c>
      <c r="H13" s="6" t="inlineStr">
        <is>
          <t>https://www.oaic.gov.au/news/media-centre/new-resources-on-transparency-for-use-of-ai-and-automated-decision-making
https://www.fairwork.gov.au/newsroom/news/start-right-disconnect-and-casual-changes-small-businesses</t>
        </is>
      </c>
    </row>
    <row r="14" ht="70" customHeight="1">
      <c r="A14" s="5" t="inlineStr">
        <is>
          <t>P09</t>
        </is>
      </c>
      <c r="B14" s="5" t="inlineStr">
        <is>
          <t>Change and near-term plans</t>
        </is>
      </c>
      <c r="C14" s="5" t="inlineStr">
        <is>
          <t>Are changes planned that could affect roles, staffing, work organisation, technology, hours or rosters?</t>
        </is>
      </c>
      <c r="D14" s="5" t="inlineStr">
        <is>
          <t>No planned material change; change without identified job loss; possible redundancy/restructure; I need to confirm.</t>
        </is>
      </c>
      <c r="E14" s="5" t="inlineStr">
        <is>
          <t>Enable consultation for relevant change and redundancy checks where role removal is contemplated. Do not require an actual dismissal to assess readiness.</t>
        </is>
      </c>
      <c r="F14" s="5" t="inlineStr">
        <is>
          <t>CHANGE;REDUNDANCY</t>
        </is>
      </c>
      <c r="G14" s="5" t="inlineStr">
        <is>
          <t>S25;S26</t>
        </is>
      </c>
      <c r="H14" s="5" t="inlineStr">
        <is>
          <t>https://www.fairwork.gov.au/tools-and-resources/best-practice-guides/consultation-and-cooperation-in-the-workplace
https://www.fairwork.gov.au/tools-and-resources/fact-sheets/minimum-workplace-entitlements/ending-employment</t>
        </is>
      </c>
    </row>
    <row r="15" ht="112" customHeight="1">
      <c r="A15" s="6" t="inlineStr">
        <is>
          <t>P10</t>
        </is>
      </c>
      <c r="B15" s="6" t="inlineStr">
        <is>
          <t>Reporting and information coverage</t>
        </is>
      </c>
      <c r="C15" s="6" t="inlineStr">
        <is>
          <t>Does the business or group have reporting or privacy obligations that need to be reflected in this assessment?</t>
        </is>
      </c>
      <c r="D15" s="6" t="inlineStr">
        <is>
          <t>WGEA: reporting history, legal/group scope and relevant employee numbers; Privacy Act: turnover, health-service or other exceptions, I need to confirm.</t>
        </is>
      </c>
      <c r="E15" s="6" t="inlineStr">
        <is>
          <t>Ask only the clarifiers needed. WGEA is not a universal 100-headcount switch; privacy coverage is not determined by staff numbers. Good information practices remain relevant to all.</t>
        </is>
      </c>
      <c r="F15" s="6" t="inlineStr">
        <is>
          <t>WGEA / APP_COVERAGE</t>
        </is>
      </c>
      <c r="G15" s="6" t="inlineStr">
        <is>
          <t>S15;S16;S18;S19</t>
        </is>
      </c>
      <c r="H15" s="6" t="inlineStr">
        <is>
          <t>https://www.oaic.gov.au/privacy/privacy-guidance-for-organisations-and-government-agencies/organisations/employee-records-exemption
https://www.oaic.gov.au/privacy/privacy-guidance-for-organisations-and-government-agencies/organisations/small-business
https://www.wgea.gov.au/reporting/reporting-guide/eligibility
https://www.wgea.gov.au/reporting/reporting-guide/corporate-structures</t>
        </is>
      </c>
    </row>
    <row r="16" ht="140" customHeight="1">
      <c r="A16" s="5" t="inlineStr">
        <is>
          <t>P11</t>
        </is>
      </c>
      <c r="B16" s="5" t="inlineStr">
        <is>
          <t>Immediate matters</t>
        </is>
      </c>
      <c r="C16" s="5" t="inlineStr">
        <is>
          <t>Is there an immediate safety concern, known pay shortfall, live termination decision or external response deadline that needs attention?</t>
        </is>
      </c>
      <c r="D16" s="5" t="inlineStr">
        <is>
          <t>Yes; no; I need to confirm. Optional matter category and due date only. No employee names or incident narrative.</t>
        </is>
      </c>
      <c r="E16" s="5" t="inlineStr">
        <is>
          <t>A yes opens an immediate support/safety notice independent of the score. Do not suggest waiting for an assessment action plan or continuing exposure.</t>
        </is>
      </c>
      <c r="F16" s="5" t="inlineStr">
        <is>
          <t>LIVE_MATTER</t>
        </is>
      </c>
      <c r="G16" s="5" t="inlineStr">
        <is>
          <t>S05;S10;S13;S26</t>
        </is>
      </c>
      <c r="H16" s="5" t="inlineStr">
        <is>
          <t>https://www.ato.gov.au/businesses-and-organisations/super-for-employers/paying-super-on-payday/payment-deadlines-for-payday-super
https://humanrights.gov.au/resource-hub/resources-for-organisations-businesses/positive-duty-pdfs/guidelines-for-complying-with-the-positive-duty-under-the-sex-discrimination-act-1984-cth
https://www.safeworkaustralia.gov.au/safety-topic/managing-health-and-safety/identify-assess-and-control-hazards/managing-risks
https://www.fairwork.gov.au/tools-and-resources/fact-sheets/minimum-workplace-entitlements/ending-employment</t>
        </is>
      </c>
    </row>
    <row r="17" ht="42" customHeight="1">
      <c r="A17" s="6" t="inlineStr">
        <is>
          <t>P12</t>
        </is>
      </c>
      <c r="B17" s="6" t="inlineStr">
        <is>
          <t>Business priorities</t>
        </is>
      </c>
      <c r="C17" s="6" t="inlineStr">
        <is>
          <t>Which people issues most affect your business at present?</t>
        </is>
      </c>
      <c r="D17" s="6" t="inlineStr">
        <is>
          <t>Getting pay right; managing growth; retaining people; capable managers; safe/respectful work; reliable administration; other. Select up to two.</t>
        </is>
      </c>
      <c r="E17" s="6" t="inlineStr">
        <is>
          <t>Use only to order equally urgent development actions and tailor the introduction. Never reduce the visibility or weighting of safety or mandatory obligations.</t>
        </is>
      </c>
      <c r="F17" s="6" t="inlineStr">
        <is>
          <t>PRIORITY_CONTEXT</t>
        </is>
      </c>
      <c r="G17" s="6" t="inlineStr">
        <is>
          <t>DESIGN</t>
        </is>
      </c>
      <c r="H17" s="6" t="inlineStr"/>
    </row>
    <row r="18" ht="70" customHeight="1">
      <c r="A18" s="5" t="inlineStr">
        <is>
          <t>SALARY</t>
        </is>
      </c>
      <c r="B18" s="5" t="inlineStr">
        <is>
          <t>Conditional route</t>
        </is>
      </c>
      <c r="C18" s="5" t="inlineStr">
        <is>
          <t>A salary or flat rate is intended to absorb award/agreement entitlements; include if the basis is unknown. Do not trigger merely because someone is paid a salary in a confirmed award-free role.</t>
        </is>
      </c>
      <c r="D18" s="5" t="inlineStr">
        <is>
          <t>yes = show; no = exclude only if confirmed; unknown = show or ask a targeted clarifier. Store the reason for exclusion.</t>
        </is>
      </c>
      <c r="E18" s="5" t="inlineStr">
        <is>
          <t>An excluded question contributes neither points nor denominator. A displayed but unanswered question blocks the final result.</t>
        </is>
      </c>
      <c r="F18" s="5" t="inlineStr">
        <is>
          <t>B01</t>
        </is>
      </c>
      <c r="G18" s="5" t="inlineStr">
        <is>
          <t>S06;S07</t>
        </is>
      </c>
      <c r="H18" s="5" t="inlineStr">
        <is>
          <t>https://www.fairwork.gov.au/pay-and-wages/minimum-wages/annualised-salaries
https://www.fairwork.gov.au/newsroom/news/offsetting-and-record-keeping-salaried-employees</t>
        </is>
      </c>
    </row>
    <row r="19" ht="84" customHeight="1">
      <c r="A19" s="6" t="inlineStr">
        <is>
          <t>CASUAL</t>
        </is>
      </c>
      <c r="B19" s="6" t="inlineStr">
        <is>
          <t>Conditional route</t>
        </is>
      </c>
      <c r="C19" s="6" t="inlineStr">
        <is>
          <t>Casual employees are engaged or planned. Do not exclude small businesses or assume a blanket exemption.</t>
        </is>
      </c>
      <c r="D19" s="6" t="inlineStr">
        <is>
          <t>yes = show; no = exclude only if confirmed; unknown = show or ask a targeted clarifier. Store the reason for exclusion.</t>
        </is>
      </c>
      <c r="E19" s="6" t="inlineStr">
        <is>
          <t>An excluded question contributes neither points nor denominator. A displayed but unanswered question blocks the final result.</t>
        </is>
      </c>
      <c r="F19" s="6" t="inlineStr">
        <is>
          <t>B02;B03</t>
        </is>
      </c>
      <c r="G19" s="6" t="inlineStr">
        <is>
          <t>S02;S03;S04</t>
        </is>
      </c>
      <c r="H19" s="6" t="inlineStr">
        <is>
          <t>https://www.fairwork.gov.au/taxonomy/term/527
https://www.fairwork.gov.au/starting-employment/types-of-employees/casual-employees/becoming-a-permanent-employee
https://www.fairwork.gov.au/employment-conditions/information-statements/casual-employment-information-statement</t>
        </is>
      </c>
    </row>
    <row r="20" ht="42" customHeight="1">
      <c r="A20" s="5" t="inlineStr">
        <is>
          <t>FIXED</t>
        </is>
      </c>
      <c r="B20" s="5" t="inlineStr">
        <is>
          <t>Conditional route</t>
        </is>
      </c>
      <c r="C20" s="5" t="inlineStr">
        <is>
          <t>Fixed-term contracts are used or planned, including renewals. Assess exceptions inside the question; do not infer exemption from funding.</t>
        </is>
      </c>
      <c r="D20" s="5" t="inlineStr">
        <is>
          <t>yes = show; no = exclude only if confirmed; unknown = show or ask a targeted clarifier. Store the reason for exclusion.</t>
        </is>
      </c>
      <c r="E20" s="5" t="inlineStr">
        <is>
          <t>An excluded question contributes neither points nor denominator. A displayed but unanswered question blocks the final result.</t>
        </is>
      </c>
      <c r="F20" s="5" t="inlineStr">
        <is>
          <t>B04</t>
        </is>
      </c>
      <c r="G20" s="5" t="inlineStr">
        <is>
          <t>S09</t>
        </is>
      </c>
      <c r="H20" s="5" t="inlineStr">
        <is>
          <t>https://www.fairwork.gov.au/starting-employment/types-of-employees/fixed-term-contract-employees</t>
        </is>
      </c>
    </row>
    <row r="21" ht="84" customHeight="1">
      <c r="A21" s="6" t="inlineStr">
        <is>
          <t>CONTRACTOR</t>
        </is>
      </c>
      <c r="B21" s="6" t="inlineStr">
        <is>
          <t>Conditional route</t>
        </is>
      </c>
      <c r="C21" s="6" t="inlineStr">
        <is>
          <t>Independent contractors are used or planned. Include if engagement status is uncertain.</t>
        </is>
      </c>
      <c r="D21" s="6" t="inlineStr">
        <is>
          <t>yes = show; no = exclude only if confirmed; unknown = show or ask a targeted clarifier. Store the reason for exclusion.</t>
        </is>
      </c>
      <c r="E21" s="6" t="inlineStr">
        <is>
          <t>An excluded question contributes neither points nor denominator. A displayed but unanswered question blocks the final result.</t>
        </is>
      </c>
      <c r="F21" s="6" t="inlineStr">
        <is>
          <t>B05</t>
        </is>
      </c>
      <c r="G21" s="6" t="inlineStr">
        <is>
          <t>S23;S24</t>
        </is>
      </c>
      <c r="H21" s="6" t="inlineStr">
        <is>
          <t>https://www.fairwork.gov.au/find-help-for/independent-contractors/whole-of-relationship-test
https://www.ato.gov.au/businesses-and-organisations/super-for-employers/work-out-if-you-have-to-pay-super/super-for-independent-contractors</t>
        </is>
      </c>
    </row>
    <row r="22" ht="98" customHeight="1">
      <c r="A22" s="5" t="inlineStr">
        <is>
          <t>PART_TIME</t>
        </is>
      </c>
      <c r="B22" s="5" t="inlineStr">
        <is>
          <t>Conditional route</t>
        </is>
      </c>
      <c r="C22" s="5" t="inlineStr">
        <is>
          <t>Part-time employees are engaged or planned, particularly where hours may vary.</t>
        </is>
      </c>
      <c r="D22" s="5" t="inlineStr">
        <is>
          <t>yes = show; no = exclude only if confirmed; unknown = show or ask a targeted clarifier. Store the reason for exclusion.</t>
        </is>
      </c>
      <c r="E22" s="5" t="inlineStr">
        <is>
          <t>An excluded question contributes neither points nor denominator. A displayed but unanswered question blocks the final result.</t>
        </is>
      </c>
      <c r="F22" s="5" t="inlineStr">
        <is>
          <t>B06</t>
        </is>
      </c>
      <c r="G22" s="5" t="inlineStr">
        <is>
          <t>S06;S25;S14</t>
        </is>
      </c>
      <c r="H22" s="5" t="inlineStr">
        <is>
          <t>https://www.fairwork.gov.au/pay-and-wages/minimum-wages/annualised-salaries
https://www.fairwork.gov.au/tools-and-resources/best-practice-guides/consultation-and-cooperation-in-the-workplace
https://www.fairwork.gov.au/tools-and-resources/fact-sheets/rights-and-obligations/record-keeping-pay-slips</t>
        </is>
      </c>
    </row>
    <row r="23" ht="70" customHeight="1">
      <c r="A23" s="6" t="inlineStr">
        <is>
          <t>ALLOWANCE</t>
        </is>
      </c>
      <c r="B23" s="6" t="inlineStr">
        <is>
          <t>Conditional route</t>
        </is>
      </c>
      <c r="C23" s="6" t="inlineStr">
        <is>
          <t>Award/agreement coverage or allowance/loading obligations apply, or coverage is unknown. Exclude only after relevant non-applicability is confirmed.</t>
        </is>
      </c>
      <c r="D23" s="6" t="inlineStr">
        <is>
          <t>yes = show; no = exclude only if confirmed; unknown = show or ask a targeted clarifier. Store the reason for exclusion.</t>
        </is>
      </c>
      <c r="E23" s="6" t="inlineStr">
        <is>
          <t>An excluded question contributes neither points nor denominator. A displayed but unanswered question blocks the final result.</t>
        </is>
      </c>
      <c r="F23" s="6" t="inlineStr">
        <is>
          <t>B07</t>
        </is>
      </c>
      <c r="G23" s="6" t="inlineStr">
        <is>
          <t>S06;S07</t>
        </is>
      </c>
      <c r="H23" s="6" t="inlineStr">
        <is>
          <t>https://www.fairwork.gov.au/pay-and-wages/minimum-wages/annualised-salaries
https://www.fairwork.gov.au/newsroom/news/offsetting-and-record-keeping-salaried-employees</t>
        </is>
      </c>
    </row>
    <row r="24" ht="56" customHeight="1">
      <c r="A24" s="5" t="inlineStr">
        <is>
          <t>DEDUCTION</t>
        </is>
      </c>
      <c r="B24" s="5" t="inlineStr">
        <is>
          <t>Conditional route</t>
        </is>
      </c>
      <c r="C24" s="5" t="inlineStr">
        <is>
          <t>Non-statutory deductions or employee repayments through payroll are used or planned. PAYG and ordinary mandated deductions alone do not trigger this branch.</t>
        </is>
      </c>
      <c r="D24" s="5" t="inlineStr">
        <is>
          <t>yes = show; no = exclude only if confirmed; unknown = show or ask a targeted clarifier. Store the reason for exclusion.</t>
        </is>
      </c>
      <c r="E24" s="5" t="inlineStr">
        <is>
          <t>An excluded question contributes neither points nor denominator. A displayed but unanswered question blocks the final result.</t>
        </is>
      </c>
      <c r="F24" s="5" t="inlineStr">
        <is>
          <t>B08</t>
        </is>
      </c>
      <c r="G24" s="5" t="inlineStr">
        <is>
          <t>S08</t>
        </is>
      </c>
      <c r="H24" s="5" t="inlineStr">
        <is>
          <t>https://www.fairwork.gov.au/pay-and-wages/deductions-and-related-issues/deducting-pay</t>
        </is>
      </c>
    </row>
    <row r="25" ht="56" customHeight="1">
      <c r="A25" s="6" t="inlineStr">
        <is>
          <t>SHUTDOWN</t>
        </is>
      </c>
      <c r="B25" s="6" t="inlineStr">
        <is>
          <t>Conditional route</t>
        </is>
      </c>
      <c r="C25" s="6" t="inlineStr">
        <is>
          <t>A shutdown involving employee leave is planned or regularly occurs.</t>
        </is>
      </c>
      <c r="D25" s="6" t="inlineStr">
        <is>
          <t>yes = show; no = exclude only if confirmed; unknown = show or ask a targeted clarifier. Store the reason for exclusion.</t>
        </is>
      </c>
      <c r="E25" s="6" t="inlineStr">
        <is>
          <t>An excluded question contributes neither points nor denominator. A displayed but unanswered question blocks the final result.</t>
        </is>
      </c>
      <c r="F25" s="6" t="inlineStr">
        <is>
          <t>B09</t>
        </is>
      </c>
      <c r="G25" s="6" t="inlineStr">
        <is>
          <t>S29</t>
        </is>
      </c>
      <c r="H25" s="6" t="inlineStr">
        <is>
          <t>https://www.fairwork.gov.au/leave/annual-leave/directing-an-employee-to-take-annual-leave/direction-to-take-annual-leave-during-a-shut-down</t>
        </is>
      </c>
    </row>
    <row r="26" ht="42" customHeight="1">
      <c r="A26" s="5" t="inlineStr">
        <is>
          <t>CASHOUT</t>
        </is>
      </c>
      <c r="B26" s="5" t="inlineStr">
        <is>
          <t>Conditional route</t>
        </is>
      </c>
      <c r="C26" s="5" t="inlineStr">
        <is>
          <t>Annual-leave cash-out requests occur or the business plans to offer them.</t>
        </is>
      </c>
      <c r="D26" s="5" t="inlineStr">
        <is>
          <t>yes = show; no = exclude only if confirmed; unknown = show or ask a targeted clarifier. Store the reason for exclusion.</t>
        </is>
      </c>
      <c r="E26" s="5" t="inlineStr">
        <is>
          <t>An excluded question contributes neither points nor denominator. A displayed but unanswered question blocks the final result.</t>
        </is>
      </c>
      <c r="F26" s="5" t="inlineStr">
        <is>
          <t>B10</t>
        </is>
      </c>
      <c r="G26" s="5" t="inlineStr">
        <is>
          <t>S28</t>
        </is>
      </c>
      <c r="H26" s="5" t="inlineStr">
        <is>
          <t>https://www.fairwork.gov.au/leave/annual-leave/cashing-out-annual-leave</t>
        </is>
      </c>
    </row>
    <row r="27" ht="42" customHeight="1">
      <c r="A27" s="6" t="inlineStr">
        <is>
          <t>PORTABLE</t>
        </is>
      </c>
      <c r="B27" s="6" t="inlineStr">
        <is>
          <t>Conditional route</t>
        </is>
      </c>
      <c r="C27" s="6" t="inlineStr">
        <is>
          <t>State/industry screening indicates potential portable-leave coverage, or coverage remains unknown. Maintain the scheme rules separately.</t>
        </is>
      </c>
      <c r="D27" s="6" t="inlineStr">
        <is>
          <t>yes = show; no = exclude only if confirmed; unknown = show or ask a targeted clarifier. Store the reason for exclusion.</t>
        </is>
      </c>
      <c r="E27" s="6" t="inlineStr">
        <is>
          <t>An excluded question contributes neither points nor denominator. A displayed but unanswered question blocks the final result.</t>
        </is>
      </c>
      <c r="F27" s="6" t="inlineStr">
        <is>
          <t>B11</t>
        </is>
      </c>
      <c r="G27" s="6" t="inlineStr">
        <is>
          <t>S31</t>
        </is>
      </c>
      <c r="H27" s="6" t="inlineStr">
        <is>
          <t>https://www.nsw.gov.au/employment/rights-responsibilities/portable-long-service/csi-long-service-leave-scheme/employer-obligations</t>
        </is>
      </c>
    </row>
    <row r="28" ht="56" customHeight="1">
      <c r="A28" s="5" t="inlineStr">
        <is>
          <t>IFA</t>
        </is>
      </c>
      <c r="B28" s="5" t="inlineStr">
        <is>
          <t>Conditional route</t>
        </is>
      </c>
      <c r="C28" s="5" t="inlineStr">
        <is>
          <t>A formal individual flexibility arrangement under an award/agreement is used or planned, or the respondent is unsure of the instrument they use.</t>
        </is>
      </c>
      <c r="D28" s="5" t="inlineStr">
        <is>
          <t>yes = show; no = exclude only if confirmed; unknown = show or ask a targeted clarifier. Store the reason for exclusion.</t>
        </is>
      </c>
      <c r="E28" s="5" t="inlineStr">
        <is>
          <t>An excluded question contributes neither points nor denominator. A displayed but unanswered question blocks the final result.</t>
        </is>
      </c>
      <c r="F28" s="5" t="inlineStr">
        <is>
          <t>B12</t>
        </is>
      </c>
      <c r="G28" s="5" t="inlineStr">
        <is>
          <t>S30</t>
        </is>
      </c>
      <c r="H28" s="5" t="inlineStr">
        <is>
          <t>https://www.fairwork.gov.au/employment-conditions/flexibility-in-the-workplace/individual-flexibility-arrangements</t>
        </is>
      </c>
    </row>
    <row r="29" ht="70" customHeight="1">
      <c r="A29" s="6" t="inlineStr">
        <is>
          <t>CREDENTIAL</t>
        </is>
      </c>
      <c r="B29" s="6" t="inlineStr">
        <is>
          <t>Conditional route</t>
        </is>
      </c>
      <c r="C29" s="6" t="inlineStr">
        <is>
          <t>Roles need licences, registrations, checks or qualifications for regulated or safety-critical work.</t>
        </is>
      </c>
      <c r="D29" s="6" t="inlineStr">
        <is>
          <t>yes = show; no = exclude only if confirmed; unknown = show or ask a targeted clarifier. Store the reason for exclusion.</t>
        </is>
      </c>
      <c r="E29" s="6" t="inlineStr">
        <is>
          <t>An excluded question contributes neither points nor denominator. A displayed but unanswered question blocks the final result.</t>
        </is>
      </c>
      <c r="F29" s="6" t="inlineStr">
        <is>
          <t>B13</t>
        </is>
      </c>
      <c r="G29" s="6" t="inlineStr">
        <is>
          <t>S13;S32</t>
        </is>
      </c>
      <c r="H29" s="6" t="inlineStr">
        <is>
          <t>https://www.safeworkaustralia.gov.au/safety-topic/managing-health-and-safety/identify-assess-and-control-hazards/managing-risks
https://immi.homeaffairs.gov.au/visa-conditions-subsite/Pages/Check-conditions-online-vevo.aspx</t>
        </is>
      </c>
    </row>
    <row r="30" ht="98" customHeight="1">
      <c r="A30" s="5" t="inlineStr">
        <is>
          <t>AI</t>
        </is>
      </c>
      <c r="B30" s="5" t="inlineStr">
        <is>
          <t>Conditional route</t>
        </is>
      </c>
      <c r="C30" s="5" t="inlineStr">
        <is>
          <t>AI or automated tools influence applicant/employee decisions, or use is planned/uncertain. General text drafting with no people-decision effect is not by itself this route.</t>
        </is>
      </c>
      <c r="D30" s="5" t="inlineStr">
        <is>
          <t>yes = show; no = exclude only if confirmed; unknown = show or ask a targeted clarifier. Store the reason for exclusion.</t>
        </is>
      </c>
      <c r="E30" s="5" t="inlineStr">
        <is>
          <t>An excluded question contributes neither points nor denominator. A displayed but unanswered question blocks the final result.</t>
        </is>
      </c>
      <c r="F30" s="5" t="inlineStr">
        <is>
          <t>B14</t>
        </is>
      </c>
      <c r="G30" s="5" t="inlineStr">
        <is>
          <t>S15;S16;S17</t>
        </is>
      </c>
      <c r="H30" s="5" t="inlineStr">
        <is>
          <t>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row>
    <row r="31" ht="84" customHeight="1">
      <c r="A31" s="6" t="inlineStr">
        <is>
          <t>REMOTE</t>
        </is>
      </c>
      <c r="B31" s="6" t="inlineStr">
        <is>
          <t>Conditional route</t>
        </is>
      </c>
      <c r="C31" s="6" t="inlineStr">
        <is>
          <t>People work remotely, alone, across sites or at client premises, or the arrangements are being introduced.</t>
        </is>
      </c>
      <c r="D31" s="6" t="inlineStr">
        <is>
          <t>yes = show; no = exclude only if confirmed; unknown = show or ask a targeted clarifier. Store the reason for exclusion.</t>
        </is>
      </c>
      <c r="E31" s="6" t="inlineStr">
        <is>
          <t>An excluded question contributes neither points nor denominator. A displayed but unanswered question blocks the final result.</t>
        </is>
      </c>
      <c r="F31" s="6" t="inlineStr">
        <is>
          <t>B15</t>
        </is>
      </c>
      <c r="G31" s="6" t="inlineStr">
        <is>
          <t>S13;S11</t>
        </is>
      </c>
      <c r="H31" s="6" t="inlineStr">
        <is>
          <t>https://www.safeworkaustralia.gov.au/safety-topic/managing-health-and-safety/identify-assess-and-control-hazards/managing-risks
https://www.safeworkaustralia.gov.au/safety-topic/managing-health-and-safety/mental-health/managing-risks/identifying-assessing-controlling-and-reviewing</t>
        </is>
      </c>
    </row>
    <row r="32" ht="56" customHeight="1">
      <c r="A32" s="5" t="inlineStr">
        <is>
          <t>WGEA</t>
        </is>
      </c>
      <c r="B32" s="5" t="inlineStr">
        <is>
          <t>Conditional route</t>
        </is>
      </c>
      <c r="C32" s="5" t="inlineStr">
        <is>
          <t>Current WGEA eligibility/group/history screening indicates actual or possible reporting obligations. Confirm eligibility rather than simply testing this entity at 100.</t>
        </is>
      </c>
      <c r="D32" s="5" t="inlineStr">
        <is>
          <t>yes = show; no = exclude only if confirmed; unknown = show or ask a targeted clarifier. Store the reason for exclusion.</t>
        </is>
      </c>
      <c r="E32" s="5" t="inlineStr">
        <is>
          <t>An excluded question contributes neither points nor denominator. A displayed but unanswered question blocks the final result.</t>
        </is>
      </c>
      <c r="F32" s="5" t="inlineStr">
        <is>
          <t>B16</t>
        </is>
      </c>
      <c r="G32" s="5" t="inlineStr">
        <is>
          <t>S18;S19</t>
        </is>
      </c>
      <c r="H32" s="5" t="inlineStr">
        <is>
          <t>https://www.wgea.gov.au/reporting/reporting-guide/eligibility
https://www.wgea.gov.au/reporting/reporting-guide/corporate-structures</t>
        </is>
      </c>
    </row>
    <row r="33" ht="84" customHeight="1">
      <c r="A33" s="6" t="inlineStr">
        <is>
          <t>REDUNDANCY</t>
        </is>
      </c>
      <c r="B33" s="6" t="inlineStr">
        <is>
          <t>Conditional route</t>
        </is>
      </c>
      <c r="C33" s="6" t="inlineStr">
        <is>
          <t>Role removal, reduced staffing or a restructure with possible redundancy is contemplated or in progress.</t>
        </is>
      </c>
      <c r="D33" s="6" t="inlineStr">
        <is>
          <t>yes = show; no = exclude only if confirmed; unknown = show or ask a targeted clarifier. Store the reason for exclusion.</t>
        </is>
      </c>
      <c r="E33" s="6" t="inlineStr">
        <is>
          <t>An excluded question contributes neither points nor denominator. A displayed but unanswered question blocks the final result.</t>
        </is>
      </c>
      <c r="F33" s="6" t="inlineStr">
        <is>
          <t>B17</t>
        </is>
      </c>
      <c r="G33" s="6" t="inlineStr">
        <is>
          <t>S02;S25;S26</t>
        </is>
      </c>
      <c r="H33" s="6" t="inlineStr">
        <is>
          <t>https://www.fairwork.gov.au/taxonomy/term/527
https://www.fairwork.gov.au/tools-and-resources/best-practice-guides/consultation-and-cooperation-in-the-workplace
https://www.fairwork.gov.au/tools-and-resources/fact-sheets/minimum-workplace-entitlements/ending-employment</t>
        </is>
      </c>
    </row>
    <row r="34" ht="70" customHeight="1">
      <c r="A34" s="5" t="inlineStr">
        <is>
          <t>MANAGERS</t>
        </is>
      </c>
      <c r="B34" s="5" t="inlineStr">
        <is>
          <t>Conditional route</t>
        </is>
      </c>
      <c r="C34" s="5" t="inlineStr">
        <is>
          <t>More than one person or site exercises people-management decisions; include uncertain decision ownership.</t>
        </is>
      </c>
      <c r="D34" s="5" t="inlineStr">
        <is>
          <t>yes = show; no = exclude only if confirmed; unknown = show or ask a targeted clarifier. Store the reason for exclusion.</t>
        </is>
      </c>
      <c r="E34" s="5" t="inlineStr">
        <is>
          <t>An excluded question contributes neither points nor denominator. A displayed but unanswered question blocks the final result.</t>
        </is>
      </c>
      <c r="F34" s="5" t="inlineStr">
        <is>
          <t>B18</t>
        </is>
      </c>
      <c r="G34" s="5" t="inlineStr">
        <is>
          <t>S27;S25</t>
        </is>
      </c>
      <c r="H34" s="5" t="inlineStr">
        <is>
          <t>https://www.fairwork.gov.au/sites/default/files/migration/711/managing-underperformance-best-practice-guide.pdf
https://www.fairwork.gov.au/tools-and-resources/best-practice-guides/consultation-and-cooperation-in-the-workplace</t>
        </is>
      </c>
    </row>
    <row r="35" ht="84" customHeight="1">
      <c r="A35" s="6" t="inlineStr">
        <is>
          <t>AFTER_HOURS</t>
        </is>
      </c>
      <c r="B35" s="6" t="inlineStr">
        <is>
          <t>Conditional route</t>
        </is>
      </c>
      <c r="C35" s="6" t="inlineStr">
        <is>
          <t>The business contacts staff, expects availability or has on-call arrangements outside ordinary working hours, or is unsure about practice.</t>
        </is>
      </c>
      <c r="D35" s="6" t="inlineStr">
        <is>
          <t>yes = show; no = exclude only if confirmed; unknown = show or ask a targeted clarifier. Store the reason for exclusion.</t>
        </is>
      </c>
      <c r="E35" s="6" t="inlineStr">
        <is>
          <t>An excluded question contributes neither points nor denominator. A displayed but unanswered question blocks the final result.</t>
        </is>
      </c>
      <c r="F35" s="6" t="inlineStr">
        <is>
          <t>B19</t>
        </is>
      </c>
      <c r="G35" s="6" t="inlineStr">
        <is>
          <t>S20;S11</t>
        </is>
      </c>
      <c r="H35" s="6" t="inlineStr">
        <is>
          <t>https://www.fairwork.gov.au/newsroom/news/start-right-disconnect-and-casual-changes-small-businesses
https://www.safeworkaustralia.gov.au/safety-topic/managing-health-and-safety/mental-health/managing-risks/identifying-assessing-controlling-and-reviewing</t>
        </is>
      </c>
    </row>
    <row r="36" ht="84" customHeight="1">
      <c r="A36" s="5" t="inlineStr">
        <is>
          <t>AGREEMENT</t>
        </is>
      </c>
      <c r="B36" s="5" t="inlineStr">
        <is>
          <t>Conditional route</t>
        </is>
      </c>
      <c r="C36" s="5" t="inlineStr">
        <is>
          <t>An enterprise agreement covers any employees, or agreement coverage/status needs confirmation.</t>
        </is>
      </c>
      <c r="D36" s="5" t="inlineStr">
        <is>
          <t>yes = show; no = exclude only if confirmed; unknown = show or ask a targeted clarifier. Store the reason for exclusion.</t>
        </is>
      </c>
      <c r="E36" s="5" t="inlineStr">
        <is>
          <t>An excluded question contributes neither points nor denominator. A displayed but unanswered question blocks the final result.</t>
        </is>
      </c>
      <c r="F36" s="5" t="inlineStr">
        <is>
          <t>B20</t>
        </is>
      </c>
      <c r="G36" s="5" t="inlineStr">
        <is>
          <t>S06;S25;S37</t>
        </is>
      </c>
      <c r="H36" s="5" t="inlineStr">
        <is>
          <t>https://www.fairwork.gov.au/pay-and-wages/minimum-wages/annualised-salaries
https://www.fairwork.gov.au/tools-and-resources/best-practice-guides/consultation-and-cooperation-in-the-workplace
https://www.fwc.gov.au/what-enterprise-agreement</t>
        </is>
      </c>
    </row>
    <row r="37" ht="84" customHeight="1">
      <c r="A37" s="6" t="inlineStr">
        <is>
          <t>CHANGE</t>
        </is>
      </c>
      <c r="B37" s="6" t="inlineStr">
        <is>
          <t>Conditional route</t>
        </is>
      </c>
      <c r="C37" s="6" t="inlineStr">
        <is>
          <t>Material changes to work, technology, structure, rosters or hours are planned or occurring; duties depend on instrument and circumstances.</t>
        </is>
      </c>
      <c r="D37" s="6" t="inlineStr">
        <is>
          <t>yes = show; no = exclude only if confirmed; unknown = show or ask a targeted clarifier. Store the reason for exclusion.</t>
        </is>
      </c>
      <c r="E37" s="6" t="inlineStr">
        <is>
          <t>An excluded question contributes neither points nor denominator. A displayed but unanswered question blocks the final result.</t>
        </is>
      </c>
      <c r="F37" s="6" t="inlineStr">
        <is>
          <t>B21</t>
        </is>
      </c>
      <c r="G37" s="6" t="inlineStr">
        <is>
          <t>S25;S11</t>
        </is>
      </c>
      <c r="H37" s="6" t="inlineStr">
        <is>
          <t>https://www.fairwork.gov.au/tools-and-resources/best-practice-guides/consultation-and-cooperation-in-the-workplace
https://www.safeworkaustralia.gov.au/safety-topic/managing-health-and-safety/mental-health/managing-risks/identifying-assessing-controlling-and-reviewing</t>
        </is>
      </c>
    </row>
    <row r="38" ht="70" customHeight="1">
      <c r="A38" s="5" t="inlineStr">
        <is>
          <t>JUNIOR</t>
        </is>
      </c>
      <c r="B38" s="5" t="inlineStr">
        <is>
          <t>Conditional route</t>
        </is>
      </c>
      <c r="C38" s="5" t="inlineStr">
        <is>
          <t>Juniors, apprentices or trainees are engaged or planned; validate training arrangements and applicable classifications.</t>
        </is>
      </c>
      <c r="D38" s="5" t="inlineStr">
        <is>
          <t>yes = show; no = exclude only if confirmed; unknown = show or ask a targeted clarifier. Store the reason for exclusion.</t>
        </is>
      </c>
      <c r="E38" s="5" t="inlineStr">
        <is>
          <t>An excluded question contributes neither points nor denominator. A displayed but unanswered question blocks the final result.</t>
        </is>
      </c>
      <c r="F38" s="5" t="inlineStr">
        <is>
          <t>B22</t>
        </is>
      </c>
      <c r="G38" s="5" t="inlineStr">
        <is>
          <t>S33;S34</t>
        </is>
      </c>
      <c r="H38" s="5" t="inlineStr">
        <is>
          <t>https://www.fairwork.gov.au/pay-and-wages/minimum-wages/apprentice-and-trainee-pay-rates
https://www.fairwork.gov.au/pay-and-wages/minimum-wages/junior-pay-rates</t>
        </is>
      </c>
    </row>
    <row r="39" ht="145" customHeight="1">
      <c r="A39" s="5" t="inlineStr">
        <is>
          <t>P12</t>
        </is>
      </c>
      <c r="B39" s="5" t="inlineStr">
        <is>
          <t>Targeted follow-ups</t>
        </is>
      </c>
      <c r="C39" s="5" t="inlineStr">
        <is>
          <t>Which of these matters applies now or needs confirmation?</t>
        </is>
      </c>
      <c r="D39" s="5" t="inlineStr">
        <is>
          <t>Suspected/identified pay shortfall; requested or identified workplace adjustment; labour-hire/shared-work arrangements. Each item: yes/no/need to confirm.</t>
        </is>
      </c>
      <c r="E39" s="5" t="inlineStr">
        <is>
          <t>Ask no employee names, diagnoses or allegations. Unknown enables the relevant clarifier; it never silently becomes not applicable.</t>
        </is>
      </c>
      <c r="F39" s="5" t="inlineStr">
        <is>
          <t>PAY_ERROR;ADJUSTMENT;SHARED_WORK</t>
        </is>
      </c>
      <c r="G39" s="5" t="inlineStr">
        <is>
          <t>S40;S41;S42</t>
        </is>
      </c>
      <c r="H39" s="5" t="inlineStr">
        <is>
          <t>https://www.fairwork.gov.au/workplace-problems/common-workplace-problems/i-think-ive-underpaid-my-employee
https://humanrights.gov.au/know-your-rights/rights-of-individuals/disability-rights/disability-discrimination-and-the-workplace
https://www.safeworkaustralia.gov.au/safety-topic/managing-health-and-safety/labour-hire/whs-duties</t>
        </is>
      </c>
    </row>
    <row r="40" ht="145" customHeight="1">
      <c r="A40" s="5" t="inlineStr">
        <is>
          <t>PAY_ERROR</t>
        </is>
      </c>
      <c r="B40" s="5" t="inlineStr">
        <is>
          <t>Conditional route</t>
        </is>
      </c>
      <c r="C40" s="5" t="inlineStr">
        <is>
          <t>A pay shortfall is suspected, identified or unresolved, including from PAY02 or the immediate-matters card.</t>
        </is>
      </c>
      <c r="D40" s="5" t="inlineStr">
        <is>
          <t>yes or unknown = show B23; confirmed no = exclude.</t>
        </is>
      </c>
      <c r="E40" s="5" t="inlineStr">
        <is>
          <t>A completed historical correction can be assessed when the respondent chooses it as the example; do not infer an existing shortfall from PAY02=0 alone.</t>
        </is>
      </c>
      <c r="F40" s="5" t="inlineStr">
        <is>
          <t>B23</t>
        </is>
      </c>
      <c r="G40" s="5" t="inlineStr">
        <is>
          <t>S40</t>
        </is>
      </c>
      <c r="H40" s="5" t="inlineStr">
        <is>
          <t>https://www.fairwork.gov.au/workplace-problems/common-workplace-problems/i-think-ive-underpaid-my-employee</t>
        </is>
      </c>
    </row>
    <row r="41" ht="145" customHeight="1">
      <c r="A41" s="5" t="inlineStr">
        <is>
          <t>ADJUSTMENT</t>
        </is>
      </c>
      <c r="B41" s="5" t="inlineStr">
        <is>
          <t>Conditional route</t>
        </is>
      </c>
      <c r="C41" s="5" t="inlineStr">
        <is>
          <t>A request or work-related barrier has been identified, or the respondent needs to confirm how such a matter is handled.</t>
        </is>
      </c>
      <c r="D41" s="5" t="inlineStr">
        <is>
          <t>yes or unknown = show B24; confirmed no current matter = exclude this conditional module.</t>
        </is>
      </c>
      <c r="E41" s="5" t="inlineStr">
        <is>
          <t>Do not infer disability from attendance or performance. Exclusion is not an exemption from duties if a matter later arises.</t>
        </is>
      </c>
      <c r="F41" s="5" t="inlineStr">
        <is>
          <t>B24</t>
        </is>
      </c>
      <c r="G41" s="5" t="inlineStr">
        <is>
          <t>S41</t>
        </is>
      </c>
      <c r="H41" s="5" t="inlineStr">
        <is>
          <t>https://humanrights.gov.au/know-your-rights/rights-of-individuals/disability-rights/disability-discrimination-and-the-workplace</t>
        </is>
      </c>
    </row>
    <row r="42" ht="145" customHeight="1">
      <c r="A42" s="5" t="inlineStr">
        <is>
          <t>SHARED_WORK</t>
        </is>
      </c>
      <c r="B42" s="5" t="inlineStr">
        <is>
          <t>Conditional route</t>
        </is>
      </c>
      <c r="C42" s="5" t="inlineStr">
        <is>
          <t>Labour-hire or other shared-work arrangements create overlapping safety responsibilities.</t>
        </is>
      </c>
      <c r="D42" s="5" t="inlineStr">
        <is>
          <t>yes or unknown = show B25; confirmed no = exclude.</t>
        </is>
      </c>
      <c r="E42" s="5" t="inlineStr">
        <is>
          <t>Do not infer that outsourcing removes employer or duty-holder obligations. Separate this from contractor-status scoring.</t>
        </is>
      </c>
      <c r="F42" s="5" t="inlineStr">
        <is>
          <t>B25</t>
        </is>
      </c>
      <c r="G42" s="5" t="inlineStr">
        <is>
          <t>S42</t>
        </is>
      </c>
      <c r="H42" s="5" t="inlineStr">
        <is>
          <t>https://www.safeworkaustralia.gov.au/safety-topic/managing-health-and-safety/labour-hire/whs-duties</t>
        </is>
      </c>
    </row>
  </sheetData>
  <autoFilter ref="A5:H42"/>
  <mergeCells count="3">
    <mergeCell ref="A3:H3"/>
    <mergeCell ref="A2:H2"/>
    <mergeCell ref="A1:H1"/>
  </mergeCells>
  <pageMargins left="0.7" right="0.7" top="0.75" bottom="0.75" header="0.3" footer="0.3"/>
</worksheet>
</file>

<file path=xl/worksheets/sheet11.xml><?xml version="1.0" encoding="utf-8"?>
<worksheet xmlns="http://schemas.openxmlformats.org/spreadsheetml/2006/main">
  <sheetPr>
    <tabColor rgb="FF472C5B"/>
    <outlinePr summaryBelow="1" summaryRight="1"/>
    <pageSetUpPr/>
  </sheetPr>
  <dimension ref="A1:H34"/>
  <sheetViews>
    <sheetView showGridLines="0" workbookViewId="0">
      <pane xSplit="2" ySplit="21" topLeftCell="C22" activePane="bottomRight" state="frozen"/>
      <selection activeCell="A1" sqref="A1"/>
    </sheetView>
  </sheetViews>
  <sheetFormatPr baseColWidth="8" defaultRowHeight="15"/>
  <cols>
    <col width="26" customWidth="1" min="1" max="1"/>
    <col width="70" customWidth="1" min="2" max="2"/>
    <col width="18" customWidth="1" min="3" max="3"/>
    <col width="18" customWidth="1" min="4" max="4"/>
    <col width="22" customWidth="1" min="5" max="5"/>
    <col width="23" customWidth="1" min="6" max="6"/>
    <col width="24" customWidth="1" min="7" max="7"/>
    <col width="105" customWidth="1" min="8" max="8"/>
  </cols>
  <sheetData>
    <row r="1" ht="38" customHeight="1">
      <c r="A1" s="1" t="inlineStr">
        <is>
          <t>Scoring policy and editable controls</t>
        </is>
      </c>
    </row>
    <row r="2" ht="34" customHeight="1">
      <c r="A2" s="2" t="inlineStr">
        <is>
          <t>All numerical parameters below are proposed starting values. They are not statistically validated thresholds, legal risk percentages or comparisons with other businesses.</t>
        </is>
      </c>
    </row>
    <row r="3" ht="22" customHeight="1">
      <c r="A3" s="3" t="inlineStr">
        <is>
          <t>DREAMSTONEHR | PROPOSED V3.0 | 10 OCTOBER 2026</t>
        </is>
      </c>
    </row>
    <row r="4"/>
    <row r="5" ht="34" customHeight="1">
      <c r="A5" s="4" t="inlineStr">
        <is>
          <t>Parameter / domain</t>
        </is>
      </c>
      <c r="B5" s="4" t="inlineStr">
        <is>
          <t>Value / explanation</t>
        </is>
      </c>
      <c r="C5" s="4" t="inlineStr">
        <is>
          <t>Domain weight</t>
        </is>
      </c>
      <c r="D5" s="4" t="inlineStr">
        <is>
          <t>Core questions</t>
        </is>
      </c>
      <c r="E5" s="4" t="inlineStr">
        <is>
          <t>Conditional questions</t>
        </is>
      </c>
      <c r="F5" s="4" t="inlineStr">
        <is>
          <t>Core potential points</t>
        </is>
      </c>
      <c r="G5" s="4" t="inlineStr">
        <is>
          <t>Total potential points</t>
        </is>
      </c>
      <c r="H5" s="4" t="inlineStr">
        <is>
          <t>Rationale / policy</t>
        </is>
      </c>
    </row>
    <row r="6" ht="34" customHeight="1">
      <c r="A6" s="5" t="inlineStr">
        <is>
          <t>Maximum answer points</t>
        </is>
      </c>
      <c r="B6" s="16" t="n">
        <v>3</v>
      </c>
      <c r="C6" s="5" t="n"/>
      <c r="D6" s="5" t="n"/>
      <c r="E6" s="5" t="n"/>
      <c r="F6" s="5" t="n"/>
      <c r="G6" s="5" t="n"/>
      <c r="H6" s="5" t="inlineStr">
        <is>
          <t>Uniform maximum across all scored questions.</t>
        </is>
      </c>
    </row>
    <row r="7" ht="34" customHeight="1">
      <c r="A7" s="6" t="inlineStr">
        <is>
          <t>Lower band boundary</t>
        </is>
      </c>
      <c r="B7" s="13" t="n">
        <v>40</v>
      </c>
      <c r="C7" s="6" t="n"/>
      <c r="D7" s="6" t="n"/>
      <c r="E7" s="6" t="n"/>
      <c r="F7" s="6" t="n"/>
      <c r="G7" s="6" t="n"/>
      <c r="H7" s="6" t="inlineStr">
        <is>
          <t>Use raw unrounded score. Below 40 = Foundations need attention.</t>
        </is>
      </c>
    </row>
    <row r="8" ht="34" customHeight="1">
      <c r="A8" s="5" t="inlineStr">
        <is>
          <t>Upper band boundary</t>
        </is>
      </c>
      <c r="B8" s="13" t="n">
        <v>70</v>
      </c>
      <c r="C8" s="5" t="n"/>
      <c r="D8" s="5" t="n"/>
      <c r="E8" s="5" t="n"/>
      <c r="F8" s="5" t="n"/>
      <c r="G8" s="5" t="n"/>
      <c r="H8" s="5" t="inlineStr">
        <is>
          <t>40 to below 70 = Developing / inconsistent; 70 to 100 = Established reported practice.</t>
        </is>
      </c>
    </row>
    <row r="9" ht="42" customHeight="1">
      <c r="A9" s="6" t="inlineStr">
        <is>
          <t>Critical trigger maximum</t>
        </is>
      </c>
      <c r="B9" s="13" t="n">
        <v>1</v>
      </c>
      <c r="C9" s="6" t="n"/>
      <c r="D9" s="6" t="n"/>
      <c r="E9" s="6" t="n"/>
      <c r="F9" s="6" t="n"/>
      <c r="G9" s="6" t="n"/>
      <c r="H9" s="6" t="inlineStr">
        <is>
          <t>Retained for the practice-status column only. Final prioritisation uses Answer Outcomes and Risk Register, including important partial answers.</t>
        </is>
      </c>
    </row>
    <row r="10" ht="42" customHeight="1">
      <c r="A10" s="5" t="inlineStr">
        <is>
          <t>Uncertainty threshold</t>
        </is>
      </c>
      <c r="B10" s="17" t="n">
        <v>0.25</v>
      </c>
      <c r="C10" s="5" t="n"/>
      <c r="D10" s="5" t="n"/>
      <c r="E10" s="5" t="n"/>
      <c r="F10" s="5" t="n"/>
      <c r="G10" s="5" t="n"/>
      <c r="H10" s="5" t="inlineStr">
        <is>
          <t>Above this domain-weighted unknown share, suppress the published overall number and reassuring band. A domain above this share is labelled Information needs confirmation.</t>
        </is>
      </c>
    </row>
    <row r="11" ht="42" customHeight="1">
      <c r="A11" s="6" t="inlineStr">
        <is>
          <t>Unknown scoring treatment</t>
        </is>
      </c>
      <c r="B11" s="6" t="inlineStr">
        <is>
          <t>Zero demonstrated points; eligible denominator retained</t>
        </is>
      </c>
      <c r="C11" s="6" t="n"/>
      <c r="D11" s="6" t="n"/>
      <c r="E11" s="6" t="n"/>
      <c r="F11" s="6" t="n"/>
      <c r="G11" s="6" t="n"/>
      <c r="H11" s="6" t="inlineStr">
        <is>
          <t>Explain this conservative treatment to respondents. Unknown does not establish that the practice is absent or unlawful.</t>
        </is>
      </c>
    </row>
    <row r="12" ht="42" customHeight="1">
      <c r="A12" s="5" t="inlineStr">
        <is>
          <t>Band labels</t>
        </is>
      </c>
      <c r="B12" s="5" t="inlineStr">
        <is>
          <t>Foundations need attention | Developing / inconsistent | Established reported practice</t>
        </is>
      </c>
      <c r="C12" s="5" t="n"/>
      <c r="D12" s="5" t="n"/>
      <c r="E12" s="5" t="n"/>
      <c r="F12" s="5" t="n"/>
      <c r="G12" s="5" t="n"/>
      <c r="H12" s="5" t="inlineStr">
        <is>
          <t>A priority overlay or incomplete/uncertain status takes precedence over the headline band. Never call the score a compliance percentage.</t>
        </is>
      </c>
    </row>
    <row r="13" ht="42" customHeight="1">
      <c r="A13" s="6" t="inlineStr">
        <is>
          <t>Eligible denominator</t>
        </is>
      </c>
      <c r="B13" s="6" t="inlineStr">
        <is>
          <t>3 x sum of eligible question weights</t>
        </is>
      </c>
      <c r="C13" s="6" t="n"/>
      <c r="D13" s="6" t="n"/>
      <c r="E13" s="6" t="n"/>
      <c r="F13" s="6" t="n"/>
      <c r="G13" s="6" t="n"/>
      <c r="H13" s="6" t="inlineStr">
        <is>
          <t>Confirmed exclusions remove numerator and denominator. Do not award points for no casuals, no IFAs or other non-applicable arrangements.</t>
        </is>
      </c>
    </row>
    <row r="14" ht="42" customHeight="1">
      <c r="A14" s="5" t="inlineStr">
        <is>
          <t>Domain score</t>
        </is>
      </c>
      <c r="B14" s="5" t="inlineStr">
        <is>
          <t>100 x weighted points earned / eligible maximum points</t>
        </is>
      </c>
      <c r="C14" s="5" t="n"/>
      <c r="D14" s="5" t="n"/>
      <c r="E14" s="5" t="n"/>
      <c r="F14" s="5" t="n"/>
      <c r="G14" s="5" t="n"/>
      <c r="H14" s="5" t="inlineStr">
        <is>
          <t>For a domain with no eligible questions, show Not assessed. A missing response makes the report incomplete.</t>
        </is>
      </c>
    </row>
    <row r="15" ht="42" customHeight="1">
      <c r="A15" s="6" t="inlineStr">
        <is>
          <t>Overall score</t>
        </is>
      </c>
      <c r="B15" s="6" t="inlineStr">
        <is>
          <t>Sum(domain score x domain weight) / sum(eligible domain weights)</t>
        </is>
      </c>
      <c r="C15" s="6" t="n"/>
      <c r="D15" s="6" t="n"/>
      <c r="E15" s="6" t="n"/>
      <c r="F15" s="6" t="n"/>
      <c r="G15" s="6" t="n"/>
      <c r="H15" s="6" t="inlineStr">
        <is>
          <t>Re-normalise only across eligible domains. This prevents more numerous questions automatically dominating the result.</t>
        </is>
      </c>
    </row>
    <row r="16" ht="42" customHeight="1">
      <c r="A16" s="5" t="inlineStr">
        <is>
          <t>Priority ordering</t>
        </is>
      </c>
      <c r="B16" s="5" t="inlineStr">
        <is>
          <t>Apply Risk Method and Answer Outcomes. Live serious exposure &gt; High-priority gaps or verification &gt; Medium &gt; Low. Deadline urgency is separate from the risk rating.</t>
        </is>
      </c>
      <c r="C16" s="5" t="n"/>
      <c r="D16" s="5" t="n"/>
      <c r="E16" s="5" t="n"/>
      <c r="F16" s="5" t="n"/>
      <c r="G16" s="5" t="n"/>
      <c r="H16" s="5" t="inlineStr">
        <is>
          <t>Rank by action priority, then provisional risk/consequence and actual event. Group related work without removing any child finding or critical alert.</t>
        </is>
      </c>
    </row>
    <row r="17" ht="42" customHeight="1">
      <c r="A17" s="6" t="inlineStr">
        <is>
          <t>Top three actions</t>
        </is>
      </c>
      <c r="B17" s="6" t="inlineStr">
        <is>
          <t>Three starting workstreams plus all High/Critical alerts and the complete action register.</t>
        </is>
      </c>
      <c r="C17" s="6" t="n"/>
      <c r="D17" s="6" t="n"/>
      <c r="E17" s="6" t="n"/>
      <c r="F17" s="6" t="n"/>
      <c r="G17" s="6" t="n"/>
      <c r="H17" s="6" t="inlineStr">
        <is>
          <t>The short list is an interface choice, not a limit on risk disclosure. Do not hide a fourth critical issue.</t>
        </is>
      </c>
    </row>
    <row r="18" ht="42" customHeight="1">
      <c r="A18" s="5" t="inlineStr">
        <is>
          <t>Qualification</t>
        </is>
      </c>
      <c r="B18" s="5" t="inlineStr">
        <is>
          <t>Self-reported practices, not independent evidence verification</t>
        </is>
      </c>
      <c r="C18" s="5" t="n"/>
      <c r="D18" s="5" t="n"/>
      <c r="E18" s="5" t="n"/>
      <c r="F18" s="5" t="n"/>
      <c r="G18" s="5" t="n"/>
      <c r="H18" s="5" t="inlineStr">
        <is>
          <t>Show what was reported, what remains uncertain and what to check next. Do not claim a reduction in risk or cost without evidence.</t>
        </is>
      </c>
    </row>
    <row r="19"/>
    <row r="20" ht="42" customHeight="1">
      <c r="A20" s="5" t="inlineStr">
        <is>
          <t>DOMAIN MODEL</t>
        </is>
      </c>
      <c r="B20" s="5" t="inlineStr">
        <is>
          <t>Preserves the source category names; the shorter subtitles can be used in the customer interface.</t>
        </is>
      </c>
    </row>
    <row r="21" ht="34" customHeight="1">
      <c r="A21" s="18" t="inlineStr">
        <is>
          <t>Domain</t>
        </is>
      </c>
      <c r="B21" s="18" t="inlineStr">
        <is>
          <t>Source category name</t>
        </is>
      </c>
      <c r="C21" s="18" t="inlineStr">
        <is>
          <t>Weight (%)</t>
        </is>
      </c>
      <c r="D21" s="18" t="inlineStr">
        <is>
          <t>Core count</t>
        </is>
      </c>
      <c r="E21" s="18" t="inlineStr">
        <is>
          <t>Conditional count</t>
        </is>
      </c>
      <c r="F21" s="18" t="inlineStr">
        <is>
          <t>Core maximum</t>
        </is>
      </c>
      <c r="G21" s="18" t="inlineStr">
        <is>
          <t>Full catalogue maximum</t>
        </is>
      </c>
      <c r="H21" s="18" t="inlineStr">
        <is>
          <t>Why this weighting</t>
        </is>
      </c>
    </row>
    <row r="22" ht="42" customHeight="1">
      <c r="A22" s="5" t="inlineStr">
        <is>
          <t>PAY</t>
        </is>
      </c>
      <c r="B22" s="5" t="inlineStr">
        <is>
          <t>Pay &amp; Entitlements</t>
        </is>
      </c>
      <c r="C22" s="13" t="n">
        <v>18</v>
      </c>
      <c r="D22" s="9">
        <f>COUNTIFS('Questions'!$B$6:$B$74,A22,'Questions'!$E$6:$E$74,"ALL")</f>
        <v>6</v>
      </c>
      <c r="E22" s="9">
        <f>COUNTIF('Questions'!$B$6:$B$74,A22)-D22</f>
        <v>10</v>
      </c>
      <c r="F22" s="9">
        <f>SUMIFS('Questions'!$F$6:$F$74,'Questions'!$B$6:$B$74,A22,'Questions'!$E$6:$E$74,"ALL")*$B$6</f>
        <v>51</v>
      </c>
      <c r="G22" s="9">
        <f>SUMIF('Questions'!$B$6:$B$74,A22,'Questions'!$F$6:$F$74)*$B$6</f>
        <v>132</v>
      </c>
      <c r="H22" s="5" t="inlineStr">
        <is>
          <t>Higher emphasis because payment errors can accumulate and affect many employees. Separate critical flags still apply.</t>
        </is>
      </c>
    </row>
    <row r="23" ht="42" customHeight="1">
      <c r="A23" s="6" t="inlineStr">
        <is>
          <t>CON</t>
        </is>
      </c>
      <c r="B23" s="6" t="inlineStr">
        <is>
          <t>Employment Contracts</t>
        </is>
      </c>
      <c r="C23" s="13" t="n">
        <v>8</v>
      </c>
      <c r="D23" s="11">
        <f>COUNTIFS('Questions'!$B$6:$B$74,A23,'Questions'!$E$6:$E$74,"ALL")</f>
        <v>3</v>
      </c>
      <c r="E23" s="11">
        <f>COUNTIF('Questions'!$B$6:$B$74,A23)-D23</f>
        <v>4</v>
      </c>
      <c r="F23" s="11">
        <f>SUMIFS('Questions'!$F$6:$F$74,'Questions'!$B$6:$B$74,A23,'Questions'!$E$6:$E$74,"ALL")*$B$6</f>
        <v>21</v>
      </c>
      <c r="G23" s="11">
        <f>SUMIF('Questions'!$B$6:$B$74,A23,'Questions'!$F$6:$F$74)*$B$6</f>
        <v>54</v>
      </c>
      <c r="H23" s="6" t="inlineStr">
        <is>
          <t>Foundational clarity and appropriate engagement, but document volume must not dominate the assessment.</t>
        </is>
      </c>
    </row>
    <row r="24" ht="42" customHeight="1">
      <c r="A24" s="5" t="inlineStr">
        <is>
          <t>REC</t>
        </is>
      </c>
      <c r="B24" s="5" t="inlineStr">
        <is>
          <t>Recruitment &amp; Talent</t>
        </is>
      </c>
      <c r="C24" s="13" t="n">
        <v>6</v>
      </c>
      <c r="D24" s="9">
        <f>COUNTIFS('Questions'!$B$6:$B$74,A24,'Questions'!$E$6:$E$74,"ALL")</f>
        <v>3</v>
      </c>
      <c r="E24" s="9">
        <f>COUNTIF('Questions'!$B$6:$B$74,A24)-D24</f>
        <v>0</v>
      </c>
      <c r="F24" s="9">
        <f>SUMIFS('Questions'!$F$6:$F$74,'Questions'!$B$6:$B$74,A24,'Questions'!$E$6:$E$74,"ALL")*$B$6</f>
        <v>15</v>
      </c>
      <c r="G24" s="9">
        <f>SUMIF('Questions'!$B$6:$B$74,A24,'Questions'!$F$6:$F$74)*$B$6</f>
        <v>15</v>
      </c>
      <c r="H24" s="5" t="inlineStr">
        <is>
          <t>Measures decision quality and realistic expectations, not recruitment activity or market conditions.</t>
        </is>
      </c>
    </row>
    <row r="25" ht="34" customHeight="1">
      <c r="A25" s="6" t="inlineStr">
        <is>
          <t>ONB</t>
        </is>
      </c>
      <c r="B25" s="6" t="inlineStr">
        <is>
          <t>New Hires &amp; Onboarding</t>
        </is>
      </c>
      <c r="C25" s="13" t="n">
        <v>6</v>
      </c>
      <c r="D25" s="11">
        <f>COUNTIFS('Questions'!$B$6:$B$74,A25,'Questions'!$E$6:$E$74,"ALL")</f>
        <v>3</v>
      </c>
      <c r="E25" s="11">
        <f>COUNTIF('Questions'!$B$6:$B$74,A25)-D25</f>
        <v>2</v>
      </c>
      <c r="F25" s="11">
        <f>SUMIFS('Questions'!$F$6:$F$74,'Questions'!$B$6:$B$74,A25,'Questions'!$E$6:$E$74,"ALL")*$B$6</f>
        <v>21</v>
      </c>
      <c r="G25" s="11">
        <f>SUMIF('Questions'!$B$6:$B$74,A25,'Questions'!$F$6:$F$74)*$B$6</f>
        <v>36</v>
      </c>
      <c r="H25" s="6" t="inlineStr">
        <is>
          <t>Balances required checks with whether the starter can work safely and successfully.</t>
        </is>
      </c>
    </row>
    <row r="26" ht="34" customHeight="1">
      <c r="A26" s="5" t="inlineStr">
        <is>
          <t>POL</t>
        </is>
      </c>
      <c r="B26" s="5" t="inlineStr">
        <is>
          <t>Policies &amp; Procedures</t>
        </is>
      </c>
      <c r="C26" s="13" t="n">
        <v>6</v>
      </c>
      <c r="D26" s="9">
        <f>COUNTIFS('Questions'!$B$6:$B$74,A26,'Questions'!$E$6:$E$74,"ALL")</f>
        <v>3</v>
      </c>
      <c r="E26" s="9">
        <f>COUNTIF('Questions'!$B$6:$B$74,A26)-D26</f>
        <v>3</v>
      </c>
      <c r="F26" s="9">
        <f>SUMIFS('Questions'!$F$6:$F$74,'Questions'!$B$6:$B$74,A26,'Questions'!$E$6:$E$74,"ALL")*$B$6</f>
        <v>18</v>
      </c>
      <c r="G26" s="9">
        <f>SUMIF('Questions'!$B$6:$B$74,A26,'Questions'!$F$6:$F$74)*$B$6</f>
        <v>39</v>
      </c>
      <c r="H26" s="5" t="inlineStr">
        <is>
          <t>Policies matter through relevance and application, not the size of a handbook.</t>
        </is>
      </c>
    </row>
    <row r="27" ht="42" customHeight="1">
      <c r="A27" s="6" t="inlineStr">
        <is>
          <t>WHS</t>
        </is>
      </c>
      <c r="B27" s="6" t="inlineStr">
        <is>
          <t>Workplace Health &amp; Safety</t>
        </is>
      </c>
      <c r="C27" s="13" t="n">
        <v>10</v>
      </c>
      <c r="D27" s="11">
        <f>COUNTIFS('Questions'!$B$6:$B$74,A27,'Questions'!$E$6:$E$74,"ALL")</f>
        <v>4</v>
      </c>
      <c r="E27" s="11">
        <f>COUNTIF('Questions'!$B$6:$B$74,A27)-D27</f>
        <v>2</v>
      </c>
      <c r="F27" s="11">
        <f>SUMIFS('Questions'!$F$6:$F$74,'Questions'!$B$6:$B$74,A27,'Questions'!$E$6:$E$74,"ALL")*$B$6</f>
        <v>33</v>
      </c>
      <c r="G27" s="11">
        <f>SUMIF('Questions'!$B$6:$B$74,A27,'Questions'!$F$6:$F$74)*$B$6</f>
        <v>48</v>
      </c>
      <c r="H27" s="6" t="inlineStr">
        <is>
          <t>Strong emphasis on ongoing exposure and response readiness; specialist and jurisdictional review remain necessary.</t>
        </is>
      </c>
    </row>
    <row r="28" ht="34" customHeight="1">
      <c r="A28" s="5" t="inlineStr">
        <is>
          <t>PER</t>
        </is>
      </c>
      <c r="B28" s="5" t="inlineStr">
        <is>
          <t>Reviewing &amp; Managing Performance</t>
        </is>
      </c>
      <c r="C28" s="13" t="n">
        <v>8</v>
      </c>
      <c r="D28" s="9">
        <f>COUNTIFS('Questions'!$B$6:$B$74,A28,'Questions'!$E$6:$E$74,"ALL")</f>
        <v>4</v>
      </c>
      <c r="E28" s="9">
        <f>COUNTIF('Questions'!$B$6:$B$74,A28)-D28</f>
        <v>1</v>
      </c>
      <c r="F28" s="9">
        <f>SUMIFS('Questions'!$F$6:$F$74,'Questions'!$B$6:$B$74,A28,'Questions'!$E$6:$E$74,"ALL")*$B$6</f>
        <v>30</v>
      </c>
      <c r="G28" s="9">
        <f>SUMIF('Questions'!$B$6:$B$74,A28,'Questions'!$F$6:$F$74)*$B$6</f>
        <v>36</v>
      </c>
      <c r="H28" s="5" t="inlineStr">
        <is>
          <t>Material day-to-day effect on performance, fairness and employment decisions.</t>
        </is>
      </c>
    </row>
    <row r="29" ht="42" customHeight="1">
      <c r="A29" s="6" t="inlineStr">
        <is>
          <t>LND</t>
        </is>
      </c>
      <c r="B29" s="6" t="inlineStr">
        <is>
          <t>Training &amp; Development</t>
        </is>
      </c>
      <c r="C29" s="13" t="n">
        <v>5</v>
      </c>
      <c r="D29" s="11">
        <f>COUNTIFS('Questions'!$B$6:$B$74,A29,'Questions'!$E$6:$E$74,"ALL")</f>
        <v>3</v>
      </c>
      <c r="E29" s="11">
        <f>COUNTIF('Questions'!$B$6:$B$74,A29)-D29</f>
        <v>0</v>
      </c>
      <c r="F29" s="11">
        <f>SUMIFS('Questions'!$F$6:$F$74,'Questions'!$B$6:$B$74,A29,'Questions'!$E$6:$E$74,"ALL")*$B$6</f>
        <v>18</v>
      </c>
      <c r="G29" s="11">
        <f>SUMIF('Questions'!$B$6:$B$74,A29,'Questions'!$F$6:$F$74)*$B$6</f>
        <v>18</v>
      </c>
      <c r="H29" s="6" t="inlineStr">
        <is>
          <t>Includes future capability and business continuity so the assessment is not only a compliance checklist.</t>
        </is>
      </c>
    </row>
    <row r="30" ht="34" customHeight="1">
      <c r="A30" s="5" t="inlineStr">
        <is>
          <t>CUL</t>
        </is>
      </c>
      <c r="B30" s="5" t="inlineStr">
        <is>
          <t>Culture &amp; Engagement</t>
        </is>
      </c>
      <c r="C30" s="13" t="n">
        <v>7</v>
      </c>
      <c r="D30" s="9">
        <f>COUNTIFS('Questions'!$B$6:$B$74,A30,'Questions'!$E$6:$E$74,"ALL")</f>
        <v>4</v>
      </c>
      <c r="E30" s="9">
        <f>COUNTIF('Questions'!$B$6:$B$74,A30)-D30</f>
        <v>1</v>
      </c>
      <c r="F30" s="9">
        <f>SUMIFS('Questions'!$F$6:$F$74,'Questions'!$B$6:$B$74,A30,'Questions'!$E$6:$E$74,"ALL")*$B$6</f>
        <v>21</v>
      </c>
      <c r="G30" s="9">
        <f>SUMIF('Questions'!$B$6:$B$74,A30,'Questions'!$F$6:$F$74)*$B$6</f>
        <v>27</v>
      </c>
      <c r="H30" s="5" t="inlineStr">
        <is>
          <t>Measures voice, fairness and accountability rather than social activity.</t>
        </is>
      </c>
    </row>
    <row r="31" ht="34" customHeight="1">
      <c r="A31" s="6" t="inlineStr">
        <is>
          <t>DAT</t>
        </is>
      </c>
      <c r="B31" s="6" t="inlineStr">
        <is>
          <t>Record Keeping</t>
        </is>
      </c>
      <c r="C31" s="13" t="n">
        <v>7</v>
      </c>
      <c r="D31" s="11">
        <f>COUNTIFS('Questions'!$B$6:$B$74,A31,'Questions'!$E$6:$E$74,"ALL")</f>
        <v>3</v>
      </c>
      <c r="E31" s="11">
        <f>COUNTIF('Questions'!$B$6:$B$74,A31)-D31</f>
        <v>1</v>
      </c>
      <c r="F31" s="11">
        <f>SUMIFS('Questions'!$F$6:$F$74,'Questions'!$B$6:$B$74,A31,'Questions'!$E$6:$E$74,"ALL")*$B$6</f>
        <v>24</v>
      </c>
      <c r="G31" s="11">
        <f>SUMIF('Questions'!$B$6:$B$74,A31,'Questions'!$F$6:$F$74)*$B$6</f>
        <v>30</v>
      </c>
      <c r="H31" s="6" t="inlineStr">
        <is>
          <t>Supports reliable employment decisions and appropriate information handling.</t>
        </is>
      </c>
    </row>
    <row r="32" ht="34" customHeight="1">
      <c r="A32" s="5" t="inlineStr">
        <is>
          <t>EXT</t>
        </is>
      </c>
      <c r="B32" s="5" t="inlineStr">
        <is>
          <t>Employee Exits</t>
        </is>
      </c>
      <c r="C32" s="13" t="n">
        <v>7</v>
      </c>
      <c r="D32" s="9">
        <f>COUNTIFS('Questions'!$B$6:$B$74,A32,'Questions'!$E$6:$E$74,"ALL")</f>
        <v>3</v>
      </c>
      <c r="E32" s="9">
        <f>COUNTIF('Questions'!$B$6:$B$74,A32)-D32</f>
        <v>1</v>
      </c>
      <c r="F32" s="9">
        <f>SUMIFS('Questions'!$F$6:$F$74,'Questions'!$B$6:$B$74,A32,'Questions'!$E$6:$E$74,"ALL")*$B$6</f>
        <v>24</v>
      </c>
      <c r="G32" s="9">
        <f>SUMIF('Questions'!$B$6:$B$74,A32,'Questions'!$F$6:$F$74)*$B$6</f>
        <v>33</v>
      </c>
      <c r="H32" s="5" t="inlineStr">
        <is>
          <t>Separates the employment-ending decision from final pay and the practical departure.</t>
        </is>
      </c>
    </row>
    <row r="33" ht="42" customHeight="1">
      <c r="A33" s="6" t="inlineStr">
        <is>
          <t>PSY</t>
        </is>
      </c>
      <c r="B33" s="6" t="inlineStr">
        <is>
          <t>Psychosocial Risk &amp; Positive Duty</t>
        </is>
      </c>
      <c r="C33" s="13" t="n">
        <v>12</v>
      </c>
      <c r="D33" s="11">
        <f>COUNTIFS('Questions'!$B$6:$B$74,A33,'Questions'!$E$6:$E$74,"ALL")</f>
        <v>5</v>
      </c>
      <c r="E33" s="11">
        <f>COUNTIF('Questions'!$B$6:$B$74,A33)-D33</f>
        <v>0</v>
      </c>
      <c r="F33" s="11">
        <f>SUMIFS('Questions'!$F$6:$F$74,'Questions'!$B$6:$B$74,A33,'Questions'!$E$6:$E$74,"ALL")*$B$6</f>
        <v>42</v>
      </c>
      <c r="G33" s="11">
        <f>SUMIF('Questions'!$B$6:$B$74,A33,'Questions'!$F$6:$F$74)*$B$6</f>
        <v>42</v>
      </c>
      <c r="H33" s="6" t="inlineStr">
        <is>
          <t>Corrects the unpopulated source category and places deliberate prevention alongside support and reporting.</t>
        </is>
      </c>
    </row>
    <row r="34" ht="42" customHeight="1">
      <c r="A34" s="19" t="inlineStr">
        <is>
          <t>TOTAL</t>
        </is>
      </c>
      <c r="B34" s="19" t="inlineStr">
        <is>
          <t>Domain weights should total 100.</t>
        </is>
      </c>
      <c r="C34" s="20">
        <f>SUM(C22:C33)</f>
        <v>100</v>
      </c>
      <c r="D34" s="20">
        <f>SUM(D22:D33)</f>
        <v>44</v>
      </c>
      <c r="E34" s="20">
        <f>SUM(E22:E33)</f>
        <v>25</v>
      </c>
      <c r="F34" s="20">
        <f>SUM(F22:F33)</f>
        <v>318</v>
      </c>
      <c r="G34" s="20">
        <f>SUM(G22:G33)</f>
        <v>510</v>
      </c>
      <c r="H34" s="19" t="inlineStr">
        <is>
          <t>Question weights: 3 = essential control; 2 = material practice; 1 = useful supporting practice. A critical flag is a separate judgment, not automatic for every weight-3 question.</t>
        </is>
      </c>
    </row>
  </sheetData>
  <mergeCells count="3">
    <mergeCell ref="A3:H3"/>
    <mergeCell ref="A2:H2"/>
    <mergeCell ref="A1:H1"/>
  </mergeCells>
  <dataValidations count="1">
    <dataValidation sqref="C22:C33" showDropDown="0" showInputMessage="0" showErrorMessage="1" allowBlank="0" errorTitle="Check the design value" error="Enter a whole number in the permitted range." type="whole" operator="between">
      <formula1>0</formula1>
      <formula2>100</formula2>
    </dataValidation>
  </dataValidations>
  <pageMargins left="0.7" right="0.7" top="0.75" bottom="0.75" header="0.3" footer="0.3"/>
</worksheet>
</file>

<file path=xl/worksheets/sheet12.xml><?xml version="1.0" encoding="utf-8"?>
<worksheet xmlns="http://schemas.openxmlformats.org/spreadsheetml/2006/main">
  <sheetPr>
    <tabColor rgb="FF08685F"/>
    <outlinePr summaryBelow="1" summaryRight="1"/>
    <pageSetUpPr/>
  </sheetPr>
  <dimension ref="A1:O94"/>
  <sheetViews>
    <sheetView showGridLines="0" workbookViewId="0">
      <pane xSplit="5" ySplit="25" topLeftCell="F26" activePane="bottomRight" state="frozen"/>
      <selection activeCell="A1" sqref="A1"/>
    </sheetView>
  </sheetViews>
  <sheetFormatPr baseColWidth="8" defaultRowHeight="15"/>
  <cols>
    <col width="13" customWidth="1" min="1" max="1"/>
    <col width="35" customWidth="1" min="2" max="2"/>
    <col width="55" customWidth="1" min="3" max="3"/>
    <col width="18" customWidth="1" min="4" max="4"/>
    <col width="19" customWidth="1" min="5" max="5"/>
    <col width="19" customWidth="1" min="6" max="6"/>
    <col width="21" customWidth="1" min="7" max="7"/>
    <col width="19" customWidth="1" min="8" max="8"/>
    <col width="20" customWidth="1" min="9" max="9"/>
    <col width="23" customWidth="1" min="10" max="10"/>
    <col width="37" customWidth="1" min="11" max="11"/>
    <col hidden="1" width="23" customWidth="1" min="12" max="12"/>
    <col width="24" customWidth="1" min="13" max="13"/>
    <col hidden="1" width="25" customWidth="1" min="14" max="14"/>
    <col width="18" customWidth="1" min="15" max="15"/>
  </cols>
  <sheetData>
    <row r="1" ht="38" customHeight="1">
      <c r="A1" s="1" t="inlineStr">
        <is>
          <t>Scoring sandbox | Fictional demonstration</t>
        </is>
      </c>
    </row>
    <row r="2" ht="34" customHeight="1">
      <c r="A2" s="2" t="inlineStr">
        <is>
          <t>Fictional demonstration only: core questions are eligible; PAY02=1, PSY04=0, PAY04=DK and LND03=1. All others report 3. Risk Register adds answer-level ratings and optional scoped context; no real client is represented.</t>
        </is>
      </c>
    </row>
    <row r="3" ht="22" customHeight="1">
      <c r="A3" s="3" t="inlineStr">
        <is>
          <t>DREAMSTONEHR | PROPOSED V3.0 | 10 OCTOBER 2026</t>
        </is>
      </c>
    </row>
    <row r="4"/>
    <row r="5" ht="34" customHeight="1">
      <c r="A5" s="4" t="inlineStr">
        <is>
          <t>Domain</t>
        </is>
      </c>
      <c r="B5" s="4" t="inlineStr">
        <is>
          <t>Category</t>
        </is>
      </c>
      <c r="C5" s="4" t="inlineStr">
        <is>
          <t>Domain weight</t>
        </is>
      </c>
      <c r="D5" s="4" t="inlineStr">
        <is>
          <t>Eligible Q weight</t>
        </is>
      </c>
      <c r="E5" s="4" t="inlineStr">
        <is>
          <t>Weighted points</t>
        </is>
      </c>
      <c r="F5" s="4" t="inlineStr">
        <is>
          <t>Working score %</t>
        </is>
      </c>
      <c r="G5" s="4" t="inlineStr">
        <is>
          <t>Unknown Q weight</t>
        </is>
      </c>
      <c r="H5" s="4" t="inlineStr">
        <is>
          <t>Unknown share</t>
        </is>
      </c>
      <c r="I5" s="4" t="inlineStr">
        <is>
          <t>High/Critical known</t>
        </is>
      </c>
      <c r="J5" s="4" t="inlineStr">
        <is>
          <t>High-priority unknown</t>
        </is>
      </c>
      <c r="K5" s="4" t="inlineStr">
        <is>
          <t>Category display</t>
        </is>
      </c>
      <c r="L5" s="4" t="inlineStr">
        <is>
          <t>Eligible domain wt</t>
        </is>
      </c>
      <c r="M5" s="4" t="inlineStr">
        <is>
          <t>Weighted score</t>
        </is>
      </c>
      <c r="N5" s="4" t="inlineStr">
        <is>
          <t>Weighted unknown</t>
        </is>
      </c>
      <c r="O5" s="4" t="inlineStr">
        <is>
          <t>Unanswered</t>
        </is>
      </c>
    </row>
    <row r="6" ht="34" customHeight="1">
      <c r="A6" s="5" t="inlineStr">
        <is>
          <t>PAY</t>
        </is>
      </c>
      <c r="B6" s="5" t="inlineStr">
        <is>
          <t>Pay &amp; Entitlements</t>
        </is>
      </c>
      <c r="C6" s="9">
        <f>Scoring!C22</f>
        <v>18</v>
      </c>
      <c r="D6" s="9">
        <f>SUMIF($B$26:$B$94,A6,$H$26:$H$94)</f>
        <v>17</v>
      </c>
      <c r="E6" s="9">
        <f>SUMIF($B$26:$B$94,A6,$I$26:$I$94)</f>
        <v>36</v>
      </c>
      <c r="F6" s="55">
        <f>IF(D6=0,"",E6/(D6*Scoring!$B$6)*100)</f>
        <v>70.58823529411765</v>
      </c>
      <c r="G6" s="9">
        <f>SUMIF($B$26:$B$94,A6,$J$26:$J$94)</f>
        <v>3</v>
      </c>
      <c r="H6" s="56">
        <f>IF(D6=0,"",G6/D6)</f>
        <v>0.17647058823529413</v>
      </c>
      <c r="I6" s="9">
        <f>COUNTIFS('Risk Register'!$B$6:$B$74,A6,'Risk Register'!$N$6:$N$74,"&gt;=3",'Risk Register'!$D$6:$D$74,"&lt;&gt;DK")</f>
        <v>1</v>
      </c>
      <c r="J6" s="9">
        <f>COUNTIFS('Risk Register'!$B$6:$B$74,A6,'Risk Register'!$N$6:$N$74,"&gt;=3",'Risk Register'!$D$6:$D$74,"DK")</f>
        <v>1</v>
      </c>
      <c r="K6" s="25" t="str">
        <f>IF(O6&gt;0,"Incomplete",IF(D6=0,"Not assessed",IF(H6&gt;Scoring!$B$10,"Information needs confirmation",IF(I6+J6&gt;0,"Priority review required",IF(F6&lt;Scoring!$B$7,"Foundations need attention",IF(F6&lt;Scoring!$B$8,"Developing / inconsistent","Established reported practice"))))))</f>
        <v>Priority review required</v>
      </c>
      <c r="L6" s="9">
        <f>IF(D6=0,0,C6)</f>
        <v>18</v>
      </c>
      <c r="M6" s="9">
        <f>IF(D6=0,0,F6*C6)</f>
        <v>1270.5882352941178</v>
      </c>
      <c r="N6" s="9">
        <f>IF(D6=0,0,H6*C6)</f>
        <v>3.1764705882352944</v>
      </c>
      <c r="O6" s="9">
        <f>SUMIF($B$26:$B$94,A6,$L$26:$L$94)</f>
        <v>0</v>
      </c>
    </row>
    <row r="7" ht="34" customHeight="1">
      <c r="A7" s="6" t="inlineStr">
        <is>
          <t>CON</t>
        </is>
      </c>
      <c r="B7" s="6" t="inlineStr">
        <is>
          <t>Employment Contracts</t>
        </is>
      </c>
      <c r="C7" s="11">
        <f>Scoring!C23</f>
        <v>8</v>
      </c>
      <c r="D7" s="11">
        <f>SUMIF($B$26:$B$94,A7,$H$26:$H$94)</f>
        <v>7</v>
      </c>
      <c r="E7" s="11">
        <f>SUMIF($B$26:$B$94,A7,$I$26:$I$94)</f>
        <v>21</v>
      </c>
      <c r="F7" s="57">
        <f>IF(D7=0,"",E7/(D7*Scoring!$B$6)*100)</f>
        <v>100</v>
      </c>
      <c r="G7" s="11">
        <f>SUMIF($B$26:$B$94,A7,$J$26:$J$94)</f>
        <v>0</v>
      </c>
      <c r="H7" s="58">
        <f>IF(D7=0,"",G7/D7)</f>
        <v>0</v>
      </c>
      <c r="I7" s="11">
        <f>COUNTIFS('Risk Register'!$B$6:$B$74,A7,'Risk Register'!$N$6:$N$74,"&gt;=3",'Risk Register'!$D$6:$D$74,"&lt;&gt;DK")</f>
        <v>0</v>
      </c>
      <c r="J7" s="11">
        <f>COUNTIFS('Risk Register'!$B$6:$B$74,A7,'Risk Register'!$N$6:$N$74,"&gt;=3",'Risk Register'!$D$6:$D$74,"DK")</f>
        <v>0</v>
      </c>
      <c r="K7" s="7" t="str">
        <f>IF(O7&gt;0,"Incomplete",IF(D7=0,"Not assessed",IF(H7&gt;Scoring!$B$10,"Information needs confirmation",IF(I7+J7&gt;0,"Priority review required",IF(F7&lt;Scoring!$B$7,"Foundations need attention",IF(F7&lt;Scoring!$B$8,"Developing / inconsistent","Established reported practice"))))))</f>
        <v>Established reported practice</v>
      </c>
      <c r="L7" s="11">
        <f>IF(D7=0,0,C7)</f>
        <v>8</v>
      </c>
      <c r="M7" s="11">
        <f>IF(D7=0,0,F7*C7)</f>
        <v>800</v>
      </c>
      <c r="N7" s="11">
        <f>IF(D7=0,0,H7*C7)</f>
        <v>0</v>
      </c>
      <c r="O7" s="11">
        <f>SUMIF($B$26:$B$94,A7,$L$26:$L$94)</f>
        <v>0</v>
      </c>
    </row>
    <row r="8" ht="34" customHeight="1">
      <c r="A8" s="5" t="inlineStr">
        <is>
          <t>REC</t>
        </is>
      </c>
      <c r="B8" s="5" t="inlineStr">
        <is>
          <t>Recruitment &amp; Talent</t>
        </is>
      </c>
      <c r="C8" s="9">
        <f>Scoring!C24</f>
        <v>6</v>
      </c>
      <c r="D8" s="9">
        <f>SUMIF($B$26:$B$94,A8,$H$26:$H$94)</f>
        <v>5</v>
      </c>
      <c r="E8" s="9">
        <f>SUMIF($B$26:$B$94,A8,$I$26:$I$94)</f>
        <v>15</v>
      </c>
      <c r="F8" s="55">
        <f>IF(D8=0,"",E8/(D8*Scoring!$B$6)*100)</f>
        <v>100</v>
      </c>
      <c r="G8" s="9">
        <f>SUMIF($B$26:$B$94,A8,$J$26:$J$94)</f>
        <v>0</v>
      </c>
      <c r="H8" s="56">
        <f>IF(D8=0,"",G8/D8)</f>
        <v>0</v>
      </c>
      <c r="I8" s="9">
        <f>COUNTIFS('Risk Register'!$B$6:$B$74,A8,'Risk Register'!$N$6:$N$74,"&gt;=3",'Risk Register'!$D$6:$D$74,"&lt;&gt;DK")</f>
        <v>0</v>
      </c>
      <c r="J8" s="9">
        <f>COUNTIFS('Risk Register'!$B$6:$B$74,A8,'Risk Register'!$N$6:$N$74,"&gt;=3",'Risk Register'!$D$6:$D$74,"DK")</f>
        <v>0</v>
      </c>
      <c r="K8" s="25" t="str">
        <f>IF(O8&gt;0,"Incomplete",IF(D8=0,"Not assessed",IF(H8&gt;Scoring!$B$10,"Information needs confirmation",IF(I8+J8&gt;0,"Priority review required",IF(F8&lt;Scoring!$B$7,"Foundations need attention",IF(F8&lt;Scoring!$B$8,"Developing / inconsistent","Established reported practice"))))))</f>
        <v>Established reported practice</v>
      </c>
      <c r="L8" s="9">
        <f>IF(D8=0,0,C8)</f>
        <v>6</v>
      </c>
      <c r="M8" s="9">
        <f>IF(D8=0,0,F8*C8)</f>
        <v>600</v>
      </c>
      <c r="N8" s="9">
        <f>IF(D8=0,0,H8*C8)</f>
        <v>0</v>
      </c>
      <c r="O8" s="9">
        <f>SUMIF($B$26:$B$94,A8,$L$26:$L$94)</f>
        <v>0</v>
      </c>
    </row>
    <row r="9" ht="34" customHeight="1">
      <c r="A9" s="6" t="inlineStr">
        <is>
          <t>ONB</t>
        </is>
      </c>
      <c r="B9" s="6" t="inlineStr">
        <is>
          <t>New Hires &amp; Onboarding</t>
        </is>
      </c>
      <c r="C9" s="11">
        <f>Scoring!C25</f>
        <v>6</v>
      </c>
      <c r="D9" s="11">
        <f>SUMIF($B$26:$B$94,A9,$H$26:$H$94)</f>
        <v>7</v>
      </c>
      <c r="E9" s="11">
        <f>SUMIF($B$26:$B$94,A9,$I$26:$I$94)</f>
        <v>21</v>
      </c>
      <c r="F9" s="57">
        <f>IF(D9=0,"",E9/(D9*Scoring!$B$6)*100)</f>
        <v>100</v>
      </c>
      <c r="G9" s="11">
        <f>SUMIF($B$26:$B$94,A9,$J$26:$J$94)</f>
        <v>0</v>
      </c>
      <c r="H9" s="58">
        <f>IF(D9=0,"",G9/D9)</f>
        <v>0</v>
      </c>
      <c r="I9" s="11">
        <f>COUNTIFS('Risk Register'!$B$6:$B$74,A9,'Risk Register'!$N$6:$N$74,"&gt;=3",'Risk Register'!$D$6:$D$74,"&lt;&gt;DK")</f>
        <v>0</v>
      </c>
      <c r="J9" s="11">
        <f>COUNTIFS('Risk Register'!$B$6:$B$74,A9,'Risk Register'!$N$6:$N$74,"&gt;=3",'Risk Register'!$D$6:$D$74,"DK")</f>
        <v>0</v>
      </c>
      <c r="K9" s="7" t="str">
        <f>IF(O9&gt;0,"Incomplete",IF(D9=0,"Not assessed",IF(H9&gt;Scoring!$B$10,"Information needs confirmation",IF(I9+J9&gt;0,"Priority review required",IF(F9&lt;Scoring!$B$7,"Foundations need attention",IF(F9&lt;Scoring!$B$8,"Developing / inconsistent","Established reported practice"))))))</f>
        <v>Established reported practice</v>
      </c>
      <c r="L9" s="11">
        <f>IF(D9=0,0,C9)</f>
        <v>6</v>
      </c>
      <c r="M9" s="11">
        <f>IF(D9=0,0,F9*C9)</f>
        <v>600</v>
      </c>
      <c r="N9" s="11">
        <f>IF(D9=0,0,H9*C9)</f>
        <v>0</v>
      </c>
      <c r="O9" s="11">
        <f>SUMIF($B$26:$B$94,A9,$L$26:$L$94)</f>
        <v>0</v>
      </c>
    </row>
    <row r="10" ht="34" customHeight="1">
      <c r="A10" s="5" t="inlineStr">
        <is>
          <t>POL</t>
        </is>
      </c>
      <c r="B10" s="5" t="inlineStr">
        <is>
          <t>Policies &amp; Procedures</t>
        </is>
      </c>
      <c r="C10" s="9">
        <f>Scoring!C26</f>
        <v>6</v>
      </c>
      <c r="D10" s="9">
        <f>SUMIF($B$26:$B$94,A10,$H$26:$H$94)</f>
        <v>6</v>
      </c>
      <c r="E10" s="9">
        <f>SUMIF($B$26:$B$94,A10,$I$26:$I$94)</f>
        <v>18</v>
      </c>
      <c r="F10" s="55">
        <f>IF(D10=0,"",E10/(D10*Scoring!$B$6)*100)</f>
        <v>100</v>
      </c>
      <c r="G10" s="9">
        <f>SUMIF($B$26:$B$94,A10,$J$26:$J$94)</f>
        <v>0</v>
      </c>
      <c r="H10" s="56">
        <f>IF(D10=0,"",G10/D10)</f>
        <v>0</v>
      </c>
      <c r="I10" s="9">
        <f>COUNTIFS('Risk Register'!$B$6:$B$74,A10,'Risk Register'!$N$6:$N$74,"&gt;=3",'Risk Register'!$D$6:$D$74,"&lt;&gt;DK")</f>
        <v>0</v>
      </c>
      <c r="J10" s="9">
        <f>COUNTIFS('Risk Register'!$B$6:$B$74,A10,'Risk Register'!$N$6:$N$74,"&gt;=3",'Risk Register'!$D$6:$D$74,"DK")</f>
        <v>0</v>
      </c>
      <c r="K10" s="25" t="str">
        <f>IF(O10&gt;0,"Incomplete",IF(D10=0,"Not assessed",IF(H10&gt;Scoring!$B$10,"Information needs confirmation",IF(I10+J10&gt;0,"Priority review required",IF(F10&lt;Scoring!$B$7,"Foundations need attention",IF(F10&lt;Scoring!$B$8,"Developing / inconsistent","Established reported practice"))))))</f>
        <v>Established reported practice</v>
      </c>
      <c r="L10" s="9">
        <f>IF(D10=0,0,C10)</f>
        <v>6</v>
      </c>
      <c r="M10" s="9">
        <f>IF(D10=0,0,F10*C10)</f>
        <v>600</v>
      </c>
      <c r="N10" s="9">
        <f>IF(D10=0,0,H10*C10)</f>
        <v>0</v>
      </c>
      <c r="O10" s="9">
        <f>SUMIF($B$26:$B$94,A10,$L$26:$L$94)</f>
        <v>0</v>
      </c>
    </row>
    <row r="11" ht="34" customHeight="1">
      <c r="A11" s="6" t="inlineStr">
        <is>
          <t>WHS</t>
        </is>
      </c>
      <c r="B11" s="6" t="inlineStr">
        <is>
          <t>Workplace Health &amp; Safety</t>
        </is>
      </c>
      <c r="C11" s="11">
        <f>Scoring!C27</f>
        <v>10</v>
      </c>
      <c r="D11" s="11">
        <f>SUMIF($B$26:$B$94,A11,$H$26:$H$94)</f>
        <v>11</v>
      </c>
      <c r="E11" s="11">
        <f>SUMIF($B$26:$B$94,A11,$I$26:$I$94)</f>
        <v>33</v>
      </c>
      <c r="F11" s="57">
        <f>IF(D11=0,"",E11/(D11*Scoring!$B$6)*100)</f>
        <v>100</v>
      </c>
      <c r="G11" s="11">
        <f>SUMIF($B$26:$B$94,A11,$J$26:$J$94)</f>
        <v>0</v>
      </c>
      <c r="H11" s="58">
        <f>IF(D11=0,"",G11/D11)</f>
        <v>0</v>
      </c>
      <c r="I11" s="11">
        <f>COUNTIFS('Risk Register'!$B$6:$B$74,A11,'Risk Register'!$N$6:$N$74,"&gt;=3",'Risk Register'!$D$6:$D$74,"&lt;&gt;DK")</f>
        <v>0</v>
      </c>
      <c r="J11" s="11">
        <f>COUNTIFS('Risk Register'!$B$6:$B$74,A11,'Risk Register'!$N$6:$N$74,"&gt;=3",'Risk Register'!$D$6:$D$74,"DK")</f>
        <v>0</v>
      </c>
      <c r="K11" s="7" t="str">
        <f>IF(O11&gt;0,"Incomplete",IF(D11=0,"Not assessed",IF(H11&gt;Scoring!$B$10,"Information needs confirmation",IF(I11+J11&gt;0,"Priority review required",IF(F11&lt;Scoring!$B$7,"Foundations need attention",IF(F11&lt;Scoring!$B$8,"Developing / inconsistent","Established reported practice"))))))</f>
        <v>Established reported practice</v>
      </c>
      <c r="L11" s="11">
        <f>IF(D11=0,0,C11)</f>
        <v>10</v>
      </c>
      <c r="M11" s="11">
        <f>IF(D11=0,0,F11*C11)</f>
        <v>1000</v>
      </c>
      <c r="N11" s="11">
        <f>IF(D11=0,0,H11*C11)</f>
        <v>0</v>
      </c>
      <c r="O11" s="11">
        <f>SUMIF($B$26:$B$94,A11,$L$26:$L$94)</f>
        <v>0</v>
      </c>
    </row>
    <row r="12" ht="42" customHeight="1">
      <c r="A12" s="5" t="inlineStr">
        <is>
          <t>PER</t>
        </is>
      </c>
      <c r="B12" s="5" t="inlineStr">
        <is>
          <t>Reviewing &amp; Managing Performance</t>
        </is>
      </c>
      <c r="C12" s="9">
        <f>Scoring!C28</f>
        <v>8</v>
      </c>
      <c r="D12" s="9">
        <f>SUMIF($B$26:$B$94,A12,$H$26:$H$94)</f>
        <v>10</v>
      </c>
      <c r="E12" s="9">
        <f>SUMIF($B$26:$B$94,A12,$I$26:$I$94)</f>
        <v>30</v>
      </c>
      <c r="F12" s="55">
        <f>IF(D12=0,"",E12/(D12*Scoring!$B$6)*100)</f>
        <v>100</v>
      </c>
      <c r="G12" s="9">
        <f>SUMIF($B$26:$B$94,A12,$J$26:$J$94)</f>
        <v>0</v>
      </c>
      <c r="H12" s="56">
        <f>IF(D12=0,"",G12/D12)</f>
        <v>0</v>
      </c>
      <c r="I12" s="9">
        <f>COUNTIFS('Risk Register'!$B$6:$B$74,A12,'Risk Register'!$N$6:$N$74,"&gt;=3",'Risk Register'!$D$6:$D$74,"&lt;&gt;DK")</f>
        <v>0</v>
      </c>
      <c r="J12" s="9">
        <f>COUNTIFS('Risk Register'!$B$6:$B$74,A12,'Risk Register'!$N$6:$N$74,"&gt;=3",'Risk Register'!$D$6:$D$74,"DK")</f>
        <v>0</v>
      </c>
      <c r="K12" s="25" t="str">
        <f>IF(O12&gt;0,"Incomplete",IF(D12=0,"Not assessed",IF(H12&gt;Scoring!$B$10,"Information needs confirmation",IF(I12+J12&gt;0,"Priority review required",IF(F12&lt;Scoring!$B$7,"Foundations need attention",IF(F12&lt;Scoring!$B$8,"Developing / inconsistent","Established reported practice"))))))</f>
        <v>Established reported practice</v>
      </c>
      <c r="L12" s="9">
        <f>IF(D12=0,0,C12)</f>
        <v>8</v>
      </c>
      <c r="M12" s="9">
        <f>IF(D12=0,0,F12*C12)</f>
        <v>800</v>
      </c>
      <c r="N12" s="9">
        <f>IF(D12=0,0,H12*C12)</f>
        <v>0</v>
      </c>
      <c r="O12" s="9">
        <f>SUMIF($B$26:$B$94,A12,$L$26:$L$94)</f>
        <v>0</v>
      </c>
    </row>
    <row r="13" ht="34" customHeight="1">
      <c r="A13" s="6" t="inlineStr">
        <is>
          <t>LND</t>
        </is>
      </c>
      <c r="B13" s="6" t="inlineStr">
        <is>
          <t>Training &amp; Development</t>
        </is>
      </c>
      <c r="C13" s="11">
        <f>Scoring!C29</f>
        <v>5</v>
      </c>
      <c r="D13" s="11">
        <f>SUMIF($B$26:$B$94,A13,$H$26:$H$94)</f>
        <v>6</v>
      </c>
      <c r="E13" s="11">
        <f>SUMIF($B$26:$B$94,A13,$I$26:$I$94)</f>
        <v>14</v>
      </c>
      <c r="F13" s="57">
        <f>IF(D13=0,"",E13/(D13*Scoring!$B$6)*100)</f>
        <v>77.77777777777779</v>
      </c>
      <c r="G13" s="11">
        <f>SUMIF($B$26:$B$94,A13,$J$26:$J$94)</f>
        <v>0</v>
      </c>
      <c r="H13" s="58">
        <f>IF(D13=0,"",G13/D13)</f>
        <v>0</v>
      </c>
      <c r="I13" s="11">
        <f>COUNTIFS('Risk Register'!$B$6:$B$74,A13,'Risk Register'!$N$6:$N$74,"&gt;=3",'Risk Register'!$D$6:$D$74,"&lt;&gt;DK")</f>
        <v>1</v>
      </c>
      <c r="J13" s="11">
        <f>COUNTIFS('Risk Register'!$B$6:$B$74,A13,'Risk Register'!$N$6:$N$74,"&gt;=3",'Risk Register'!$D$6:$D$74,"DK")</f>
        <v>0</v>
      </c>
      <c r="K13" s="7" t="str">
        <f>IF(O13&gt;0,"Incomplete",IF(D13=0,"Not assessed",IF(H13&gt;Scoring!$B$10,"Information needs confirmation",IF(I13+J13&gt;0,"Priority review required",IF(F13&lt;Scoring!$B$7,"Foundations need attention",IF(F13&lt;Scoring!$B$8,"Developing / inconsistent","Established reported practice"))))))</f>
        <v>Priority review required</v>
      </c>
      <c r="L13" s="11">
        <f>IF(D13=0,0,C13)</f>
        <v>5</v>
      </c>
      <c r="M13" s="11">
        <f>IF(D13=0,0,F13*C13)</f>
        <v>388.8888888888889</v>
      </c>
      <c r="N13" s="11">
        <f>IF(D13=0,0,H13*C13)</f>
        <v>0</v>
      </c>
      <c r="O13" s="11">
        <f>SUMIF($B$26:$B$94,A13,$L$26:$L$94)</f>
        <v>0</v>
      </c>
    </row>
    <row r="14" ht="34" customHeight="1">
      <c r="A14" s="5" t="inlineStr">
        <is>
          <t>CUL</t>
        </is>
      </c>
      <c r="B14" s="5" t="inlineStr">
        <is>
          <t>Culture &amp; Engagement</t>
        </is>
      </c>
      <c r="C14" s="9">
        <f>Scoring!C30</f>
        <v>7</v>
      </c>
      <c r="D14" s="9">
        <f>SUMIF($B$26:$B$94,A14,$H$26:$H$94)</f>
        <v>7</v>
      </c>
      <c r="E14" s="9">
        <f>SUMIF($B$26:$B$94,A14,$I$26:$I$94)</f>
        <v>21</v>
      </c>
      <c r="F14" s="55">
        <f>IF(D14=0,"",E14/(D14*Scoring!$B$6)*100)</f>
        <v>100</v>
      </c>
      <c r="G14" s="9">
        <f>SUMIF($B$26:$B$94,A14,$J$26:$J$94)</f>
        <v>0</v>
      </c>
      <c r="H14" s="56">
        <f>IF(D14=0,"",G14/D14)</f>
        <v>0</v>
      </c>
      <c r="I14" s="9">
        <f>COUNTIFS('Risk Register'!$B$6:$B$74,A14,'Risk Register'!$N$6:$N$74,"&gt;=3",'Risk Register'!$D$6:$D$74,"&lt;&gt;DK")</f>
        <v>0</v>
      </c>
      <c r="J14" s="9">
        <f>COUNTIFS('Risk Register'!$B$6:$B$74,A14,'Risk Register'!$N$6:$N$74,"&gt;=3",'Risk Register'!$D$6:$D$74,"DK")</f>
        <v>0</v>
      </c>
      <c r="K14" s="25" t="str">
        <f>IF(O14&gt;0,"Incomplete",IF(D14=0,"Not assessed",IF(H14&gt;Scoring!$B$10,"Information needs confirmation",IF(I14+J14&gt;0,"Priority review required",IF(F14&lt;Scoring!$B$7,"Foundations need attention",IF(F14&lt;Scoring!$B$8,"Developing / inconsistent","Established reported practice"))))))</f>
        <v>Established reported practice</v>
      </c>
      <c r="L14" s="9">
        <f>IF(D14=0,0,C14)</f>
        <v>7</v>
      </c>
      <c r="M14" s="9">
        <f>IF(D14=0,0,F14*C14)</f>
        <v>700</v>
      </c>
      <c r="N14" s="9">
        <f>IF(D14=0,0,H14*C14)</f>
        <v>0</v>
      </c>
      <c r="O14" s="9">
        <f>SUMIF($B$26:$B$94,A14,$L$26:$L$94)</f>
        <v>0</v>
      </c>
    </row>
    <row r="15" ht="34" customHeight="1">
      <c r="A15" s="6" t="inlineStr">
        <is>
          <t>DAT</t>
        </is>
      </c>
      <c r="B15" s="6" t="inlineStr">
        <is>
          <t>Record Keeping</t>
        </is>
      </c>
      <c r="C15" s="11">
        <f>Scoring!C31</f>
        <v>7</v>
      </c>
      <c r="D15" s="11">
        <f>SUMIF($B$26:$B$94,A15,$H$26:$H$94)</f>
        <v>8</v>
      </c>
      <c r="E15" s="11">
        <f>SUMIF($B$26:$B$94,A15,$I$26:$I$94)</f>
        <v>24</v>
      </c>
      <c r="F15" s="57">
        <f>IF(D15=0,"",E15/(D15*Scoring!$B$6)*100)</f>
        <v>100</v>
      </c>
      <c r="G15" s="11">
        <f>SUMIF($B$26:$B$94,A15,$J$26:$J$94)</f>
        <v>0</v>
      </c>
      <c r="H15" s="58">
        <f>IF(D15=0,"",G15/D15)</f>
        <v>0</v>
      </c>
      <c r="I15" s="11">
        <f>COUNTIFS('Risk Register'!$B$6:$B$74,A15,'Risk Register'!$N$6:$N$74,"&gt;=3",'Risk Register'!$D$6:$D$74,"&lt;&gt;DK")</f>
        <v>0</v>
      </c>
      <c r="J15" s="11">
        <f>COUNTIFS('Risk Register'!$B$6:$B$74,A15,'Risk Register'!$N$6:$N$74,"&gt;=3",'Risk Register'!$D$6:$D$74,"DK")</f>
        <v>0</v>
      </c>
      <c r="K15" s="7" t="str">
        <f>IF(O15&gt;0,"Incomplete",IF(D15=0,"Not assessed",IF(H15&gt;Scoring!$B$10,"Information needs confirmation",IF(I15+J15&gt;0,"Priority review required",IF(F15&lt;Scoring!$B$7,"Foundations need attention",IF(F15&lt;Scoring!$B$8,"Developing / inconsistent","Established reported practice"))))))</f>
        <v>Established reported practice</v>
      </c>
      <c r="L15" s="11">
        <f>IF(D15=0,0,C15)</f>
        <v>7</v>
      </c>
      <c r="M15" s="11">
        <f>IF(D15=0,0,F15*C15)</f>
        <v>700</v>
      </c>
      <c r="N15" s="11">
        <f>IF(D15=0,0,H15*C15)</f>
        <v>0</v>
      </c>
      <c r="O15" s="11">
        <f>SUMIF($B$26:$B$94,A15,$L$26:$L$94)</f>
        <v>0</v>
      </c>
    </row>
    <row r="16" ht="34" customHeight="1">
      <c r="A16" s="5" t="inlineStr">
        <is>
          <t>EXT</t>
        </is>
      </c>
      <c r="B16" s="5" t="inlineStr">
        <is>
          <t>Employee Exits</t>
        </is>
      </c>
      <c r="C16" s="9">
        <f>Scoring!C32</f>
        <v>7</v>
      </c>
      <c r="D16" s="9">
        <f>SUMIF($B$26:$B$94,A16,$H$26:$H$94)</f>
        <v>8</v>
      </c>
      <c r="E16" s="9">
        <f>SUMIF($B$26:$B$94,A16,$I$26:$I$94)</f>
        <v>24</v>
      </c>
      <c r="F16" s="55">
        <f>IF(D16=0,"",E16/(D16*Scoring!$B$6)*100)</f>
        <v>100</v>
      </c>
      <c r="G16" s="9">
        <f>SUMIF($B$26:$B$94,A16,$J$26:$J$94)</f>
        <v>0</v>
      </c>
      <c r="H16" s="56">
        <f>IF(D16=0,"",G16/D16)</f>
        <v>0</v>
      </c>
      <c r="I16" s="9">
        <f>COUNTIFS('Risk Register'!$B$6:$B$74,A16,'Risk Register'!$N$6:$N$74,"&gt;=3",'Risk Register'!$D$6:$D$74,"&lt;&gt;DK")</f>
        <v>0</v>
      </c>
      <c r="J16" s="9">
        <f>COUNTIFS('Risk Register'!$B$6:$B$74,A16,'Risk Register'!$N$6:$N$74,"&gt;=3",'Risk Register'!$D$6:$D$74,"DK")</f>
        <v>0</v>
      </c>
      <c r="K16" s="25" t="str">
        <f>IF(O16&gt;0,"Incomplete",IF(D16=0,"Not assessed",IF(H16&gt;Scoring!$B$10,"Information needs confirmation",IF(I16+J16&gt;0,"Priority review required",IF(F16&lt;Scoring!$B$7,"Foundations need attention",IF(F16&lt;Scoring!$B$8,"Developing / inconsistent","Established reported practice"))))))</f>
        <v>Established reported practice</v>
      </c>
      <c r="L16" s="9">
        <f>IF(D16=0,0,C16)</f>
        <v>7</v>
      </c>
      <c r="M16" s="9">
        <f>IF(D16=0,0,F16*C16)</f>
        <v>700</v>
      </c>
      <c r="N16" s="9">
        <f>IF(D16=0,0,H16*C16)</f>
        <v>0</v>
      </c>
      <c r="O16" s="9">
        <f>SUMIF($B$26:$B$94,A16,$L$26:$L$94)</f>
        <v>0</v>
      </c>
    </row>
    <row r="17" ht="42" customHeight="1">
      <c r="A17" s="6" t="inlineStr">
        <is>
          <t>PSY</t>
        </is>
      </c>
      <c r="B17" s="6" t="inlineStr">
        <is>
          <t>Psychosocial Risk &amp; Positive Duty</t>
        </is>
      </c>
      <c r="C17" s="11">
        <f>Scoring!C33</f>
        <v>12</v>
      </c>
      <c r="D17" s="11">
        <f>SUMIF($B$26:$B$94,A17,$H$26:$H$94)</f>
        <v>14</v>
      </c>
      <c r="E17" s="11">
        <f>SUMIF($B$26:$B$94,A17,$I$26:$I$94)</f>
        <v>33</v>
      </c>
      <c r="F17" s="57">
        <f>IF(D17=0,"",E17/(D17*Scoring!$B$6)*100)</f>
        <v>78.57142857142857</v>
      </c>
      <c r="G17" s="11">
        <f>SUMIF($B$26:$B$94,A17,$J$26:$J$94)</f>
        <v>0</v>
      </c>
      <c r="H17" s="58">
        <f>IF(D17=0,"",G17/D17)</f>
        <v>0</v>
      </c>
      <c r="I17" s="11">
        <f>COUNTIFS('Risk Register'!$B$6:$B$74,A17,'Risk Register'!$N$6:$N$74,"&gt;=3",'Risk Register'!$D$6:$D$74,"&lt;&gt;DK")</f>
        <v>1</v>
      </c>
      <c r="J17" s="11">
        <f>COUNTIFS('Risk Register'!$B$6:$B$74,A17,'Risk Register'!$N$6:$N$74,"&gt;=3",'Risk Register'!$D$6:$D$74,"DK")</f>
        <v>0</v>
      </c>
      <c r="K17" s="7" t="str">
        <f>IF(O17&gt;0,"Incomplete",IF(D17=0,"Not assessed",IF(H17&gt;Scoring!$B$10,"Information needs confirmation",IF(I17+J17&gt;0,"Priority review required",IF(F17&lt;Scoring!$B$7,"Foundations need attention",IF(F17&lt;Scoring!$B$8,"Developing / inconsistent","Established reported practice"))))))</f>
        <v>Priority review required</v>
      </c>
      <c r="L17" s="11">
        <f>IF(D17=0,0,C17)</f>
        <v>12</v>
      </c>
      <c r="M17" s="11">
        <f>IF(D17=0,0,F17*C17)</f>
        <v>942.8571428571429</v>
      </c>
      <c r="N17" s="11">
        <f>IF(D17=0,0,H17*C17)</f>
        <v>0</v>
      </c>
      <c r="O17" s="11">
        <f>SUMIF($B$26:$B$94,A17,$L$26:$L$94)</f>
        <v>0</v>
      </c>
    </row>
    <row r="18">
      <c r="C18" s="28" t="n"/>
      <c r="D18" s="28" t="n"/>
      <c r="E18" s="28" t="n"/>
      <c r="F18" s="28" t="n"/>
      <c r="G18" s="28" t="n"/>
      <c r="H18" s="28" t="n"/>
      <c r="I18" s="28" t="n"/>
      <c r="J18" s="28" t="n"/>
      <c r="L18" s="28" t="n"/>
      <c r="M18" s="28" t="n"/>
      <c r="N18" s="28" t="n"/>
      <c r="O18" s="28" t="n"/>
    </row>
    <row r="19" ht="42" customHeight="1">
      <c r="A19" s="19" t="inlineStr">
        <is>
          <t>OVERALL</t>
        </is>
      </c>
      <c r="B19" s="19" t="inlineStr">
        <is>
          <t>Weighted across eligible domains</t>
        </is>
      </c>
      <c r="C19" s="20">
        <f>SUM(C6:C17)</f>
        <v>100</v>
      </c>
      <c r="D19" s="20">
        <f>SUM(D6:D17)</f>
        <v>106</v>
      </c>
      <c r="E19" s="20">
        <f>SUM(E6:E17)</f>
        <v>290</v>
      </c>
      <c r="F19" s="59">
        <f>IF(SUM(L6:L17)=0,"",SUM(M6:M17)/SUM(L6:L17))</f>
        <v>91.02334267040149</v>
      </c>
      <c r="G19" s="20">
        <f>SUM(G6:G17)</f>
        <v>3</v>
      </c>
      <c r="H19" s="60">
        <f>IF(SUM(L6:L17)=0,"",SUM(N6:N17)/SUM(L6:L17))</f>
        <v>0.031764705882352945</v>
      </c>
      <c r="I19" s="20">
        <f>SUM(I6:I17)</f>
        <v>3</v>
      </c>
      <c r="J19" s="20">
        <f>SUM(J6:J17)</f>
        <v>1</v>
      </c>
      <c r="K19" s="19" t="str">
        <f>IF(Scoring!C34&lt;&gt;100,"Review configuration",IF(OR(SUM(O6:O17)&gt;0,SUM('Risk Register'!$AI$6:$AI$74)&gt;0),"Incomplete / check inputs",IF(SUM(L6:L17)=0,"Not assessed",IF(COUNTIF('Risk Register'!$N$6:$N$74,4)&gt;0,"Immediate action required",IF(H19&gt;Scoring!$B$10,"Information needs confirmation",IF(I19+J19&gt;0,"Priority review required",IF(F19&lt;Scoring!$B$7,"Foundations need attention",IF(F19&lt;Scoring!$B$8,"Developing / inconsistent","Established reported practice"))))))))</f>
        <v>Priority review required</v>
      </c>
      <c r="L19" s="20">
        <f>SUM(L6:L17)</f>
        <v>100</v>
      </c>
      <c r="M19" s="20">
        <f>SUM(M6:M17)</f>
        <v>9102.334267040149</v>
      </c>
      <c r="N19" s="20">
        <f>SUM(N6:N17)</f>
        <v>3.1764705882352944</v>
      </c>
      <c r="O19" s="20">
        <f>SUM(O6:O17)</f>
        <v>0</v>
      </c>
    </row>
    <row r="20"/>
    <row r="21" ht="70" customHeight="1">
      <c r="A21" s="6" t="inlineStr">
        <is>
          <t>PUBLISHED</t>
        </is>
      </c>
      <c r="B21" s="6" t="inlineStr">
        <is>
          <t>Published score is blank when incomplete, not assessed or uncertainty exceeds the proposed threshold. Priority alerts still qualify an otherwise publishable score.</t>
        </is>
      </c>
      <c r="C21" s="15" t="n"/>
      <c r="D21" s="15" t="n"/>
      <c r="E21" s="15" t="n"/>
      <c r="F21" s="57">
        <f>IF(OR(Scoring!C34&lt;&gt;100,O19&gt;0,L19=0,H19&gt;Scoring!$B$10,SUM('Risk Register'!$AI$6:$AI$74)&gt;0),"",F19)</f>
        <v>91.02334267040149</v>
      </c>
      <c r="G21" s="15" t="n"/>
      <c r="H21" s="15" t="n"/>
      <c r="I21" s="15" t="n"/>
      <c r="J21" s="15" t="n"/>
      <c r="K21" s="7" t="str">
        <f>K19</f>
        <v>Priority review required</v>
      </c>
      <c r="L21" s="28" t="n"/>
      <c r="M21" s="28" t="n"/>
      <c r="N21" s="28" t="n"/>
      <c r="O21" s="28" t="n"/>
    </row>
    <row r="22"/>
    <row r="23" ht="40" customHeight="1">
      <c r="A23" s="6" t="inlineStr">
        <is>
          <t>HOW TO USE</t>
        </is>
      </c>
      <c r="B23" s="6" t="inlineStr">
        <is>
          <t>Edit only eligibility (F) and response (G) below. Eligibility: 1=yes, 0=confirmed exclusion. Responses: 0,1,2,3 or DK. A blank eligible response blocks publication.</t>
        </is>
      </c>
    </row>
    <row r="24"/>
    <row r="25" ht="40" customHeight="1">
      <c r="A25" s="4" t="inlineStr">
        <is>
          <t>Question ID</t>
        </is>
      </c>
      <c r="B25" s="4" t="inlineStr">
        <is>
          <t>Domain</t>
        </is>
      </c>
      <c r="C25" s="4" t="inlineStr">
        <is>
          <t>Question</t>
        </is>
      </c>
      <c r="D25" s="4" t="inlineStr">
        <is>
          <t>Weight</t>
        </is>
      </c>
      <c r="E25" s="4" t="inlineStr">
        <is>
          <t>Critical?</t>
        </is>
      </c>
      <c r="F25" s="4" t="inlineStr">
        <is>
          <t>Eligible 1/0</t>
        </is>
      </c>
      <c r="G25" s="4" t="inlineStr">
        <is>
          <t>Response</t>
        </is>
      </c>
      <c r="H25" s="4" t="inlineStr">
        <is>
          <t>Eligible weight</t>
        </is>
      </c>
      <c r="I25" s="4" t="inlineStr">
        <is>
          <t>Points earned</t>
        </is>
      </c>
      <c r="J25" s="4" t="inlineStr">
        <is>
          <t>Unknown weight</t>
        </is>
      </c>
      <c r="K25" s="4" t="inlineStr">
        <is>
          <t>Eligible max</t>
        </is>
      </c>
      <c r="L25" s="4" t="inlineStr">
        <is>
          <t>Unanswered</t>
        </is>
      </c>
      <c r="M25" s="4" t="inlineStr">
        <is>
          <t>Practice status only</t>
        </is>
      </c>
      <c r="N25" s="4" t="inlineStr">
        <is>
          <t>Route</t>
        </is>
      </c>
      <c r="O25" s="4" t="inlineStr">
        <is>
          <t>Finding headline</t>
        </is>
      </c>
    </row>
    <row r="26" ht="112" customHeight="1">
      <c r="A26" s="5" t="inlineStr">
        <is>
          <t>PAY01</t>
        </is>
      </c>
      <c r="B26" s="5" t="inlineStr">
        <is>
          <t>PAY</t>
        </is>
      </c>
      <c r="C26" s="5" t="inlineStr">
        <is>
          <t>How has your business established which employment rules and classifications apply to each role?</t>
        </is>
      </c>
      <c r="D26" s="9">
        <f>'Questions'!F6</f>
        <v>3</v>
      </c>
      <c r="E26" s="9" t="str">
        <f>'Questions'!G6</f>
        <v>Yes</v>
      </c>
      <c r="F26" s="13" t="n">
        <v>1</v>
      </c>
      <c r="G26" s="13" t="n">
        <v>3</v>
      </c>
      <c r="H26" s="9">
        <f>IF(F26=1,D26,0)</f>
        <v>3</v>
      </c>
      <c r="I26" s="9">
        <f>IF(F26=1,IF(OR(G26&amp;""="0",G26&amp;""="1",G26&amp;""="2",G26&amp;""="3"),D26*VALUE(G26),0),0)</f>
        <v>9</v>
      </c>
      <c r="J26" s="9">
        <f>IF(AND(F26=1,G26="DK"),D26,0)</f>
        <v>0</v>
      </c>
      <c r="K26" s="9">
        <f>H26*Scoring!$B$6</f>
        <v>9</v>
      </c>
      <c r="L26" s="9">
        <f>IF(COUNTBLANK(F26)&gt;0,1,IF(F26=0,0,IF(COUNTBLANK(G26)&gt;0,1,IF(AND(F26=1,OR(G26="DK",OR(G26&amp;""="0",G26&amp;""="1",G26&amp;""="2",G26&amp;""="3"))),0,1))))</f>
        <v>0</v>
      </c>
      <c r="M26" s="25" t="str">
        <f>IF(COUNTBLANK(F26)&gt;0,"Invalid eligibility",IF(F26=0,"Excluded",IF(F26&lt;&gt;1,"Invalid eligibility",IF(COUNTBLANK(G26)&gt;0,"Incomplete",IF(G26="DK",IF(E26="Yes","Verify priority","Verify"),IF(NOT(OR(G26&amp;""="0",G26&amp;""="1",G26&amp;""="2",G26&amp;""="3")),"Invalid response",IF(AND(E26="Yes",VALUE(G26)&lt;=Scoring!$B$9),"Priority action",IF(VALUE(G26)&lt;Scoring!$B$6,"Improve","Maintain"))))))))</f>
        <v>Maintain</v>
      </c>
      <c r="N26" s="5" t="inlineStr">
        <is>
          <t>ALL</t>
        </is>
      </c>
      <c r="O26" s="5" t="inlineStr">
        <is>
          <t>Establish the rules behind your pay decisions</t>
        </is>
      </c>
    </row>
    <row r="27" ht="112" customHeight="1">
      <c r="A27" s="6" t="inlineStr">
        <is>
          <t>PAY02</t>
        </is>
      </c>
      <c r="B27" s="6" t="inlineStr">
        <is>
          <t>PAY</t>
        </is>
      </c>
      <c r="C27" s="6" t="inlineStr">
        <is>
          <t>How do you check that employees receive the pay and entitlements required for the work they actually perform?</t>
        </is>
      </c>
      <c r="D27" s="11">
        <f>'Questions'!F7</f>
        <v>3</v>
      </c>
      <c r="E27" s="11" t="str">
        <f>'Questions'!G7</f>
        <v>Yes</v>
      </c>
      <c r="F27" s="13" t="n">
        <v>1</v>
      </c>
      <c r="G27" s="13" t="n">
        <v>1</v>
      </c>
      <c r="H27" s="11">
        <f>IF(F27=1,D27,0)</f>
        <v>3</v>
      </c>
      <c r="I27" s="11">
        <f>IF(F27=1,IF(OR(G27&amp;""="0",G27&amp;""="1",G27&amp;""="2",G27&amp;""="3"),D27*VALUE(G27),0),0)</f>
        <v>3</v>
      </c>
      <c r="J27" s="11">
        <f>IF(AND(F27=1,G27="DK"),D27,0)</f>
        <v>0</v>
      </c>
      <c r="K27" s="11">
        <f>H27*Scoring!$B$6</f>
        <v>9</v>
      </c>
      <c r="L27" s="11">
        <f>IF(COUNTBLANK(F27)&gt;0,1,IF(F27=0,0,IF(COUNTBLANK(G27)&gt;0,1,IF(AND(F27=1,OR(G27="DK",OR(G27&amp;""="0",G27&amp;""="1",G27&amp;""="2",G27&amp;""="3"))),0,1))))</f>
        <v>0</v>
      </c>
      <c r="M27" s="7" t="str">
        <f>IF(COUNTBLANK(F27)&gt;0,"Invalid eligibility",IF(F27=0,"Excluded",IF(F27&lt;&gt;1,"Invalid eligibility",IF(COUNTBLANK(G27)&gt;0,"Incomplete",IF(G27="DK",IF(E27="Yes","Verify priority","Verify"),IF(NOT(OR(G27&amp;""="0",G27&amp;""="1",G27&amp;""="2",G27&amp;""="3")),"Invalid response",IF(AND(E27="Yes",VALUE(G27)&lt;=Scoring!$B$9),"Priority action",IF(VALUE(G27)&lt;Scoring!$B$6,"Improve","Maintain"))))))))</f>
        <v>Priority action</v>
      </c>
      <c r="N27" s="6" t="inlineStr">
        <is>
          <t>ALL</t>
        </is>
      </c>
      <c r="O27" s="6" t="inlineStr">
        <is>
          <t>Test the payroll result, not just the base rate</t>
        </is>
      </c>
    </row>
    <row r="28" ht="112" customHeight="1">
      <c r="A28" s="5" t="inlineStr">
        <is>
          <t>PAY03</t>
        </is>
      </c>
      <c r="B28" s="5" t="inlineStr">
        <is>
          <t>PAY</t>
        </is>
      </c>
      <c r="C28" s="5" t="inlineStr">
        <is>
          <t>How are leave entitlements and payments checked when employment patterns or circumstances change?</t>
        </is>
      </c>
      <c r="D28" s="9">
        <f>'Questions'!F8</f>
        <v>3</v>
      </c>
      <c r="E28" s="9" t="str">
        <f>'Questions'!G8</f>
        <v>No</v>
      </c>
      <c r="F28" s="13" t="n">
        <v>1</v>
      </c>
      <c r="G28" s="13" t="n">
        <v>3</v>
      </c>
      <c r="H28" s="9">
        <f>IF(F28=1,D28,0)</f>
        <v>3</v>
      </c>
      <c r="I28" s="9">
        <f>IF(F28=1,IF(OR(G28&amp;""="0",G28&amp;""="1",G28&amp;""="2",G28&amp;""="3"),D28*VALUE(G28),0),0)</f>
        <v>9</v>
      </c>
      <c r="J28" s="9">
        <f>IF(AND(F28=1,G28="DK"),D28,0)</f>
        <v>0</v>
      </c>
      <c r="K28" s="9">
        <f>H28*Scoring!$B$6</f>
        <v>9</v>
      </c>
      <c r="L28" s="9">
        <f>IF(COUNTBLANK(F28)&gt;0,1,IF(F28=0,0,IF(COUNTBLANK(G28)&gt;0,1,IF(AND(F28=1,OR(G28="DK",OR(G28&amp;""="0",G28&amp;""="1",G28&amp;""="2",G28&amp;""="3"))),0,1))))</f>
        <v>0</v>
      </c>
      <c r="M28" s="25" t="str">
        <f>IF(COUNTBLANK(F28)&gt;0,"Invalid eligibility",IF(F28=0,"Excluded",IF(F28&lt;&gt;1,"Invalid eligibility",IF(COUNTBLANK(G28)&gt;0,"Incomplete",IF(G28="DK",IF(E28="Yes","Verify priority","Verify"),IF(NOT(OR(G28&amp;""="0",G28&amp;""="1",G28&amp;""="2",G28&amp;""="3")),"Invalid response",IF(AND(E28="Yes",VALUE(G28)&lt;=Scoring!$B$9),"Priority action",IF(VALUE(G28)&lt;Scoring!$B$6,"Improve","Maintain"))))))))</f>
        <v>Maintain</v>
      </c>
      <c r="N28" s="5" t="inlineStr">
        <is>
          <t>ALL</t>
        </is>
      </c>
      <c r="O28" s="5" t="inlineStr">
        <is>
          <t>Check leave against the person and their circumstances</t>
        </is>
      </c>
    </row>
    <row r="29" ht="112" customHeight="1">
      <c r="A29" s="6" t="inlineStr">
        <is>
          <t>PAY04</t>
        </is>
      </c>
      <c r="B29" s="6" t="inlineStr">
        <is>
          <t>PAY</t>
        </is>
      </c>
      <c r="C29" s="6" t="inlineStr">
        <is>
          <t>How do you confirm that required superannuation contributions are calculated correctly and reach employees' funds on time?</t>
        </is>
      </c>
      <c r="D29" s="11">
        <f>'Questions'!F9</f>
        <v>3</v>
      </c>
      <c r="E29" s="11" t="str">
        <f>'Questions'!G9</f>
        <v>Yes</v>
      </c>
      <c r="F29" s="13" t="n">
        <v>1</v>
      </c>
      <c r="G29" s="13" t="inlineStr">
        <is>
          <t>DK</t>
        </is>
      </c>
      <c r="H29" s="11">
        <f>IF(F29=1,D29,0)</f>
        <v>3</v>
      </c>
      <c r="I29" s="11">
        <f>IF(F29=1,IF(OR(G29&amp;""="0",G29&amp;""="1",G29&amp;""="2",G29&amp;""="3"),D29*VALUE(G29),0),0)</f>
        <v>0</v>
      </c>
      <c r="J29" s="11">
        <f>IF(AND(F29=1,G29="DK"),D29,0)</f>
        <v>3</v>
      </c>
      <c r="K29" s="11">
        <f>H29*Scoring!$B$6</f>
        <v>9</v>
      </c>
      <c r="L29" s="11">
        <f>IF(COUNTBLANK(F29)&gt;0,1,IF(F29=0,0,IF(COUNTBLANK(G29)&gt;0,1,IF(AND(F29=1,OR(G29="DK",OR(G29&amp;""="0",G29&amp;""="1",G29&amp;""="2",G29&amp;""="3"))),0,1))))</f>
        <v>0</v>
      </c>
      <c r="M29" s="7" t="str">
        <f>IF(COUNTBLANK(F29)&gt;0,"Invalid eligibility",IF(F29=0,"Excluded",IF(F29&lt;&gt;1,"Invalid eligibility",IF(COUNTBLANK(G29)&gt;0,"Incomplete",IF(G29="DK",IF(E29="Yes","Verify priority","Verify"),IF(NOT(OR(G29&amp;""="0",G29&amp;""="1",G29&amp;""="2",G29&amp;""="3")),"Invalid response",IF(AND(E29="Yes",VALUE(G29)&lt;=Scoring!$B$9),"Priority action",IF(VALUE(G29)&lt;Scoring!$B$6,"Improve","Maintain"))))))))</f>
        <v>Verify priority</v>
      </c>
      <c r="N29" s="6" t="inlineStr">
        <is>
          <t>ALL</t>
        </is>
      </c>
      <c r="O29" s="6" t="inlineStr">
        <is>
          <t>Confirm super reaches the fund</t>
        </is>
      </c>
    </row>
    <row r="30" ht="112" customHeight="1">
      <c r="A30" s="5" t="inlineStr">
        <is>
          <t>PAY05</t>
        </is>
      </c>
      <c r="B30" s="5" t="inlineStr">
        <is>
          <t>PAY</t>
        </is>
      </c>
      <c r="C30" s="5" t="inlineStr">
        <is>
          <t>How do you check the timing and accuracy of employee payslips?</t>
        </is>
      </c>
      <c r="D30" s="9">
        <f>'Questions'!F10</f>
        <v>2</v>
      </c>
      <c r="E30" s="9" t="str">
        <f>'Questions'!G10</f>
        <v>No</v>
      </c>
      <c r="F30" s="13" t="n">
        <v>1</v>
      </c>
      <c r="G30" s="13" t="n">
        <v>3</v>
      </c>
      <c r="H30" s="9">
        <f>IF(F30=1,D30,0)</f>
        <v>2</v>
      </c>
      <c r="I30" s="9">
        <f>IF(F30=1,IF(OR(G30&amp;""="0",G30&amp;""="1",G30&amp;""="2",G30&amp;""="3"),D30*VALUE(G30),0),0)</f>
        <v>6</v>
      </c>
      <c r="J30" s="9">
        <f>IF(AND(F30=1,G30="DK"),D30,0)</f>
        <v>0</v>
      </c>
      <c r="K30" s="9">
        <f>H30*Scoring!$B$6</f>
        <v>6</v>
      </c>
      <c r="L30" s="9">
        <f>IF(COUNTBLANK(F30)&gt;0,1,IF(F30=0,0,IF(COUNTBLANK(G30)&gt;0,1,IF(AND(F30=1,OR(G30="DK",OR(G30&amp;""="0",G30&amp;""="1",G30&amp;""="2",G30&amp;""="3"))),0,1))))</f>
        <v>0</v>
      </c>
      <c r="M30" s="25" t="str">
        <f>IF(COUNTBLANK(F30)&gt;0,"Invalid eligibility",IF(F30=0,"Excluded",IF(F30&lt;&gt;1,"Invalid eligibility",IF(COUNTBLANK(G30)&gt;0,"Incomplete",IF(G30="DK",IF(E30="Yes","Verify priority","Verify"),IF(NOT(OR(G30&amp;""="0",G30&amp;""="1",G30&amp;""="2",G30&amp;""="3")),"Invalid response",IF(AND(E30="Yes",VALUE(G30)&lt;=Scoring!$B$9),"Priority action",IF(VALUE(G30)&lt;Scoring!$B$6,"Improve","Maintain"))))))))</f>
        <v>Maintain</v>
      </c>
      <c r="N30" s="5" t="inlineStr">
        <is>
          <t>ALL</t>
        </is>
      </c>
      <c r="O30" s="5" t="inlineStr">
        <is>
          <t>Check what employees actually receive</t>
        </is>
      </c>
    </row>
    <row r="31" ht="112" customHeight="1">
      <c r="A31" s="6" t="inlineStr">
        <is>
          <t>PAY06</t>
        </is>
      </c>
      <c r="B31" s="6" t="inlineStr">
        <is>
          <t>PAY</t>
        </is>
      </c>
      <c r="C31" s="6" t="inlineStr">
        <is>
          <t>Could your business process paid family and domestic violence leave without exposing the employee's circumstances?</t>
        </is>
      </c>
      <c r="D31" s="11">
        <f>'Questions'!F11</f>
        <v>3</v>
      </c>
      <c r="E31" s="11" t="str">
        <f>'Questions'!G11</f>
        <v>Yes</v>
      </c>
      <c r="F31" s="13" t="n">
        <v>1</v>
      </c>
      <c r="G31" s="13" t="n">
        <v>3</v>
      </c>
      <c r="H31" s="11">
        <f>IF(F31=1,D31,0)</f>
        <v>3</v>
      </c>
      <c r="I31" s="11">
        <f>IF(F31=1,IF(OR(G31&amp;""="0",G31&amp;""="1",G31&amp;""="2",G31&amp;""="3"),D31*VALUE(G31),0),0)</f>
        <v>9</v>
      </c>
      <c r="J31" s="11">
        <f>IF(AND(F31=1,G31="DK"),D31,0)</f>
        <v>0</v>
      </c>
      <c r="K31" s="11">
        <f>H31*Scoring!$B$6</f>
        <v>9</v>
      </c>
      <c r="L31" s="11">
        <f>IF(COUNTBLANK(F31)&gt;0,1,IF(F31=0,0,IF(COUNTBLANK(G31)&gt;0,1,IF(AND(F31=1,OR(G31="DK",OR(G31&amp;""="0",G31&amp;""="1",G31&amp;""="2",G31&amp;""="3"))),0,1))))</f>
        <v>0</v>
      </c>
      <c r="M31" s="7" t="str">
        <f>IF(COUNTBLANK(F31)&gt;0,"Invalid eligibility",IF(F31=0,"Excluded",IF(F31&lt;&gt;1,"Invalid eligibility",IF(COUNTBLANK(G31)&gt;0,"Incomplete",IF(G31="DK",IF(E31="Yes","Verify priority","Verify"),IF(NOT(OR(G31&amp;""="0",G31&amp;""="1",G31&amp;""="2",G31&amp;""="3")),"Invalid response",IF(AND(E31="Yes",VALUE(G31)&lt;=Scoring!$B$9),"Priority action",IF(VALUE(G31)&lt;Scoring!$B$6,"Improve","Maintain"))))))))</f>
        <v>Maintain</v>
      </c>
      <c r="N31" s="6" t="inlineStr">
        <is>
          <t>ALL</t>
        </is>
      </c>
      <c r="O31" s="6" t="inlineStr">
        <is>
          <t>Make sensitive leave safe to access</t>
        </is>
      </c>
    </row>
    <row r="32" ht="112" customHeight="1">
      <c r="A32" s="5" t="inlineStr">
        <is>
          <t>CON01</t>
        </is>
      </c>
      <c r="B32" s="5" t="inlineStr">
        <is>
          <t>CON</t>
        </is>
      </c>
      <c r="C32" s="5" t="inlineStr">
        <is>
          <t>How reliably do your written employment terms reflect each person's current arrangement?</t>
        </is>
      </c>
      <c r="D32" s="9">
        <f>'Questions'!F12</f>
        <v>2</v>
      </c>
      <c r="E32" s="9" t="str">
        <f>'Questions'!G12</f>
        <v>No</v>
      </c>
      <c r="F32" s="13" t="n">
        <v>1</v>
      </c>
      <c r="G32" s="13" t="n">
        <v>3</v>
      </c>
      <c r="H32" s="9">
        <f>IF(F32=1,D32,0)</f>
        <v>2</v>
      </c>
      <c r="I32" s="9">
        <f>IF(F32=1,IF(OR(G32&amp;""="0",G32&amp;""="1",G32&amp;""="2",G32&amp;""="3"),D32*VALUE(G32),0),0)</f>
        <v>6</v>
      </c>
      <c r="J32" s="9">
        <f>IF(AND(F32=1,G32="DK"),D32,0)</f>
        <v>0</v>
      </c>
      <c r="K32" s="9">
        <f>H32*Scoring!$B$6</f>
        <v>6</v>
      </c>
      <c r="L32" s="9">
        <f>IF(COUNTBLANK(F32)&gt;0,1,IF(F32=0,0,IF(COUNTBLANK(G32)&gt;0,1,IF(AND(F32=1,OR(G32="DK",OR(G32&amp;""="0",G32&amp;""="1",G32&amp;""="2",G32&amp;""="3"))),0,1))))</f>
        <v>0</v>
      </c>
      <c r="M32" s="25" t="str">
        <f>IF(COUNTBLANK(F32)&gt;0,"Invalid eligibility",IF(F32=0,"Excluded",IF(F32&lt;&gt;1,"Invalid eligibility",IF(COUNTBLANK(G32)&gt;0,"Incomplete",IF(G32="DK",IF(E32="Yes","Verify priority","Verify"),IF(NOT(OR(G32&amp;""="0",G32&amp;""="1",G32&amp;""="2",G32&amp;""="3")),"Invalid response",IF(AND(E32="Yes",VALUE(G32)&lt;=Scoring!$B$9),"Priority action",IF(VALUE(G32)&lt;Scoring!$B$6,"Improve","Maintain"))))))))</f>
        <v>Maintain</v>
      </c>
      <c r="N32" s="5" t="inlineStr">
        <is>
          <t>ALL</t>
        </is>
      </c>
      <c r="O32" s="5" t="inlineStr">
        <is>
          <t>Bring the written terms into line with the real job</t>
        </is>
      </c>
    </row>
    <row r="33" ht="112" customHeight="1">
      <c r="A33" s="6" t="inlineStr">
        <is>
          <t>CON02</t>
        </is>
      </c>
      <c r="B33" s="6" t="inlineStr">
        <is>
          <t>CON</t>
        </is>
      </c>
      <c r="C33" s="6" t="inlineStr">
        <is>
          <t>How do you check that each person's employment type reflects the arrangement in practice?</t>
        </is>
      </c>
      <c r="D33" s="11">
        <f>'Questions'!F13</f>
        <v>3</v>
      </c>
      <c r="E33" s="11" t="str">
        <f>'Questions'!G13</f>
        <v>No</v>
      </c>
      <c r="F33" s="13" t="n">
        <v>1</v>
      </c>
      <c r="G33" s="13" t="n">
        <v>3</v>
      </c>
      <c r="H33" s="11">
        <f>IF(F33=1,D33,0)</f>
        <v>3</v>
      </c>
      <c r="I33" s="11">
        <f>IF(F33=1,IF(OR(G33&amp;""="0",G33&amp;""="1",G33&amp;""="2",G33&amp;""="3"),D33*VALUE(G33),0),0)</f>
        <v>9</v>
      </c>
      <c r="J33" s="11">
        <f>IF(AND(F33=1,G33="DK"),D33,0)</f>
        <v>0</v>
      </c>
      <c r="K33" s="11">
        <f>H33*Scoring!$B$6</f>
        <v>9</v>
      </c>
      <c r="L33" s="11">
        <f>IF(COUNTBLANK(F33)&gt;0,1,IF(F33=0,0,IF(COUNTBLANK(G33)&gt;0,1,IF(AND(F33=1,OR(G33="DK",OR(G33&amp;""="0",G33&amp;""="1",G33&amp;""="2",G33&amp;""="3"))),0,1))))</f>
        <v>0</v>
      </c>
      <c r="M33" s="7" t="str">
        <f>IF(COUNTBLANK(F33)&gt;0,"Invalid eligibility",IF(F33=0,"Excluded",IF(F33&lt;&gt;1,"Invalid eligibility",IF(COUNTBLANK(G33)&gt;0,"Incomplete",IF(G33="DK",IF(E33="Yes","Verify priority","Verify"),IF(NOT(OR(G33&amp;""="0",G33&amp;""="1",G33&amp;""="2",G33&amp;""="3")),"Invalid response",IF(AND(E33="Yes",VALUE(G33)&lt;=Scoring!$B$9),"Priority action",IF(VALUE(G33)&lt;Scoring!$B$6,"Improve","Maintain"))))))))</f>
        <v>Maintain</v>
      </c>
      <c r="N33" s="6" t="inlineStr">
        <is>
          <t>ALL</t>
        </is>
      </c>
      <c r="O33" s="6" t="inlineStr">
        <is>
          <t>Review employment labels against actual arrangements</t>
        </is>
      </c>
    </row>
    <row r="34" ht="112" customHeight="1">
      <c r="A34" s="5" t="inlineStr">
        <is>
          <t>CON03</t>
        </is>
      </c>
      <c r="B34" s="5" t="inlineStr">
        <is>
          <t>CON</t>
        </is>
      </c>
      <c r="C34" s="5" t="inlineStr">
        <is>
          <t>How are changes to employment terms authorised, communicated and recorded?</t>
        </is>
      </c>
      <c r="D34" s="9">
        <f>'Questions'!F14</f>
        <v>2</v>
      </c>
      <c r="E34" s="9" t="str">
        <f>'Questions'!G14</f>
        <v>No</v>
      </c>
      <c r="F34" s="13" t="n">
        <v>1</v>
      </c>
      <c r="G34" s="13" t="n">
        <v>3</v>
      </c>
      <c r="H34" s="9">
        <f>IF(F34=1,D34,0)</f>
        <v>2</v>
      </c>
      <c r="I34" s="9">
        <f>IF(F34=1,IF(OR(G34&amp;""="0",G34&amp;""="1",G34&amp;""="2",G34&amp;""="3"),D34*VALUE(G34),0),0)</f>
        <v>6</v>
      </c>
      <c r="J34" s="9">
        <f>IF(AND(F34=1,G34="DK"),D34,0)</f>
        <v>0</v>
      </c>
      <c r="K34" s="9">
        <f>H34*Scoring!$B$6</f>
        <v>6</v>
      </c>
      <c r="L34" s="9">
        <f>IF(COUNTBLANK(F34)&gt;0,1,IF(F34=0,0,IF(COUNTBLANK(G34)&gt;0,1,IF(AND(F34=1,OR(G34="DK",OR(G34&amp;""="0",G34&amp;""="1",G34&amp;""="2",G34&amp;""="3"))),0,1))))</f>
        <v>0</v>
      </c>
      <c r="M34" s="25" t="str">
        <f>IF(COUNTBLANK(F34)&gt;0,"Invalid eligibility",IF(F34=0,"Excluded",IF(F34&lt;&gt;1,"Invalid eligibility",IF(COUNTBLANK(G34)&gt;0,"Incomplete",IF(G34="DK",IF(E34="Yes","Verify priority","Verify"),IF(NOT(OR(G34&amp;""="0",G34&amp;""="1",G34&amp;""="2",G34&amp;""="3")),"Invalid response",IF(AND(E34="Yes",VALUE(G34)&lt;=Scoring!$B$9),"Priority action",IF(VALUE(G34)&lt;Scoring!$B$6,"Improve","Maintain"))))))))</f>
        <v>Maintain</v>
      </c>
      <c r="N34" s="5" t="inlineStr">
        <is>
          <t>ALL</t>
        </is>
      </c>
      <c r="O34" s="5" t="inlineStr">
        <is>
          <t>Close the gap between agreement and implementation</t>
        </is>
      </c>
    </row>
    <row r="35" ht="112" customHeight="1">
      <c r="A35" s="6" t="inlineStr">
        <is>
          <t>REC01</t>
        </is>
      </c>
      <c r="B35" s="6" t="inlineStr">
        <is>
          <t>REC</t>
        </is>
      </c>
      <c r="C35" s="6" t="inlineStr">
        <is>
          <t>Before recruiting, how clearly do you define what the role needs to achieve?</t>
        </is>
      </c>
      <c r="D35" s="11">
        <f>'Questions'!F15</f>
        <v>2</v>
      </c>
      <c r="E35" s="11" t="str">
        <f>'Questions'!G15</f>
        <v>No</v>
      </c>
      <c r="F35" s="13" t="n">
        <v>1</v>
      </c>
      <c r="G35" s="13" t="n">
        <v>3</v>
      </c>
      <c r="H35" s="11">
        <f>IF(F35=1,D35,0)</f>
        <v>2</v>
      </c>
      <c r="I35" s="11">
        <f>IF(F35=1,IF(OR(G35&amp;""="0",G35&amp;""="1",G35&amp;""="2",G35&amp;""="3"),D35*VALUE(G35),0),0)</f>
        <v>6</v>
      </c>
      <c r="J35" s="11">
        <f>IF(AND(F35=1,G35="DK"),D35,0)</f>
        <v>0</v>
      </c>
      <c r="K35" s="11">
        <f>H35*Scoring!$B$6</f>
        <v>6</v>
      </c>
      <c r="L35" s="11">
        <f>IF(COUNTBLANK(F35)&gt;0,1,IF(F35=0,0,IF(COUNTBLANK(G35)&gt;0,1,IF(AND(F35=1,OR(G35="DK",OR(G35&amp;""="0",G35&amp;""="1",G35&amp;""="2",G35&amp;""="3"))),0,1))))</f>
        <v>0</v>
      </c>
      <c r="M35" s="7" t="str">
        <f>IF(COUNTBLANK(F35)&gt;0,"Invalid eligibility",IF(F35=0,"Excluded",IF(F35&lt;&gt;1,"Invalid eligibility",IF(COUNTBLANK(G35)&gt;0,"Incomplete",IF(G35="DK",IF(E35="Yes","Verify priority","Verify"),IF(NOT(OR(G35&amp;""="0",G35&amp;""="1",G35&amp;""="2",G35&amp;""="3")),"Invalid response",IF(AND(E35="Yes",VALUE(G35)&lt;=Scoring!$B$9),"Priority action",IF(VALUE(G35)&lt;Scoring!$B$6,"Improve","Maintain"))))))))</f>
        <v>Maintain</v>
      </c>
      <c r="N35" s="6" t="inlineStr">
        <is>
          <t>ALL</t>
        </is>
      </c>
      <c r="O35" s="6" t="inlineStr">
        <is>
          <t>Define the job before evaluating the person</t>
        </is>
      </c>
    </row>
    <row r="36" ht="112" customHeight="1">
      <c r="A36" s="5" t="inlineStr">
        <is>
          <t>REC02</t>
        </is>
      </c>
      <c r="B36" s="5" t="inlineStr">
        <is>
          <t>REC</t>
        </is>
      </c>
      <c r="C36" s="5" t="inlineStr">
        <is>
          <t>How do you make recruitment decisions fair, consistent and explainable?</t>
        </is>
      </c>
      <c r="D36" s="9">
        <f>'Questions'!F16</f>
        <v>2</v>
      </c>
      <c r="E36" s="9" t="str">
        <f>'Questions'!G16</f>
        <v>No</v>
      </c>
      <c r="F36" s="13" t="n">
        <v>1</v>
      </c>
      <c r="G36" s="13" t="n">
        <v>3</v>
      </c>
      <c r="H36" s="9">
        <f>IF(F36=1,D36,0)</f>
        <v>2</v>
      </c>
      <c r="I36" s="9">
        <f>IF(F36=1,IF(OR(G36&amp;""="0",G36&amp;""="1",G36&amp;""="2",G36&amp;""="3"),D36*VALUE(G36),0),0)</f>
        <v>6</v>
      </c>
      <c r="J36" s="9">
        <f>IF(AND(F36=1,G36="DK"),D36,0)</f>
        <v>0</v>
      </c>
      <c r="K36" s="9">
        <f>H36*Scoring!$B$6</f>
        <v>6</v>
      </c>
      <c r="L36" s="9">
        <f>IF(COUNTBLANK(F36)&gt;0,1,IF(F36=0,0,IF(COUNTBLANK(G36)&gt;0,1,IF(AND(F36=1,OR(G36="DK",OR(G36&amp;""="0",G36&amp;""="1",G36&amp;""="2",G36&amp;""="3"))),0,1))))</f>
        <v>0</v>
      </c>
      <c r="M36" s="25" t="str">
        <f>IF(COUNTBLANK(F36)&gt;0,"Invalid eligibility",IF(F36=0,"Excluded",IF(F36&lt;&gt;1,"Invalid eligibility",IF(COUNTBLANK(G36)&gt;0,"Incomplete",IF(G36="DK",IF(E36="Yes","Verify priority","Verify"),IF(NOT(OR(G36&amp;""="0",G36&amp;""="1",G36&amp;""="2",G36&amp;""="3")),"Invalid response",IF(AND(E36="Yes",VALUE(G36)&lt;=Scoring!$B$9),"Priority action",IF(VALUE(G36)&lt;Scoring!$B$6,"Improve","Maintain"))))))))</f>
        <v>Maintain</v>
      </c>
      <c r="N36" s="5" t="inlineStr">
        <is>
          <t>ALL</t>
        </is>
      </c>
      <c r="O36" s="5" t="inlineStr">
        <is>
          <t>Make the selection decision explainable</t>
        </is>
      </c>
    </row>
    <row r="37" ht="112" customHeight="1">
      <c r="A37" s="6" t="inlineStr">
        <is>
          <t>REC03</t>
        </is>
      </c>
      <c r="B37" s="6" t="inlineStr">
        <is>
          <t>REC</t>
        </is>
      </c>
      <c r="C37" s="6" t="inlineStr">
        <is>
          <t>How accurately does the recruitment experience describe the job someone is joining?</t>
        </is>
      </c>
      <c r="D37" s="11">
        <f>'Questions'!F17</f>
        <v>1</v>
      </c>
      <c r="E37" s="11" t="str">
        <f>'Questions'!G17</f>
        <v>No</v>
      </c>
      <c r="F37" s="13" t="n">
        <v>1</v>
      </c>
      <c r="G37" s="13" t="n">
        <v>3</v>
      </c>
      <c r="H37" s="11">
        <f>IF(F37=1,D37,0)</f>
        <v>1</v>
      </c>
      <c r="I37" s="11">
        <f>IF(F37=1,IF(OR(G37&amp;""="0",G37&amp;""="1",G37&amp;""="2",G37&amp;""="3"),D37*VALUE(G37),0),0)</f>
        <v>3</v>
      </c>
      <c r="J37" s="11">
        <f>IF(AND(F37=1,G37="DK"),D37,0)</f>
        <v>0</v>
      </c>
      <c r="K37" s="11">
        <f>H37*Scoring!$B$6</f>
        <v>3</v>
      </c>
      <c r="L37" s="11">
        <f>IF(COUNTBLANK(F37)&gt;0,1,IF(F37=0,0,IF(COUNTBLANK(G37)&gt;0,1,IF(AND(F37=1,OR(G37="DK",OR(G37&amp;""="0",G37&amp;""="1",G37&amp;""="2",G37&amp;""="3"))),0,1))))</f>
        <v>0</v>
      </c>
      <c r="M37" s="7" t="str">
        <f>IF(COUNTBLANK(F37)&gt;0,"Invalid eligibility",IF(F37=0,"Excluded",IF(F37&lt;&gt;1,"Invalid eligibility",IF(COUNTBLANK(G37)&gt;0,"Incomplete",IF(G37="DK",IF(E37="Yes","Verify priority","Verify"),IF(NOT(OR(G37&amp;""="0",G37&amp;""="1",G37&amp;""="2",G37&amp;""="3")),"Invalid response",IF(AND(E37="Yes",VALUE(G37)&lt;=Scoring!$B$9),"Priority action",IF(VALUE(G37)&lt;Scoring!$B$6,"Improve","Maintain"))))))))</f>
        <v>Maintain</v>
      </c>
      <c r="N37" s="6" t="inlineStr">
        <is>
          <t>ALL</t>
        </is>
      </c>
      <c r="O37" s="6" t="inlineStr">
        <is>
          <t>Reduce surprises between offer and first day</t>
        </is>
      </c>
    </row>
    <row r="38" ht="112" customHeight="1">
      <c r="A38" s="5" t="inlineStr">
        <is>
          <t>ONB01</t>
        </is>
      </c>
      <c r="B38" s="5" t="inlineStr">
        <is>
          <t>ONB</t>
        </is>
      </c>
      <c r="C38" s="5" t="inlineStr">
        <is>
          <t>How do you verify that each new employee has the right to perform the work in Australia?</t>
        </is>
      </c>
      <c r="D38" s="9">
        <f>'Questions'!F18</f>
        <v>3</v>
      </c>
      <c r="E38" s="9" t="str">
        <f>'Questions'!G18</f>
        <v>Yes</v>
      </c>
      <c r="F38" s="13" t="n">
        <v>1</v>
      </c>
      <c r="G38" s="13" t="n">
        <v>3</v>
      </c>
      <c r="H38" s="9">
        <f>IF(F38=1,D38,0)</f>
        <v>3</v>
      </c>
      <c r="I38" s="9">
        <f>IF(F38=1,IF(OR(G38&amp;""="0",G38&amp;""="1",G38&amp;""="2",G38&amp;""="3"),D38*VALUE(G38),0),0)</f>
        <v>9</v>
      </c>
      <c r="J38" s="9">
        <f>IF(AND(F38=1,G38="DK"),D38,0)</f>
        <v>0</v>
      </c>
      <c r="K38" s="9">
        <f>H38*Scoring!$B$6</f>
        <v>9</v>
      </c>
      <c r="L38" s="9">
        <f>IF(COUNTBLANK(F38)&gt;0,1,IF(F38=0,0,IF(COUNTBLANK(G38)&gt;0,1,IF(AND(F38=1,OR(G38="DK",OR(G38&amp;""="0",G38&amp;""="1",G38&amp;""="2",G38&amp;""="3"))),0,1))))</f>
        <v>0</v>
      </c>
      <c r="M38" s="25" t="str">
        <f>IF(COUNTBLANK(F38)&gt;0,"Invalid eligibility",IF(F38=0,"Excluded",IF(F38&lt;&gt;1,"Invalid eligibility",IF(COUNTBLANK(G38)&gt;0,"Incomplete",IF(G38="DK",IF(E38="Yes","Verify priority","Verify"),IF(NOT(OR(G38&amp;""="0",G38&amp;""="1",G38&amp;""="2",G38&amp;""="3")),"Invalid response",IF(AND(E38="Yes",VALUE(G38)&lt;=Scoring!$B$9),"Priority action",IF(VALUE(G38)&lt;Scoring!$B$6,"Improve","Maintain"))))))))</f>
        <v>Maintain</v>
      </c>
      <c r="N38" s="5" t="inlineStr">
        <is>
          <t>ALL</t>
        </is>
      </c>
      <c r="O38" s="5" t="inlineStr">
        <is>
          <t>Verify work rights without making assumptions</t>
        </is>
      </c>
    </row>
    <row r="39" ht="112" customHeight="1">
      <c r="A39" s="6" t="inlineStr">
        <is>
          <t>ONB02</t>
        </is>
      </c>
      <c r="B39" s="6" t="inlineStr">
        <is>
          <t>ONB</t>
        </is>
      </c>
      <c r="C39" s="6" t="inlineStr">
        <is>
          <t>How do you ensure new employees receive the required employment information statements?</t>
        </is>
      </c>
      <c r="D39" s="11">
        <f>'Questions'!F19</f>
        <v>2</v>
      </c>
      <c r="E39" s="11" t="str">
        <f>'Questions'!G19</f>
        <v>No</v>
      </c>
      <c r="F39" s="13" t="n">
        <v>1</v>
      </c>
      <c r="G39" s="13" t="n">
        <v>3</v>
      </c>
      <c r="H39" s="11">
        <f>IF(F39=1,D39,0)</f>
        <v>2</v>
      </c>
      <c r="I39" s="11">
        <f>IF(F39=1,IF(OR(G39&amp;""="0",G39&amp;""="1",G39&amp;""="2",G39&amp;""="3"),D39*VALUE(G39),0),0)</f>
        <v>6</v>
      </c>
      <c r="J39" s="11">
        <f>IF(AND(F39=1,G39="DK"),D39,0)</f>
        <v>0</v>
      </c>
      <c r="K39" s="11">
        <f>H39*Scoring!$B$6</f>
        <v>6</v>
      </c>
      <c r="L39" s="11">
        <f>IF(COUNTBLANK(F39)&gt;0,1,IF(F39=0,0,IF(COUNTBLANK(G39)&gt;0,1,IF(AND(F39=1,OR(G39="DK",OR(G39&amp;""="0",G39&amp;""="1",G39&amp;""="2",G39&amp;""="3"))),0,1))))</f>
        <v>0</v>
      </c>
      <c r="M39" s="7" t="str">
        <f>IF(COUNTBLANK(F39)&gt;0,"Invalid eligibility",IF(F39=0,"Excluded",IF(F39&lt;&gt;1,"Invalid eligibility",IF(COUNTBLANK(G39)&gt;0,"Incomplete",IF(G39="DK",IF(E39="Yes","Verify priority","Verify"),IF(NOT(OR(G39&amp;""="0",G39&amp;""="1",G39&amp;""="2",G39&amp;""="3")),"Invalid response",IF(AND(E39="Yes",VALUE(G39)&lt;=Scoring!$B$9),"Priority action",IF(VALUE(G39)&lt;Scoring!$B$6,"Improve","Maintain"))))))))</f>
        <v>Maintain</v>
      </c>
      <c r="N39" s="6" t="inlineStr">
        <is>
          <t>ALL</t>
        </is>
      </c>
      <c r="O39" s="6" t="inlineStr">
        <is>
          <t>Confirm statements are delivered, not merely stored</t>
        </is>
      </c>
    </row>
    <row r="40" ht="112" customHeight="1">
      <c r="A40" s="5" t="inlineStr">
        <is>
          <t>ONB03</t>
        </is>
      </c>
      <c r="B40" s="5" t="inlineStr">
        <is>
          <t>ONB</t>
        </is>
      </c>
      <c r="C40" s="5" t="inlineStr">
        <is>
          <t>How do you check that new starters understand how to do their work safely and successfully?</t>
        </is>
      </c>
      <c r="D40" s="9">
        <f>'Questions'!F20</f>
        <v>2</v>
      </c>
      <c r="E40" s="9" t="str">
        <f>'Questions'!G20</f>
        <v>No</v>
      </c>
      <c r="F40" s="13" t="n">
        <v>1</v>
      </c>
      <c r="G40" s="13" t="n">
        <v>3</v>
      </c>
      <c r="H40" s="9">
        <f>IF(F40=1,D40,0)</f>
        <v>2</v>
      </c>
      <c r="I40" s="9">
        <f>IF(F40=1,IF(OR(G40&amp;""="0",G40&amp;""="1",G40&amp;""="2",G40&amp;""="3"),D40*VALUE(G40),0),0)</f>
        <v>6</v>
      </c>
      <c r="J40" s="9">
        <f>IF(AND(F40=1,G40="DK"),D40,0)</f>
        <v>0</v>
      </c>
      <c r="K40" s="9">
        <f>H40*Scoring!$B$6</f>
        <v>6</v>
      </c>
      <c r="L40" s="9">
        <f>IF(COUNTBLANK(F40)&gt;0,1,IF(F40=0,0,IF(COUNTBLANK(G40)&gt;0,1,IF(AND(F40=1,OR(G40="DK",OR(G40&amp;""="0",G40&amp;""="1",G40&amp;""="2",G40&amp;""="3"))),0,1))))</f>
        <v>0</v>
      </c>
      <c r="M40" s="25" t="str">
        <f>IF(COUNTBLANK(F40)&gt;0,"Invalid eligibility",IF(F40=0,"Excluded",IF(F40&lt;&gt;1,"Invalid eligibility",IF(COUNTBLANK(G40)&gt;0,"Incomplete",IF(G40="DK",IF(E40="Yes","Verify priority","Verify"),IF(NOT(OR(G40&amp;""="0",G40&amp;""="1",G40&amp;""="2",G40&amp;""="3")),"Invalid response",IF(AND(E40="Yes",VALUE(G40)&lt;=Scoring!$B$9),"Priority action",IF(VALUE(G40)&lt;Scoring!$B$6,"Improve","Maintain"))))))))</f>
        <v>Maintain</v>
      </c>
      <c r="N40" s="5" t="inlineStr">
        <is>
          <t>ALL</t>
        </is>
      </c>
      <c r="O40" s="5" t="inlineStr">
        <is>
          <t>Turn induction into a supported start</t>
        </is>
      </c>
    </row>
    <row r="41" ht="112" customHeight="1">
      <c r="A41" s="6" t="inlineStr">
        <is>
          <t>POL01</t>
        </is>
      </c>
      <c r="B41" s="6" t="inlineStr">
        <is>
          <t>POL</t>
        </is>
      </c>
      <c r="C41" s="6" t="inlineStr">
        <is>
          <t>How do you decide which people policies your business needs and keep them usable?</t>
        </is>
      </c>
      <c r="D41" s="11">
        <f>'Questions'!F21</f>
        <v>2</v>
      </c>
      <c r="E41" s="11" t="str">
        <f>'Questions'!G21</f>
        <v>No</v>
      </c>
      <c r="F41" s="13" t="n">
        <v>1</v>
      </c>
      <c r="G41" s="13" t="n">
        <v>3</v>
      </c>
      <c r="H41" s="11">
        <f>IF(F41=1,D41,0)</f>
        <v>2</v>
      </c>
      <c r="I41" s="11">
        <f>IF(F41=1,IF(OR(G41&amp;""="0",G41&amp;""="1",G41&amp;""="2",G41&amp;""="3"),D41*VALUE(G41),0),0)</f>
        <v>6</v>
      </c>
      <c r="J41" s="11">
        <f>IF(AND(F41=1,G41="DK"),D41,0)</f>
        <v>0</v>
      </c>
      <c r="K41" s="11">
        <f>H41*Scoring!$B$6</f>
        <v>6</v>
      </c>
      <c r="L41" s="11">
        <f>IF(COUNTBLANK(F41)&gt;0,1,IF(F41=0,0,IF(COUNTBLANK(G41)&gt;0,1,IF(AND(F41=1,OR(G41="DK",OR(G41&amp;""="0",G41&amp;""="1",G41&amp;""="2",G41&amp;""="3"))),0,1))))</f>
        <v>0</v>
      </c>
      <c r="M41" s="7" t="str">
        <f>IF(COUNTBLANK(F41)&gt;0,"Invalid eligibility",IF(F41=0,"Excluded",IF(F41&lt;&gt;1,"Invalid eligibility",IF(COUNTBLANK(G41)&gt;0,"Incomplete",IF(G41="DK",IF(E41="Yes","Verify priority","Verify"),IF(NOT(OR(G41&amp;""="0",G41&amp;""="1",G41&amp;""="2",G41&amp;""="3")),"Invalid response",IF(AND(E41="Yes",VALUE(G41)&lt;=Scoring!$B$9),"Priority action",IF(VALUE(G41)&lt;Scoring!$B$6,"Improve","Maintain"))))))))</f>
        <v>Maintain</v>
      </c>
      <c r="N41" s="6" t="inlineStr">
        <is>
          <t>ALL</t>
        </is>
      </c>
      <c r="O41" s="6" t="inlineStr">
        <is>
          <t>Keep the policies that help people make the right decision</t>
        </is>
      </c>
    </row>
    <row r="42" ht="112" customHeight="1">
      <c r="A42" s="5" t="inlineStr">
        <is>
          <t>POL02</t>
        </is>
      </c>
      <c r="B42" s="5" t="inlineStr">
        <is>
          <t>POL</t>
        </is>
      </c>
      <c r="C42" s="5" t="inlineStr">
        <is>
          <t>How do you know workplace policies are understood and applied consistently?</t>
        </is>
      </c>
      <c r="D42" s="9">
        <f>'Questions'!F22</f>
        <v>2</v>
      </c>
      <c r="E42" s="9" t="str">
        <f>'Questions'!G22</f>
        <v>No</v>
      </c>
      <c r="F42" s="13" t="n">
        <v>1</v>
      </c>
      <c r="G42" s="13" t="n">
        <v>3</v>
      </c>
      <c r="H42" s="9">
        <f>IF(F42=1,D42,0)</f>
        <v>2</v>
      </c>
      <c r="I42" s="9">
        <f>IF(F42=1,IF(OR(G42&amp;""="0",G42&amp;""="1",G42&amp;""="2",G42&amp;""="3"),D42*VALUE(G42),0),0)</f>
        <v>6</v>
      </c>
      <c r="J42" s="9">
        <f>IF(AND(F42=1,G42="DK"),D42,0)</f>
        <v>0</v>
      </c>
      <c r="K42" s="9">
        <f>H42*Scoring!$B$6</f>
        <v>6</v>
      </c>
      <c r="L42" s="9">
        <f>IF(COUNTBLANK(F42)&gt;0,1,IF(F42=0,0,IF(COUNTBLANK(G42)&gt;0,1,IF(AND(F42=1,OR(G42="DK",OR(G42&amp;""="0",G42&amp;""="1",G42&amp;""="2",G42&amp;""="3"))),0,1))))</f>
        <v>0</v>
      </c>
      <c r="M42" s="25" t="str">
        <f>IF(COUNTBLANK(F42)&gt;0,"Invalid eligibility",IF(F42=0,"Excluded",IF(F42&lt;&gt;1,"Invalid eligibility",IF(COUNTBLANK(G42)&gt;0,"Incomplete",IF(G42="DK",IF(E42="Yes","Verify priority","Verify"),IF(NOT(OR(G42&amp;""="0",G42&amp;""="1",G42&amp;""="2",G42&amp;""="3")),"Invalid response",IF(AND(E42="Yes",VALUE(G42)&lt;=Scoring!$B$9),"Priority action",IF(VALUE(G42)&lt;Scoring!$B$6,"Improve","Maintain"))))))))</f>
        <v>Maintain</v>
      </c>
      <c r="N42" s="5" t="inlineStr">
        <is>
          <t>ALL</t>
        </is>
      </c>
      <c r="O42" s="5" t="inlineStr">
        <is>
          <t>Check the distance between the policy and daily practice</t>
        </is>
      </c>
    </row>
    <row r="43" ht="112" customHeight="1">
      <c r="A43" s="6" t="inlineStr">
        <is>
          <t>POL03</t>
        </is>
      </c>
      <c r="B43" s="6" t="inlineStr">
        <is>
          <t>POL</t>
        </is>
      </c>
      <c r="C43" s="6" t="inlineStr">
        <is>
          <t>How would an eligible request for flexible working arrangements be considered and answered?</t>
        </is>
      </c>
      <c r="D43" s="11">
        <f>'Questions'!F23</f>
        <v>2</v>
      </c>
      <c r="E43" s="11" t="str">
        <f>'Questions'!G23</f>
        <v>No</v>
      </c>
      <c r="F43" s="13" t="n">
        <v>1</v>
      </c>
      <c r="G43" s="13" t="n">
        <v>3</v>
      </c>
      <c r="H43" s="11">
        <f>IF(F43=1,D43,0)</f>
        <v>2</v>
      </c>
      <c r="I43" s="11">
        <f>IF(F43=1,IF(OR(G43&amp;""="0",G43&amp;""="1",G43&amp;""="2",G43&amp;""="3"),D43*VALUE(G43),0),0)</f>
        <v>6</v>
      </c>
      <c r="J43" s="11">
        <f>IF(AND(F43=1,G43="DK"),D43,0)</f>
        <v>0</v>
      </c>
      <c r="K43" s="11">
        <f>H43*Scoring!$B$6</f>
        <v>6</v>
      </c>
      <c r="L43" s="11">
        <f>IF(COUNTBLANK(F43)&gt;0,1,IF(F43=0,0,IF(COUNTBLANK(G43)&gt;0,1,IF(AND(F43=1,OR(G43="DK",OR(G43&amp;""="0",G43&amp;""="1",G43&amp;""="2",G43&amp;""="3"))),0,1))))</f>
        <v>0</v>
      </c>
      <c r="M43" s="7" t="str">
        <f>IF(COUNTBLANK(F43)&gt;0,"Invalid eligibility",IF(F43=0,"Excluded",IF(F43&lt;&gt;1,"Invalid eligibility",IF(COUNTBLANK(G43)&gt;0,"Incomplete",IF(G43="DK",IF(E43="Yes","Verify priority","Verify"),IF(NOT(OR(G43&amp;""="0",G43&amp;""="1",G43&amp;""="2",G43&amp;""="3")),"Invalid response",IF(AND(E43="Yes",VALUE(G43)&lt;=Scoring!$B$9),"Priority action",IF(VALUE(G43)&lt;Scoring!$B$6,"Improve","Maintain"))))))))</f>
        <v>Maintain</v>
      </c>
      <c r="N43" s="6" t="inlineStr">
        <is>
          <t>ALL</t>
        </is>
      </c>
      <c r="O43" s="6" t="inlineStr">
        <is>
          <t>Assess flexibility requests individually</t>
        </is>
      </c>
    </row>
    <row r="44" ht="112" customHeight="1">
      <c r="A44" s="5" t="inlineStr">
        <is>
          <t>WHS01</t>
        </is>
      </c>
      <c r="B44" s="5" t="inlineStr">
        <is>
          <t>WHS</t>
        </is>
      </c>
      <c r="C44" s="5" t="inlineStr">
        <is>
          <t>How does your business identify and control the physical hazards in the work people actually do?</t>
        </is>
      </c>
      <c r="D44" s="9">
        <f>'Questions'!F24</f>
        <v>3</v>
      </c>
      <c r="E44" s="9" t="str">
        <f>'Questions'!G24</f>
        <v>Yes</v>
      </c>
      <c r="F44" s="13" t="n">
        <v>1</v>
      </c>
      <c r="G44" s="13" t="n">
        <v>3</v>
      </c>
      <c r="H44" s="9">
        <f>IF(F44=1,D44,0)</f>
        <v>3</v>
      </c>
      <c r="I44" s="9">
        <f>IF(F44=1,IF(OR(G44&amp;""="0",G44&amp;""="1",G44&amp;""="2",G44&amp;""="3"),D44*VALUE(G44),0),0)</f>
        <v>9</v>
      </c>
      <c r="J44" s="9">
        <f>IF(AND(F44=1,G44="DK"),D44,0)</f>
        <v>0</v>
      </c>
      <c r="K44" s="9">
        <f>H44*Scoring!$B$6</f>
        <v>9</v>
      </c>
      <c r="L44" s="9">
        <f>IF(COUNTBLANK(F44)&gt;0,1,IF(F44=0,0,IF(COUNTBLANK(G44)&gt;0,1,IF(AND(F44=1,OR(G44="DK",OR(G44&amp;""="0",G44&amp;""="1",G44&amp;""="2",G44&amp;""="3"))),0,1))))</f>
        <v>0</v>
      </c>
      <c r="M44" s="25" t="str">
        <f>IF(COUNTBLANK(F44)&gt;0,"Invalid eligibility",IF(F44=0,"Excluded",IF(F44&lt;&gt;1,"Invalid eligibility",IF(COUNTBLANK(G44)&gt;0,"Incomplete",IF(G44="DK",IF(E44="Yes","Verify priority","Verify"),IF(NOT(OR(G44&amp;""="0",G44&amp;""="1",G44&amp;""="2",G44&amp;""="3")),"Invalid response",IF(AND(E44="Yes",VALUE(G44)&lt;=Scoring!$B$9),"Priority action",IF(VALUE(G44)&lt;Scoring!$B$6,"Improve","Maintain"))))))))</f>
        <v>Maintain</v>
      </c>
      <c r="N44" s="5" t="inlineStr">
        <is>
          <t>ALL</t>
        </is>
      </c>
      <c r="O44" s="5" t="inlineStr">
        <is>
          <t>Check the work, not only the safety documents</t>
        </is>
      </c>
    </row>
    <row r="45" ht="112" customHeight="1">
      <c r="A45" s="6" t="inlineStr">
        <is>
          <t>WHS02</t>
        </is>
      </c>
      <c r="B45" s="6" t="inlineStr">
        <is>
          <t>WHS</t>
        </is>
      </c>
      <c r="C45" s="6" t="inlineStr">
        <is>
          <t>How have you tested your business's readiness for a workplace emergency?</t>
        </is>
      </c>
      <c r="D45" s="11">
        <f>'Questions'!F25</f>
        <v>3</v>
      </c>
      <c r="E45" s="11" t="str">
        <f>'Questions'!G25</f>
        <v>Yes</v>
      </c>
      <c r="F45" s="13" t="n">
        <v>1</v>
      </c>
      <c r="G45" s="13" t="n">
        <v>3</v>
      </c>
      <c r="H45" s="11">
        <f>IF(F45=1,D45,0)</f>
        <v>3</v>
      </c>
      <c r="I45" s="11">
        <f>IF(F45=1,IF(OR(G45&amp;""="0",G45&amp;""="1",G45&amp;""="2",G45&amp;""="3"),D45*VALUE(G45),0),0)</f>
        <v>9</v>
      </c>
      <c r="J45" s="11">
        <f>IF(AND(F45=1,G45="DK"),D45,0)</f>
        <v>0</v>
      </c>
      <c r="K45" s="11">
        <f>H45*Scoring!$B$6</f>
        <v>9</v>
      </c>
      <c r="L45" s="11">
        <f>IF(COUNTBLANK(F45)&gt;0,1,IF(F45=0,0,IF(COUNTBLANK(G45)&gt;0,1,IF(AND(F45=1,OR(G45="DK",OR(G45&amp;""="0",G45&amp;""="1",G45&amp;""="2",G45&amp;""="3"))),0,1))))</f>
        <v>0</v>
      </c>
      <c r="M45" s="7" t="str">
        <f>IF(COUNTBLANK(F45)&gt;0,"Invalid eligibility",IF(F45=0,"Excluded",IF(F45&lt;&gt;1,"Invalid eligibility",IF(COUNTBLANK(G45)&gt;0,"Incomplete",IF(G45="DK",IF(E45="Yes","Verify priority","Verify"),IF(NOT(OR(G45&amp;""="0",G45&amp;""="1",G45&amp;""="2",G45&amp;""="3")),"Invalid response",IF(AND(E45="Yes",VALUE(G45)&lt;=Scoring!$B$9),"Priority action",IF(VALUE(G45)&lt;Scoring!$B$6,"Improve","Maintain"))))))))</f>
        <v>Maintain</v>
      </c>
      <c r="N45" s="6" t="inlineStr">
        <is>
          <t>ALL</t>
        </is>
      </c>
      <c r="O45" s="6" t="inlineStr">
        <is>
          <t>Test whether the emergency arrangements work</t>
        </is>
      </c>
    </row>
    <row r="46" ht="112" customHeight="1">
      <c r="A46" s="5" t="inlineStr">
        <is>
          <t>WHS03</t>
        </is>
      </c>
      <c r="B46" s="5" t="inlineStr">
        <is>
          <t>WHS</t>
        </is>
      </c>
      <c r="C46" s="5" t="inlineStr">
        <is>
          <t>How do you confirm that your workers' compensation arrangements cover the people and work that require cover?</t>
        </is>
      </c>
      <c r="D46" s="9">
        <f>'Questions'!F26</f>
        <v>3</v>
      </c>
      <c r="E46" s="9" t="str">
        <f>'Questions'!G26</f>
        <v>Yes</v>
      </c>
      <c r="F46" s="13" t="n">
        <v>1</v>
      </c>
      <c r="G46" s="13" t="n">
        <v>3</v>
      </c>
      <c r="H46" s="9">
        <f>IF(F46=1,D46,0)</f>
        <v>3</v>
      </c>
      <c r="I46" s="9">
        <f>IF(F46=1,IF(OR(G46&amp;""="0",G46&amp;""="1",G46&amp;""="2",G46&amp;""="3"),D46*VALUE(G46),0),0)</f>
        <v>9</v>
      </c>
      <c r="J46" s="9">
        <f>IF(AND(F46=1,G46="DK"),D46,0)</f>
        <v>0</v>
      </c>
      <c r="K46" s="9">
        <f>H46*Scoring!$B$6</f>
        <v>9</v>
      </c>
      <c r="L46" s="9">
        <f>IF(COUNTBLANK(F46)&gt;0,1,IF(F46=0,0,IF(COUNTBLANK(G46)&gt;0,1,IF(AND(F46=1,OR(G46="DK",OR(G46&amp;""="0",G46&amp;""="1",G46&amp;""="2",G46&amp;""="3"))),0,1))))</f>
        <v>0</v>
      </c>
      <c r="M46" s="25" t="str">
        <f>IF(COUNTBLANK(F46)&gt;0,"Invalid eligibility",IF(F46=0,"Excluded",IF(F46&lt;&gt;1,"Invalid eligibility",IF(COUNTBLANK(G46)&gt;0,"Incomplete",IF(G46="DK",IF(E46="Yes","Verify priority","Verify"),IF(NOT(OR(G46&amp;""="0",G46&amp;""="1",G46&amp;""="2",G46&amp;""="3")),"Invalid response",IF(AND(E46="Yes",VALUE(G46)&lt;=Scoring!$B$9),"Priority action",IF(VALUE(G46)&lt;Scoring!$B$6,"Improve","Maintain"))))))))</f>
        <v>Maintain</v>
      </c>
      <c r="N46" s="5" t="inlineStr">
        <is>
          <t>ALL</t>
        </is>
      </c>
      <c r="O46" s="5" t="inlineStr">
        <is>
          <t>Verify the scope of workers' compensation cover</t>
        </is>
      </c>
    </row>
    <row r="47" ht="112" customHeight="1">
      <c r="A47" s="6" t="inlineStr">
        <is>
          <t>WHS04</t>
        </is>
      </c>
      <c r="B47" s="6" t="inlineStr">
        <is>
          <t>WHS</t>
        </is>
      </c>
      <c r="C47" s="6" t="inlineStr">
        <is>
          <t>How would a work-related injury or incident move from initial response to appropriate follow-up?</t>
        </is>
      </c>
      <c r="D47" s="11">
        <f>'Questions'!F27</f>
        <v>2</v>
      </c>
      <c r="E47" s="11" t="str">
        <f>'Questions'!G27</f>
        <v>No</v>
      </c>
      <c r="F47" s="13" t="n">
        <v>1</v>
      </c>
      <c r="G47" s="13" t="n">
        <v>3</v>
      </c>
      <c r="H47" s="11">
        <f>IF(F47=1,D47,0)</f>
        <v>2</v>
      </c>
      <c r="I47" s="11">
        <f>IF(F47=1,IF(OR(G47&amp;""="0",G47&amp;""="1",G47&amp;""="2",G47&amp;""="3"),D47*VALUE(G47),0),0)</f>
        <v>6</v>
      </c>
      <c r="J47" s="11">
        <f>IF(AND(F47=1,G47="DK"),D47,0)</f>
        <v>0</v>
      </c>
      <c r="K47" s="11">
        <f>H47*Scoring!$B$6</f>
        <v>6</v>
      </c>
      <c r="L47" s="11">
        <f>IF(COUNTBLANK(F47)&gt;0,1,IF(F47=0,0,IF(COUNTBLANK(G47)&gt;0,1,IF(AND(F47=1,OR(G47="DK",OR(G47&amp;""="0",G47&amp;""="1",G47&amp;""="2",G47&amp;""="3"))),0,1))))</f>
        <v>0</v>
      </c>
      <c r="M47" s="7" t="str">
        <f>IF(COUNTBLANK(F47)&gt;0,"Invalid eligibility",IF(F47=0,"Excluded",IF(F47&lt;&gt;1,"Invalid eligibility",IF(COUNTBLANK(G47)&gt;0,"Incomplete",IF(G47="DK",IF(E47="Yes","Verify priority","Verify"),IF(NOT(OR(G47&amp;""="0",G47&amp;""="1",G47&amp;""="2",G47&amp;""="3")),"Invalid response",IF(AND(E47="Yes",VALUE(G47)&lt;=Scoring!$B$9),"Priority action",IF(VALUE(G47)&lt;Scoring!$B$6,"Improve","Maintain"))))))))</f>
        <v>Maintain</v>
      </c>
      <c r="N47" s="6" t="inlineStr">
        <is>
          <t>ALL</t>
        </is>
      </c>
      <c r="O47" s="6" t="inlineStr">
        <is>
          <t>Clarify the handovers after an injury</t>
        </is>
      </c>
    </row>
    <row r="48" ht="112" customHeight="1">
      <c r="A48" s="5" t="inlineStr">
        <is>
          <t>PER01</t>
        </is>
      </c>
      <c r="B48" s="5" t="inlineStr">
        <is>
          <t>PER</t>
        </is>
      </c>
      <c r="C48" s="5" t="inlineStr">
        <is>
          <t>How consistently do employees receive clear expectations and useful feedback on their work?</t>
        </is>
      </c>
      <c r="D48" s="9">
        <f>'Questions'!F28</f>
        <v>2</v>
      </c>
      <c r="E48" s="9" t="str">
        <f>'Questions'!G28</f>
        <v>No</v>
      </c>
      <c r="F48" s="13" t="n">
        <v>1</v>
      </c>
      <c r="G48" s="13" t="n">
        <v>3</v>
      </c>
      <c r="H48" s="9">
        <f>IF(F48=1,D48,0)</f>
        <v>2</v>
      </c>
      <c r="I48" s="9">
        <f>IF(F48=1,IF(OR(G48&amp;""="0",G48&amp;""="1",G48&amp;""="2",G48&amp;""="3"),D48*VALUE(G48),0),0)</f>
        <v>6</v>
      </c>
      <c r="J48" s="9">
        <f>IF(AND(F48=1,G48="DK"),D48,0)</f>
        <v>0</v>
      </c>
      <c r="K48" s="9">
        <f>H48*Scoring!$B$6</f>
        <v>6</v>
      </c>
      <c r="L48" s="9">
        <f>IF(COUNTBLANK(F48)&gt;0,1,IF(F48=0,0,IF(COUNTBLANK(G48)&gt;0,1,IF(AND(F48=1,OR(G48="DK",OR(G48&amp;""="0",G48&amp;""="1",G48&amp;""="2",G48&amp;""="3"))),0,1))))</f>
        <v>0</v>
      </c>
      <c r="M48" s="25" t="str">
        <f>IF(COUNTBLANK(F48)&gt;0,"Invalid eligibility",IF(F48=0,"Excluded",IF(F48&lt;&gt;1,"Invalid eligibility",IF(COUNTBLANK(G48)&gt;0,"Incomplete",IF(G48="DK",IF(E48="Yes","Verify priority","Verify"),IF(NOT(OR(G48&amp;""="0",G48&amp;""="1",G48&amp;""="2",G48&amp;""="3")),"Invalid response",IF(AND(E48="Yes",VALUE(G48)&lt;=Scoring!$B$9),"Priority action",IF(VALUE(G48)&lt;Scoring!$B$6,"Improve","Maintain"))))))))</f>
        <v>Maintain</v>
      </c>
      <c r="N48" s="5" t="inlineStr">
        <is>
          <t>ALL</t>
        </is>
      </c>
      <c r="O48" s="5" t="inlineStr">
        <is>
          <t>Make expectations and follow-up visible</t>
        </is>
      </c>
    </row>
    <row r="49" ht="112" customHeight="1">
      <c r="A49" s="6" t="inlineStr">
        <is>
          <t>PER02</t>
        </is>
      </c>
      <c r="B49" s="6" t="inlineStr">
        <is>
          <t>PER</t>
        </is>
      </c>
      <c r="C49" s="6" t="inlineStr">
        <is>
          <t>How do you review a new employee's progress before important employment decisions are due?</t>
        </is>
      </c>
      <c r="D49" s="11">
        <f>'Questions'!F29</f>
        <v>2</v>
      </c>
      <c r="E49" s="11" t="str">
        <f>'Questions'!G29</f>
        <v>No</v>
      </c>
      <c r="F49" s="13" t="n">
        <v>1</v>
      </c>
      <c r="G49" s="13" t="n">
        <v>3</v>
      </c>
      <c r="H49" s="11">
        <f>IF(F49=1,D49,0)</f>
        <v>2</v>
      </c>
      <c r="I49" s="11">
        <f>IF(F49=1,IF(OR(G49&amp;""="0",G49&amp;""="1",G49&amp;""="2",G49&amp;""="3"),D49*VALUE(G49),0),0)</f>
        <v>6</v>
      </c>
      <c r="J49" s="11">
        <f>IF(AND(F49=1,G49="DK"),D49,0)</f>
        <v>0</v>
      </c>
      <c r="K49" s="11">
        <f>H49*Scoring!$B$6</f>
        <v>6</v>
      </c>
      <c r="L49" s="11">
        <f>IF(COUNTBLANK(F49)&gt;0,1,IF(F49=0,0,IF(COUNTBLANK(G49)&gt;0,1,IF(AND(F49=1,OR(G49="DK",OR(G49&amp;""="0",G49&amp;""="1",G49&amp;""="2",G49&amp;""="3"))),0,1))))</f>
        <v>0</v>
      </c>
      <c r="M49" s="7" t="str">
        <f>IF(COUNTBLANK(F49)&gt;0,"Invalid eligibility",IF(F49=0,"Excluded",IF(F49&lt;&gt;1,"Invalid eligibility",IF(COUNTBLANK(G49)&gt;0,"Incomplete",IF(G49="DK",IF(E49="Yes","Verify priority","Verify"),IF(NOT(OR(G49&amp;""="0",G49&amp;""="1",G49&amp;""="2",G49&amp;""="3")),"Invalid response",IF(AND(E49="Yes",VALUE(G49)&lt;=Scoring!$B$9),"Priority action",IF(VALUE(G49)&lt;Scoring!$B$6,"Improve","Maintain"))))))))</f>
        <v>Maintain</v>
      </c>
      <c r="N49" s="6" t="inlineStr">
        <is>
          <t>ALL</t>
        </is>
      </c>
      <c r="O49" s="6" t="inlineStr">
        <is>
          <t>Make probation a supported review, not a deadline scramble</t>
        </is>
      </c>
    </row>
    <row r="50" ht="112" customHeight="1">
      <c r="A50" s="5" t="inlineStr">
        <is>
          <t>PER03</t>
        </is>
      </c>
      <c r="B50" s="5" t="inlineStr">
        <is>
          <t>PER</t>
        </is>
      </c>
      <c r="C50" s="5" t="inlineStr">
        <is>
          <t>How do managers address a sustained gap between expected and actual performance?</t>
        </is>
      </c>
      <c r="D50" s="9">
        <f>'Questions'!F30</f>
        <v>3</v>
      </c>
      <c r="E50" s="9" t="str">
        <f>'Questions'!G30</f>
        <v>No</v>
      </c>
      <c r="F50" s="13" t="n">
        <v>1</v>
      </c>
      <c r="G50" s="13" t="n">
        <v>3</v>
      </c>
      <c r="H50" s="9">
        <f>IF(F50=1,D50,0)</f>
        <v>3</v>
      </c>
      <c r="I50" s="9">
        <f>IF(F50=1,IF(OR(G50&amp;""="0",G50&amp;""="1",G50&amp;""="2",G50&amp;""="3"),D50*VALUE(G50),0),0)</f>
        <v>9</v>
      </c>
      <c r="J50" s="9">
        <f>IF(AND(F50=1,G50="DK"),D50,0)</f>
        <v>0</v>
      </c>
      <c r="K50" s="9">
        <f>H50*Scoring!$B$6</f>
        <v>9</v>
      </c>
      <c r="L50" s="9">
        <f>IF(COUNTBLANK(F50)&gt;0,1,IF(F50=0,0,IF(COUNTBLANK(G50)&gt;0,1,IF(AND(F50=1,OR(G50="DK",OR(G50&amp;""="0",G50&amp;""="1",G50&amp;""="2",G50&amp;""="3"))),0,1))))</f>
        <v>0</v>
      </c>
      <c r="M50" s="25" t="str">
        <f>IF(COUNTBLANK(F50)&gt;0,"Invalid eligibility",IF(F50=0,"Excluded",IF(F50&lt;&gt;1,"Invalid eligibility",IF(COUNTBLANK(G50)&gt;0,"Incomplete",IF(G50="DK",IF(E50="Yes","Verify priority","Verify"),IF(NOT(OR(G50&amp;""="0",G50&amp;""="1",G50&amp;""="2",G50&amp;""="3")),"Invalid response",IF(AND(E50="Yes",VALUE(G50)&lt;=Scoring!$B$9),"Priority action",IF(VALUE(G50)&lt;Scoring!$B$6,"Improve","Maintain"))))))))</f>
        <v>Maintain</v>
      </c>
      <c r="N50" s="5" t="inlineStr">
        <is>
          <t>ALL</t>
        </is>
      </c>
      <c r="O50" s="5" t="inlineStr">
        <is>
          <t>Make improvement expectations specific and fair</t>
        </is>
      </c>
    </row>
    <row r="51" ht="112" customHeight="1">
      <c r="A51" s="6" t="inlineStr">
        <is>
          <t>PER04</t>
        </is>
      </c>
      <c r="B51" s="6" t="inlineStr">
        <is>
          <t>PER</t>
        </is>
      </c>
      <c r="C51" s="6" t="inlineStr">
        <is>
          <t>How are conduct concerns assessed before a warning, dismissal or other serious response is decided?</t>
        </is>
      </c>
      <c r="D51" s="11">
        <f>'Questions'!F31</f>
        <v>3</v>
      </c>
      <c r="E51" s="11" t="str">
        <f>'Questions'!G31</f>
        <v>Yes</v>
      </c>
      <c r="F51" s="13" t="n">
        <v>1</v>
      </c>
      <c r="G51" s="13" t="n">
        <v>3</v>
      </c>
      <c r="H51" s="11">
        <f>IF(F51=1,D51,0)</f>
        <v>3</v>
      </c>
      <c r="I51" s="11">
        <f>IF(F51=1,IF(OR(G51&amp;""="0",G51&amp;""="1",G51&amp;""="2",G51&amp;""="3"),D51*VALUE(G51),0),0)</f>
        <v>9</v>
      </c>
      <c r="J51" s="11">
        <f>IF(AND(F51=1,G51="DK"),D51,0)</f>
        <v>0</v>
      </c>
      <c r="K51" s="11">
        <f>H51*Scoring!$B$6</f>
        <v>9</v>
      </c>
      <c r="L51" s="11">
        <f>IF(COUNTBLANK(F51)&gt;0,1,IF(F51=0,0,IF(COUNTBLANK(G51)&gt;0,1,IF(AND(F51=1,OR(G51="DK",OR(G51&amp;""="0",G51&amp;""="1",G51&amp;""="2",G51&amp;""="3"))),0,1))))</f>
        <v>0</v>
      </c>
      <c r="M51" s="7" t="str">
        <f>IF(COUNTBLANK(F51)&gt;0,"Invalid eligibility",IF(F51=0,"Excluded",IF(F51&lt;&gt;1,"Invalid eligibility",IF(COUNTBLANK(G51)&gt;0,"Incomplete",IF(G51="DK",IF(E51="Yes","Verify priority","Verify"),IF(NOT(OR(G51&amp;""="0",G51&amp;""="1",G51&amp;""="2",G51&amp;""="3")),"Invalid response",IF(AND(E51="Yes",VALUE(G51)&lt;=Scoring!$B$9),"Priority action",IF(VALUE(G51)&lt;Scoring!$B$6,"Improve","Maintain"))))))))</f>
        <v>Maintain</v>
      </c>
      <c r="N51" s="6" t="inlineStr">
        <is>
          <t>ALL</t>
        </is>
      </c>
      <c r="O51" s="6" t="inlineStr">
        <is>
          <t>Put a decision check between allegation and action</t>
        </is>
      </c>
    </row>
    <row r="52" ht="112" customHeight="1">
      <c r="A52" s="5" t="inlineStr">
        <is>
          <t>LND01</t>
        </is>
      </c>
      <c r="B52" s="5" t="inlineStr">
        <is>
          <t>LND</t>
        </is>
      </c>
      <c r="C52" s="5" t="inlineStr">
        <is>
          <t>How do you identify the skills your business needs over the next six to twelve months?</t>
        </is>
      </c>
      <c r="D52" s="9">
        <f>'Questions'!F32</f>
        <v>2</v>
      </c>
      <c r="E52" s="9" t="str">
        <f>'Questions'!G32</f>
        <v>No</v>
      </c>
      <c r="F52" s="13" t="n">
        <v>1</v>
      </c>
      <c r="G52" s="13" t="n">
        <v>3</v>
      </c>
      <c r="H52" s="9">
        <f>IF(F52=1,D52,0)</f>
        <v>2</v>
      </c>
      <c r="I52" s="9">
        <f>IF(F52=1,IF(OR(G52&amp;""="0",G52&amp;""="1",G52&amp;""="2",G52&amp;""="3"),D52*VALUE(G52),0),0)</f>
        <v>6</v>
      </c>
      <c r="J52" s="9">
        <f>IF(AND(F52=1,G52="DK"),D52,0)</f>
        <v>0</v>
      </c>
      <c r="K52" s="9">
        <f>H52*Scoring!$B$6</f>
        <v>6</v>
      </c>
      <c r="L52" s="9">
        <f>IF(COUNTBLANK(F52)&gt;0,1,IF(F52=0,0,IF(COUNTBLANK(G52)&gt;0,1,IF(AND(F52=1,OR(G52="DK",OR(G52&amp;""="0",G52&amp;""="1",G52&amp;""="2",G52&amp;""="3"))),0,1))))</f>
        <v>0</v>
      </c>
      <c r="M52" s="25" t="str">
        <f>IF(COUNTBLANK(F52)&gt;0,"Invalid eligibility",IF(F52=0,"Excluded",IF(F52&lt;&gt;1,"Invalid eligibility",IF(COUNTBLANK(G52)&gt;0,"Incomplete",IF(G52="DK",IF(E52="Yes","Verify priority","Verify"),IF(NOT(OR(G52&amp;""="0",G52&amp;""="1",G52&amp;""="2",G52&amp;""="3")),"Invalid response",IF(AND(E52="Yes",VALUE(G52)&lt;=Scoring!$B$9),"Priority action",IF(VALUE(G52)&lt;Scoring!$B$6,"Improve","Maintain"))))))))</f>
        <v>Maintain</v>
      </c>
      <c r="N52" s="5" t="inlineStr">
        <is>
          <t>ALL</t>
        </is>
      </c>
      <c r="O52" s="5" t="inlineStr">
        <is>
          <t>Connect development to the work ahead</t>
        </is>
      </c>
    </row>
    <row r="53" ht="112" customHeight="1">
      <c r="A53" s="6" t="inlineStr">
        <is>
          <t>LND02</t>
        </is>
      </c>
      <c r="B53" s="6" t="inlineStr">
        <is>
          <t>LND</t>
        </is>
      </c>
      <c r="C53" s="6" t="inlineStr">
        <is>
          <t>How do you check whether training improves performance in the job?</t>
        </is>
      </c>
      <c r="D53" s="11">
        <f>'Questions'!F33</f>
        <v>2</v>
      </c>
      <c r="E53" s="11" t="str">
        <f>'Questions'!G33</f>
        <v>No</v>
      </c>
      <c r="F53" s="13" t="n">
        <v>1</v>
      </c>
      <c r="G53" s="13" t="n">
        <v>3</v>
      </c>
      <c r="H53" s="11">
        <f>IF(F53=1,D53,0)</f>
        <v>2</v>
      </c>
      <c r="I53" s="11">
        <f>IF(F53=1,IF(OR(G53&amp;""="0",G53&amp;""="1",G53&amp;""="2",G53&amp;""="3"),D53*VALUE(G53),0),0)</f>
        <v>6</v>
      </c>
      <c r="J53" s="11">
        <f>IF(AND(F53=1,G53="DK"),D53,0)</f>
        <v>0</v>
      </c>
      <c r="K53" s="11">
        <f>H53*Scoring!$B$6</f>
        <v>6</v>
      </c>
      <c r="L53" s="11">
        <f>IF(COUNTBLANK(F53)&gt;0,1,IF(F53=0,0,IF(COUNTBLANK(G53)&gt;0,1,IF(AND(F53=1,OR(G53="DK",OR(G53&amp;""="0",G53&amp;""="1",G53&amp;""="2",G53&amp;""="3"))),0,1))))</f>
        <v>0</v>
      </c>
      <c r="M53" s="7" t="str">
        <f>IF(COUNTBLANK(F53)&gt;0,"Invalid eligibility",IF(F53=0,"Excluded",IF(F53&lt;&gt;1,"Invalid eligibility",IF(COUNTBLANK(G53)&gt;0,"Incomplete",IF(G53="DK",IF(E53="Yes","Verify priority","Verify"),IF(NOT(OR(G53&amp;""="0",G53&amp;""="1",G53&amp;""="2",G53&amp;""="3")),"Invalid response",IF(AND(E53="Yes",VALUE(G53)&lt;=Scoring!$B$9),"Priority action",IF(VALUE(G53)&lt;Scoring!$B$6,"Improve","Maintain"))))))))</f>
        <v>Maintain</v>
      </c>
      <c r="N53" s="6" t="inlineStr">
        <is>
          <t>ALL</t>
        </is>
      </c>
      <c r="O53" s="6" t="inlineStr">
        <is>
          <t>Check what changed after the training</t>
        </is>
      </c>
    </row>
    <row r="54" ht="112" customHeight="1">
      <c r="A54" s="5" t="inlineStr">
        <is>
          <t>LND03</t>
        </is>
      </c>
      <c r="B54" s="5" t="inlineStr">
        <is>
          <t>LND</t>
        </is>
      </c>
      <c r="C54" s="5" t="inlineStr">
        <is>
          <t>What would happen to critical work if a key person were unexpectedly unavailable?</t>
        </is>
      </c>
      <c r="D54" s="9">
        <f>'Questions'!F34</f>
        <v>2</v>
      </c>
      <c r="E54" s="9" t="str">
        <f>'Questions'!G34</f>
        <v>No</v>
      </c>
      <c r="F54" s="13" t="n">
        <v>1</v>
      </c>
      <c r="G54" s="13" t="n">
        <v>1</v>
      </c>
      <c r="H54" s="9">
        <f>IF(F54=1,D54,0)</f>
        <v>2</v>
      </c>
      <c r="I54" s="9">
        <f>IF(F54=1,IF(OR(G54&amp;""="0",G54&amp;""="1",G54&amp;""="2",G54&amp;""="3"),D54*VALUE(G54),0),0)</f>
        <v>2</v>
      </c>
      <c r="J54" s="9">
        <f>IF(AND(F54=1,G54="DK"),D54,0)</f>
        <v>0</v>
      </c>
      <c r="K54" s="9">
        <f>H54*Scoring!$B$6</f>
        <v>6</v>
      </c>
      <c r="L54" s="9">
        <f>IF(COUNTBLANK(F54)&gt;0,1,IF(F54=0,0,IF(COUNTBLANK(G54)&gt;0,1,IF(AND(F54=1,OR(G54="DK",OR(G54&amp;""="0",G54&amp;""="1",G54&amp;""="2",G54&amp;""="3"))),0,1))))</f>
        <v>0</v>
      </c>
      <c r="M54" s="25" t="str">
        <f>IF(COUNTBLANK(F54)&gt;0,"Invalid eligibility",IF(F54=0,"Excluded",IF(F54&lt;&gt;1,"Invalid eligibility",IF(COUNTBLANK(G54)&gt;0,"Incomplete",IF(G54="DK",IF(E54="Yes","Verify priority","Verify"),IF(NOT(OR(G54&amp;""="0",G54&amp;""="1",G54&amp;""="2",G54&amp;""="3")),"Invalid response",IF(AND(E54="Yes",VALUE(G54)&lt;=Scoring!$B$9),"Priority action",IF(VALUE(G54)&lt;Scoring!$B$6,"Improve","Maintain"))))))))</f>
        <v>Improve</v>
      </c>
      <c r="N54" s="5" t="inlineStr">
        <is>
          <t>ALL</t>
        </is>
      </c>
      <c r="O54" s="5" t="inlineStr">
        <is>
          <t>Reduce reliance on one person</t>
        </is>
      </c>
    </row>
    <row r="55" ht="112" customHeight="1">
      <c r="A55" s="6" t="inlineStr">
        <is>
          <t>CUL01</t>
        </is>
      </c>
      <c r="B55" s="6" t="inlineStr">
        <is>
          <t>CUL</t>
        </is>
      </c>
      <c r="C55" s="6" t="inlineStr">
        <is>
          <t>How do you learn what employees experience at work and show what happens to their feedback?</t>
        </is>
      </c>
      <c r="D55" s="11">
        <f>'Questions'!F35</f>
        <v>2</v>
      </c>
      <c r="E55" s="11" t="str">
        <f>'Questions'!G35</f>
        <v>No</v>
      </c>
      <c r="F55" s="13" t="n">
        <v>1</v>
      </c>
      <c r="G55" s="13" t="n">
        <v>3</v>
      </c>
      <c r="H55" s="11">
        <f>IF(F55=1,D55,0)</f>
        <v>2</v>
      </c>
      <c r="I55" s="11">
        <f>IF(F55=1,IF(OR(G55&amp;""="0",G55&amp;""="1",G55&amp;""="2",G55&amp;""="3"),D55*VALUE(G55),0),0)</f>
        <v>6</v>
      </c>
      <c r="J55" s="11">
        <f>IF(AND(F55=1,G55="DK"),D55,0)</f>
        <v>0</v>
      </c>
      <c r="K55" s="11">
        <f>H55*Scoring!$B$6</f>
        <v>6</v>
      </c>
      <c r="L55" s="11">
        <f>IF(COUNTBLANK(F55)&gt;0,1,IF(F55=0,0,IF(COUNTBLANK(G55)&gt;0,1,IF(AND(F55=1,OR(G55="DK",OR(G55&amp;""="0",G55&amp;""="1",G55&amp;""="2",G55&amp;""="3"))),0,1))))</f>
        <v>0</v>
      </c>
      <c r="M55" s="7" t="str">
        <f>IF(COUNTBLANK(F55)&gt;0,"Invalid eligibility",IF(F55=0,"Excluded",IF(F55&lt;&gt;1,"Invalid eligibility",IF(COUNTBLANK(G55)&gt;0,"Incomplete",IF(G55="DK",IF(E55="Yes","Verify priority","Verify"),IF(NOT(OR(G55&amp;""="0",G55&amp;""="1",G55&amp;""="2",G55&amp;""="3")),"Invalid response",IF(AND(E55="Yes",VALUE(G55)&lt;=Scoring!$B$9),"Priority action",IF(VALUE(G55)&lt;Scoring!$B$6,"Improve","Maintain"))))))))</f>
        <v>Maintain</v>
      </c>
      <c r="N55" s="6" t="inlineStr">
        <is>
          <t>ALL</t>
        </is>
      </c>
      <c r="O55" s="6" t="inlineStr">
        <is>
          <t>Turn employee input into visible decisions</t>
        </is>
      </c>
    </row>
    <row r="56" ht="112" customHeight="1">
      <c r="A56" s="5" t="inlineStr">
        <is>
          <t>CUL02</t>
        </is>
      </c>
      <c r="B56" s="5" t="inlineStr">
        <is>
          <t>CUL</t>
        </is>
      </c>
      <c r="C56" s="5" t="inlineStr">
        <is>
          <t>How do you understand and respond to the risk of losing employees you would prefer to retain?</t>
        </is>
      </c>
      <c r="D56" s="9">
        <f>'Questions'!F36</f>
        <v>2</v>
      </c>
      <c r="E56" s="9" t="str">
        <f>'Questions'!G36</f>
        <v>No</v>
      </c>
      <c r="F56" s="13" t="n">
        <v>1</v>
      </c>
      <c r="G56" s="13" t="n">
        <v>3</v>
      </c>
      <c r="H56" s="9">
        <f>IF(F56=1,D56,0)</f>
        <v>2</v>
      </c>
      <c r="I56" s="9">
        <f>IF(F56=1,IF(OR(G56&amp;""="0",G56&amp;""="1",G56&amp;""="2",G56&amp;""="3"),D56*VALUE(G56),0),0)</f>
        <v>6</v>
      </c>
      <c r="J56" s="9">
        <f>IF(AND(F56=1,G56="DK"),D56,0)</f>
        <v>0</v>
      </c>
      <c r="K56" s="9">
        <f>H56*Scoring!$B$6</f>
        <v>6</v>
      </c>
      <c r="L56" s="9">
        <f>IF(COUNTBLANK(F56)&gt;0,1,IF(F56=0,0,IF(COUNTBLANK(G56)&gt;0,1,IF(AND(F56=1,OR(G56="DK",OR(G56&amp;""="0",G56&amp;""="1",G56&amp;""="2",G56&amp;""="3"))),0,1))))</f>
        <v>0</v>
      </c>
      <c r="M56" s="25" t="str">
        <f>IF(COUNTBLANK(F56)&gt;0,"Invalid eligibility",IF(F56=0,"Excluded",IF(F56&lt;&gt;1,"Invalid eligibility",IF(COUNTBLANK(G56)&gt;0,"Incomplete",IF(G56="DK",IF(E56="Yes","Verify priority","Verify"),IF(NOT(OR(G56&amp;""="0",G56&amp;""="1",G56&amp;""="2",G56&amp;""="3")),"Invalid response",IF(AND(E56="Yes",VALUE(G56)&lt;=Scoring!$B$9),"Priority action",IF(VALUE(G56)&lt;Scoring!$B$6,"Improve","Maintain"))))))))</f>
        <v>Maintain</v>
      </c>
      <c r="N56" s="5" t="inlineStr">
        <is>
          <t>ALL</t>
        </is>
      </c>
      <c r="O56" s="5" t="inlineStr">
        <is>
          <t>Look beyond the turnover percentage</t>
        </is>
      </c>
    </row>
    <row r="57" ht="112" customHeight="1">
      <c r="A57" s="6" t="inlineStr">
        <is>
          <t>CUL03</t>
        </is>
      </c>
      <c r="B57" s="6" t="inlineStr">
        <is>
          <t>CUL</t>
        </is>
      </c>
      <c r="C57" s="6" t="inlineStr">
        <is>
          <t>How do employees see that contribution and opportunity are recognised fairly?</t>
        </is>
      </c>
      <c r="D57" s="11">
        <f>'Questions'!F37</f>
        <v>1</v>
      </c>
      <c r="E57" s="11" t="str">
        <f>'Questions'!G37</f>
        <v>No</v>
      </c>
      <c r="F57" s="13" t="n">
        <v>1</v>
      </c>
      <c r="G57" s="13" t="n">
        <v>3</v>
      </c>
      <c r="H57" s="11">
        <f>IF(F57=1,D57,0)</f>
        <v>1</v>
      </c>
      <c r="I57" s="11">
        <f>IF(F57=1,IF(OR(G57&amp;""="0",G57&amp;""="1",G57&amp;""="2",G57&amp;""="3"),D57*VALUE(G57),0),0)</f>
        <v>3</v>
      </c>
      <c r="J57" s="11">
        <f>IF(AND(F57=1,G57="DK"),D57,0)</f>
        <v>0</v>
      </c>
      <c r="K57" s="11">
        <f>H57*Scoring!$B$6</f>
        <v>3</v>
      </c>
      <c r="L57" s="11">
        <f>IF(COUNTBLANK(F57)&gt;0,1,IF(F57=0,0,IF(COUNTBLANK(G57)&gt;0,1,IF(AND(F57=1,OR(G57="DK",OR(G57&amp;""="0",G57&amp;""="1",G57&amp;""="2",G57&amp;""="3"))),0,1))))</f>
        <v>0</v>
      </c>
      <c r="M57" s="7" t="str">
        <f>IF(COUNTBLANK(F57)&gt;0,"Invalid eligibility",IF(F57=0,"Excluded",IF(F57&lt;&gt;1,"Invalid eligibility",IF(COUNTBLANK(G57)&gt;0,"Incomplete",IF(G57="DK",IF(E57="Yes","Verify priority","Verify"),IF(NOT(OR(G57&amp;""="0",G57&amp;""="1",G57&amp;""="2",G57&amp;""="3")),"Invalid response",IF(AND(E57="Yes",VALUE(G57)&lt;=Scoring!$B$9),"Priority action",IF(VALUE(G57)&lt;Scoring!$B$6,"Improve","Maintain"))))))))</f>
        <v>Maintain</v>
      </c>
      <c r="N57" s="6" t="inlineStr">
        <is>
          <t>ALL</t>
        </is>
      </c>
      <c r="O57" s="6" t="inlineStr">
        <is>
          <t>Make recognition fair and specific</t>
        </is>
      </c>
    </row>
    <row r="58" ht="112" customHeight="1">
      <c r="A58" s="5" t="inlineStr">
        <is>
          <t>CUL04</t>
        </is>
      </c>
      <c r="B58" s="5" t="inlineStr">
        <is>
          <t>CUL</t>
        </is>
      </c>
      <c r="C58" s="5" t="inlineStr">
        <is>
          <t>How do you hold people leaders accountable for the way they manage others?</t>
        </is>
      </c>
      <c r="D58" s="9">
        <f>'Questions'!F38</f>
        <v>2</v>
      </c>
      <c r="E58" s="9" t="str">
        <f>'Questions'!G38</f>
        <v>No</v>
      </c>
      <c r="F58" s="13" t="n">
        <v>1</v>
      </c>
      <c r="G58" s="13" t="n">
        <v>3</v>
      </c>
      <c r="H58" s="9">
        <f>IF(F58=1,D58,0)</f>
        <v>2</v>
      </c>
      <c r="I58" s="9">
        <f>IF(F58=1,IF(OR(G58&amp;""="0",G58&amp;""="1",G58&amp;""="2",G58&amp;""="3"),D58*VALUE(G58),0),0)</f>
        <v>6</v>
      </c>
      <c r="J58" s="9">
        <f>IF(AND(F58=1,G58="DK"),D58,0)</f>
        <v>0</v>
      </c>
      <c r="K58" s="9">
        <f>H58*Scoring!$B$6</f>
        <v>6</v>
      </c>
      <c r="L58" s="9">
        <f>IF(COUNTBLANK(F58)&gt;0,1,IF(F58=0,0,IF(COUNTBLANK(G58)&gt;0,1,IF(AND(F58=1,OR(G58="DK",OR(G58&amp;""="0",G58&amp;""="1",G58&amp;""="2",G58&amp;""="3"))),0,1))))</f>
        <v>0</v>
      </c>
      <c r="M58" s="25" t="str">
        <f>IF(COUNTBLANK(F58)&gt;0,"Invalid eligibility",IF(F58=0,"Excluded",IF(F58&lt;&gt;1,"Invalid eligibility",IF(COUNTBLANK(G58)&gt;0,"Incomplete",IF(G58="DK",IF(E58="Yes","Verify priority","Verify"),IF(NOT(OR(G58&amp;""="0",G58&amp;""="1",G58&amp;""="2",G58&amp;""="3")),"Invalid response",IF(AND(E58="Yes",VALUE(G58)&lt;=Scoring!$B$9),"Priority action",IF(VALUE(G58)&lt;Scoring!$B$6,"Improve","Maintain"))))))))</f>
        <v>Maintain</v>
      </c>
      <c r="N58" s="5" t="inlineStr">
        <is>
          <t>ALL</t>
        </is>
      </c>
      <c r="O58" s="5" t="inlineStr">
        <is>
          <t>Make leadership behaviour part of performance</t>
        </is>
      </c>
    </row>
    <row r="59" ht="112" customHeight="1">
      <c r="A59" s="6" t="inlineStr">
        <is>
          <t>DAT01</t>
        </is>
      </c>
      <c r="B59" s="6" t="inlineStr">
        <is>
          <t>DAT</t>
        </is>
      </c>
      <c r="C59" s="6" t="inlineStr">
        <is>
          <t>Could you reconstruct an employee's pay and entitlements from the records you keep?</t>
        </is>
      </c>
      <c r="D59" s="11">
        <f>'Questions'!F39</f>
        <v>3</v>
      </c>
      <c r="E59" s="11" t="str">
        <f>'Questions'!G39</f>
        <v>Yes</v>
      </c>
      <c r="F59" s="13" t="n">
        <v>1</v>
      </c>
      <c r="G59" s="13" t="n">
        <v>3</v>
      </c>
      <c r="H59" s="11">
        <f>IF(F59=1,D59,0)</f>
        <v>3</v>
      </c>
      <c r="I59" s="11">
        <f>IF(F59=1,IF(OR(G59&amp;""="0",G59&amp;""="1",G59&amp;""="2",G59&amp;""="3"),D59*VALUE(G59),0),0)</f>
        <v>9</v>
      </c>
      <c r="J59" s="11">
        <f>IF(AND(F59=1,G59="DK"),D59,0)</f>
        <v>0</v>
      </c>
      <c r="K59" s="11">
        <f>H59*Scoring!$B$6</f>
        <v>9</v>
      </c>
      <c r="L59" s="11">
        <f>IF(COUNTBLANK(F59)&gt;0,1,IF(F59=0,0,IF(COUNTBLANK(G59)&gt;0,1,IF(AND(F59=1,OR(G59="DK",OR(G59&amp;""="0",G59&amp;""="1",G59&amp;""="2",G59&amp;""="3"))),0,1))))</f>
        <v>0</v>
      </c>
      <c r="M59" s="7" t="str">
        <f>IF(COUNTBLANK(F59)&gt;0,"Invalid eligibility",IF(F59=0,"Excluded",IF(F59&lt;&gt;1,"Invalid eligibility",IF(COUNTBLANK(G59)&gt;0,"Incomplete",IF(G59="DK",IF(E59="Yes","Verify priority","Verify"),IF(NOT(OR(G59&amp;""="0",G59&amp;""="1",G59&amp;""="2",G59&amp;""="3")),"Invalid response",IF(AND(E59="Yes",VALUE(G59)&lt;=Scoring!$B$9),"Priority action",IF(VALUE(G59)&lt;Scoring!$B$6,"Improve","Maintain"))))))))</f>
        <v>Maintain</v>
      </c>
      <c r="N59" s="6" t="inlineStr">
        <is>
          <t>ALL</t>
        </is>
      </c>
      <c r="O59" s="6" t="inlineStr">
        <is>
          <t>Make the pay decision traceable</t>
        </is>
      </c>
    </row>
    <row r="60" ht="112" customHeight="1">
      <c r="A60" s="5" t="inlineStr">
        <is>
          <t>DAT02</t>
        </is>
      </c>
      <c r="B60" s="5" t="inlineStr">
        <is>
          <t>DAT</t>
        </is>
      </c>
      <c r="C60" s="5" t="inlineStr">
        <is>
          <t>How do you protect employee and applicant information from unnecessary access or use?</t>
        </is>
      </c>
      <c r="D60" s="9">
        <f>'Questions'!F40</f>
        <v>3</v>
      </c>
      <c r="E60" s="9" t="str">
        <f>'Questions'!G40</f>
        <v>No</v>
      </c>
      <c r="F60" s="13" t="n">
        <v>1</v>
      </c>
      <c r="G60" s="13" t="n">
        <v>3</v>
      </c>
      <c r="H60" s="9">
        <f>IF(F60=1,D60,0)</f>
        <v>3</v>
      </c>
      <c r="I60" s="9">
        <f>IF(F60=1,IF(OR(G60&amp;""="0",G60&amp;""="1",G60&amp;""="2",G60&amp;""="3"),D60*VALUE(G60),0),0)</f>
        <v>9</v>
      </c>
      <c r="J60" s="9">
        <f>IF(AND(F60=1,G60="DK"),D60,0)</f>
        <v>0</v>
      </c>
      <c r="K60" s="9">
        <f>H60*Scoring!$B$6</f>
        <v>9</v>
      </c>
      <c r="L60" s="9">
        <f>IF(COUNTBLANK(F60)&gt;0,1,IF(F60=0,0,IF(COUNTBLANK(G60)&gt;0,1,IF(AND(F60=1,OR(G60="DK",OR(G60&amp;""="0",G60&amp;""="1",G60&amp;""="2",G60&amp;""="3"))),0,1))))</f>
        <v>0</v>
      </c>
      <c r="M60" s="25" t="str">
        <f>IF(COUNTBLANK(F60)&gt;0,"Invalid eligibility",IF(F60=0,"Excluded",IF(F60&lt;&gt;1,"Invalid eligibility",IF(COUNTBLANK(G60)&gt;0,"Incomplete",IF(G60="DK",IF(E60="Yes","Verify priority","Verify"),IF(NOT(OR(G60&amp;""="0",G60&amp;""="1",G60&amp;""="2",G60&amp;""="3")),"Invalid response",IF(AND(E60="Yes",VALUE(G60)&lt;=Scoring!$B$9),"Priority action",IF(VALUE(G60)&lt;Scoring!$B$6,"Improve","Maintain"))))))))</f>
        <v>Maintain</v>
      </c>
      <c r="N60" s="5" t="inlineStr">
        <is>
          <t>ALL</t>
        </is>
      </c>
      <c r="O60" s="5" t="inlineStr">
        <is>
          <t>Protect information across the whole process</t>
        </is>
      </c>
    </row>
    <row r="61" ht="112" customHeight="1">
      <c r="A61" s="6" t="inlineStr">
        <is>
          <t>DAT03</t>
        </is>
      </c>
      <c r="B61" s="6" t="inlineStr">
        <is>
          <t>DAT</t>
        </is>
      </c>
      <c r="C61" s="6" t="inlineStr">
        <is>
          <t>Could the business retrieve essential people records if its usual administrator or system were unavailable?</t>
        </is>
      </c>
      <c r="D61" s="11">
        <f>'Questions'!F41</f>
        <v>2</v>
      </c>
      <c r="E61" s="11" t="str">
        <f>'Questions'!G41</f>
        <v>No</v>
      </c>
      <c r="F61" s="13" t="n">
        <v>1</v>
      </c>
      <c r="G61" s="13" t="n">
        <v>3</v>
      </c>
      <c r="H61" s="11">
        <f>IF(F61=1,D61,0)</f>
        <v>2</v>
      </c>
      <c r="I61" s="11">
        <f>IF(F61=1,IF(OR(G61&amp;""="0",G61&amp;""="1",G61&amp;""="2",G61&amp;""="3"),D61*VALUE(G61),0),0)</f>
        <v>6</v>
      </c>
      <c r="J61" s="11">
        <f>IF(AND(F61=1,G61="DK"),D61,0)</f>
        <v>0</v>
      </c>
      <c r="K61" s="11">
        <f>H61*Scoring!$B$6</f>
        <v>6</v>
      </c>
      <c r="L61" s="11">
        <f>IF(COUNTBLANK(F61)&gt;0,1,IF(F61=0,0,IF(COUNTBLANK(G61)&gt;0,1,IF(AND(F61=1,OR(G61="DK",OR(G61&amp;""="0",G61&amp;""="1",G61&amp;""="2",G61&amp;""="3"))),0,1))))</f>
        <v>0</v>
      </c>
      <c r="M61" s="7" t="str">
        <f>IF(COUNTBLANK(F61)&gt;0,"Invalid eligibility",IF(F61=0,"Excluded",IF(F61&lt;&gt;1,"Invalid eligibility",IF(COUNTBLANK(G61)&gt;0,"Incomplete",IF(G61="DK",IF(E61="Yes","Verify priority","Verify"),IF(NOT(OR(G61&amp;""="0",G61&amp;""="1",G61&amp;""="2",G61&amp;""="3")),"Invalid response",IF(AND(E61="Yes",VALUE(G61)&lt;=Scoring!$B$9),"Priority action",IF(VALUE(G61)&lt;Scoring!$B$6,"Improve","Maintain"))))))))</f>
        <v>Maintain</v>
      </c>
      <c r="N61" s="6" t="inlineStr">
        <is>
          <t>ALL</t>
        </is>
      </c>
      <c r="O61" s="6" t="inlineStr">
        <is>
          <t>Test retrieval before you need it</t>
        </is>
      </c>
    </row>
    <row r="62" ht="112" customHeight="1">
      <c r="A62" s="5" t="inlineStr">
        <is>
          <t>EXT01</t>
        </is>
      </c>
      <c r="B62" s="5" t="inlineStr">
        <is>
          <t>EXT</t>
        </is>
      </c>
      <c r="C62" s="5" t="inlineStr">
        <is>
          <t>Before ending employment, how do you check the reason, required process and protections that may apply?</t>
        </is>
      </c>
      <c r="D62" s="9">
        <f>'Questions'!F42</f>
        <v>3</v>
      </c>
      <c r="E62" s="9" t="str">
        <f>'Questions'!G42</f>
        <v>Yes</v>
      </c>
      <c r="F62" s="13" t="n">
        <v>1</v>
      </c>
      <c r="G62" s="13" t="n">
        <v>3</v>
      </c>
      <c r="H62" s="9">
        <f>IF(F62=1,D62,0)</f>
        <v>3</v>
      </c>
      <c r="I62" s="9">
        <f>IF(F62=1,IF(OR(G62&amp;""="0",G62&amp;""="1",G62&amp;""="2",G62&amp;""="3"),D62*VALUE(G62),0),0)</f>
        <v>9</v>
      </c>
      <c r="J62" s="9">
        <f>IF(AND(F62=1,G62="DK"),D62,0)</f>
        <v>0</v>
      </c>
      <c r="K62" s="9">
        <f>H62*Scoring!$B$6</f>
        <v>9</v>
      </c>
      <c r="L62" s="9">
        <f>IF(COUNTBLANK(F62)&gt;0,1,IF(F62=0,0,IF(COUNTBLANK(G62)&gt;0,1,IF(AND(F62=1,OR(G62="DK",OR(G62&amp;""="0",G62&amp;""="1",G62&amp;""="2",G62&amp;""="3"))),0,1))))</f>
        <v>0</v>
      </c>
      <c r="M62" s="25" t="str">
        <f>IF(COUNTBLANK(F62)&gt;0,"Invalid eligibility",IF(F62=0,"Excluded",IF(F62&lt;&gt;1,"Invalid eligibility",IF(COUNTBLANK(G62)&gt;0,"Incomplete",IF(G62="DK",IF(E62="Yes","Verify priority","Verify"),IF(NOT(OR(G62&amp;""="0",G62&amp;""="1",G62&amp;""="2",G62&amp;""="3")),"Invalid response",IF(AND(E62="Yes",VALUE(G62)&lt;=Scoring!$B$9),"Priority action",IF(VALUE(G62)&lt;Scoring!$B$6,"Improve","Maintain"))))))))</f>
        <v>Maintain</v>
      </c>
      <c r="N62" s="5" t="inlineStr">
        <is>
          <t>ALL</t>
        </is>
      </c>
      <c r="O62" s="5" t="inlineStr">
        <is>
          <t>Review the decision before it becomes irreversible</t>
        </is>
      </c>
    </row>
    <row r="63" ht="112" customHeight="1">
      <c r="A63" s="6" t="inlineStr">
        <is>
          <t>EXT02</t>
        </is>
      </c>
      <c r="B63" s="6" t="inlineStr">
        <is>
          <t>EXT</t>
        </is>
      </c>
      <c r="C63" s="6" t="inlineStr">
        <is>
          <t>How do you check final pay and employment documentation when a person leaves?</t>
        </is>
      </c>
      <c r="D63" s="11">
        <f>'Questions'!F43</f>
        <v>3</v>
      </c>
      <c r="E63" s="11" t="str">
        <f>'Questions'!G43</f>
        <v>No</v>
      </c>
      <c r="F63" s="13" t="n">
        <v>1</v>
      </c>
      <c r="G63" s="13" t="n">
        <v>3</v>
      </c>
      <c r="H63" s="11">
        <f>IF(F63=1,D63,0)</f>
        <v>3</v>
      </c>
      <c r="I63" s="11">
        <f>IF(F63=1,IF(OR(G63&amp;""="0",G63&amp;""="1",G63&amp;""="2",G63&amp;""="3"),D63*VALUE(G63),0),0)</f>
        <v>9</v>
      </c>
      <c r="J63" s="11">
        <f>IF(AND(F63=1,G63="DK"),D63,0)</f>
        <v>0</v>
      </c>
      <c r="K63" s="11">
        <f>H63*Scoring!$B$6</f>
        <v>9</v>
      </c>
      <c r="L63" s="11">
        <f>IF(COUNTBLANK(F63)&gt;0,1,IF(F63=0,0,IF(COUNTBLANK(G63)&gt;0,1,IF(AND(F63=1,OR(G63="DK",OR(G63&amp;""="0",G63&amp;""="1",G63&amp;""="2",G63&amp;""="3"))),0,1))))</f>
        <v>0</v>
      </c>
      <c r="M63" s="7" t="str">
        <f>IF(COUNTBLANK(F63)&gt;0,"Invalid eligibility",IF(F63=0,"Excluded",IF(F63&lt;&gt;1,"Invalid eligibility",IF(COUNTBLANK(G63)&gt;0,"Incomplete",IF(G63="DK",IF(E63="Yes","Verify priority","Verify"),IF(NOT(OR(G63&amp;""="0",G63&amp;""="1",G63&amp;""="2",G63&amp;""="3")),"Invalid response",IF(AND(E63="Yes",VALUE(G63)&lt;=Scoring!$B$9),"Priority action",IF(VALUE(G63)&lt;Scoring!$B$6,"Improve","Maintain"))))))))</f>
        <v>Maintain</v>
      </c>
      <c r="N63" s="6" t="inlineStr">
        <is>
          <t>ALL</t>
        </is>
      </c>
      <c r="O63" s="6" t="inlineStr">
        <is>
          <t>Check final pay as a separate transaction</t>
        </is>
      </c>
    </row>
    <row r="64" ht="112" customHeight="1">
      <c r="A64" s="5" t="inlineStr">
        <is>
          <t>EXT03</t>
        </is>
      </c>
      <c r="B64" s="5" t="inlineStr">
        <is>
          <t>EXT</t>
        </is>
      </c>
      <c r="C64" s="5" t="inlineStr">
        <is>
          <t>How do you protect continuity and information when an employee leaves?</t>
        </is>
      </c>
      <c r="D64" s="9">
        <f>'Questions'!F44</f>
        <v>2</v>
      </c>
      <c r="E64" s="9" t="str">
        <f>'Questions'!G44</f>
        <v>No</v>
      </c>
      <c r="F64" s="13" t="n">
        <v>1</v>
      </c>
      <c r="G64" s="13" t="n">
        <v>3</v>
      </c>
      <c r="H64" s="9">
        <f>IF(F64=1,D64,0)</f>
        <v>2</v>
      </c>
      <c r="I64" s="9">
        <f>IF(F64=1,IF(OR(G64&amp;""="0",G64&amp;""="1",G64&amp;""="2",G64&amp;""="3"),D64*VALUE(G64),0),0)</f>
        <v>6</v>
      </c>
      <c r="J64" s="9">
        <f>IF(AND(F64=1,G64="DK"),D64,0)</f>
        <v>0</v>
      </c>
      <c r="K64" s="9">
        <f>H64*Scoring!$B$6</f>
        <v>6</v>
      </c>
      <c r="L64" s="9">
        <f>IF(COUNTBLANK(F64)&gt;0,1,IF(F64=0,0,IF(COUNTBLANK(G64)&gt;0,1,IF(AND(F64=1,OR(G64="DK",OR(G64&amp;""="0",G64&amp;""="1",G64&amp;""="2",G64&amp;""="3"))),0,1))))</f>
        <v>0</v>
      </c>
      <c r="M64" s="25" t="str">
        <f>IF(COUNTBLANK(F64)&gt;0,"Invalid eligibility",IF(F64=0,"Excluded",IF(F64&lt;&gt;1,"Invalid eligibility",IF(COUNTBLANK(G64)&gt;0,"Incomplete",IF(G64="DK",IF(E64="Yes","Verify priority","Verify"),IF(NOT(OR(G64&amp;""="0",G64&amp;""="1",G64&amp;""="2",G64&amp;""="3")),"Invalid response",IF(AND(E64="Yes",VALUE(G64)&lt;=Scoring!$B$9),"Priority action",IF(VALUE(G64)&lt;Scoring!$B$6,"Improve","Maintain"))))))))</f>
        <v>Maintain</v>
      </c>
      <c r="N64" s="5" t="inlineStr">
        <is>
          <t>ALL</t>
        </is>
      </c>
      <c r="O64" s="5" t="inlineStr">
        <is>
          <t>Close the operational gaps in an exit</t>
        </is>
      </c>
    </row>
    <row r="65" ht="112" customHeight="1">
      <c r="A65" s="6" t="inlineStr">
        <is>
          <t>PSY01</t>
        </is>
      </c>
      <c r="B65" s="6" t="inlineStr">
        <is>
          <t>PSY</t>
        </is>
      </c>
      <c r="C65" s="6" t="inlineStr">
        <is>
          <t>How do you identify aspects of work that could harm people's psychological health?</t>
        </is>
      </c>
      <c r="D65" s="11">
        <f>'Questions'!F45</f>
        <v>3</v>
      </c>
      <c r="E65" s="11" t="str">
        <f>'Questions'!G45</f>
        <v>Yes</v>
      </c>
      <c r="F65" s="13" t="n">
        <v>1</v>
      </c>
      <c r="G65" s="13" t="n">
        <v>3</v>
      </c>
      <c r="H65" s="11">
        <f>IF(F65=1,D65,0)</f>
        <v>3</v>
      </c>
      <c r="I65" s="11">
        <f>IF(F65=1,IF(OR(G65&amp;""="0",G65&amp;""="1",G65&amp;""="2",G65&amp;""="3"),D65*VALUE(G65),0),0)</f>
        <v>9</v>
      </c>
      <c r="J65" s="11">
        <f>IF(AND(F65=1,G65="DK"),D65,0)</f>
        <v>0</v>
      </c>
      <c r="K65" s="11">
        <f>H65*Scoring!$B$6</f>
        <v>9</v>
      </c>
      <c r="L65" s="11">
        <f>IF(COUNTBLANK(F65)&gt;0,1,IF(F65=0,0,IF(COUNTBLANK(G65)&gt;0,1,IF(AND(F65=1,OR(G65="DK",OR(G65&amp;""="0",G65&amp;""="1",G65&amp;""="2",G65&amp;""="3"))),0,1))))</f>
        <v>0</v>
      </c>
      <c r="M65" s="7" t="str">
        <f>IF(COUNTBLANK(F65)&gt;0,"Invalid eligibility",IF(F65=0,"Excluded",IF(F65&lt;&gt;1,"Invalid eligibility",IF(COUNTBLANK(G65)&gt;0,"Incomplete",IF(G65="DK",IF(E65="Yes","Verify priority","Verify"),IF(NOT(OR(G65&amp;""="0",G65&amp;""="1",G65&amp;""="2",G65&amp;""="3")),"Invalid response",IF(AND(E65="Yes",VALUE(G65)&lt;=Scoring!$B$9),"Priority action",IF(VALUE(G65)&lt;Scoring!$B$6,"Improve","Maintain"))))))))</f>
        <v>Maintain</v>
      </c>
      <c r="N65" s="6" t="inlineStr">
        <is>
          <t>ALL</t>
        </is>
      </c>
      <c r="O65" s="6" t="inlineStr">
        <is>
          <t>Identify what in the work could cause harm</t>
        </is>
      </c>
    </row>
    <row r="66" ht="112" customHeight="1">
      <c r="A66" s="5" t="inlineStr">
        <is>
          <t>PSY02</t>
        </is>
      </c>
      <c r="B66" s="5" t="inlineStr">
        <is>
          <t>PSY</t>
        </is>
      </c>
      <c r="C66" s="5" t="inlineStr">
        <is>
          <t>What arrangements control the psychosocial risks arising from your work?</t>
        </is>
      </c>
      <c r="D66" s="9">
        <f>'Questions'!F46</f>
        <v>3</v>
      </c>
      <c r="E66" s="9" t="str">
        <f>'Questions'!G46</f>
        <v>Yes</v>
      </c>
      <c r="F66" s="13" t="n">
        <v>1</v>
      </c>
      <c r="G66" s="13" t="n">
        <v>3</v>
      </c>
      <c r="H66" s="9">
        <f>IF(F66=1,D66,0)</f>
        <v>3</v>
      </c>
      <c r="I66" s="9">
        <f>IF(F66=1,IF(OR(G66&amp;""="0",G66&amp;""="1",G66&amp;""="2",G66&amp;""="3"),D66*VALUE(G66),0),0)</f>
        <v>9</v>
      </c>
      <c r="J66" s="9">
        <f>IF(AND(F66=1,G66="DK"),D66,0)</f>
        <v>0</v>
      </c>
      <c r="K66" s="9">
        <f>H66*Scoring!$B$6</f>
        <v>9</v>
      </c>
      <c r="L66" s="9">
        <f>IF(COUNTBLANK(F66)&gt;0,1,IF(F66=0,0,IF(COUNTBLANK(G66)&gt;0,1,IF(AND(F66=1,OR(G66="DK",OR(G66&amp;""="0",G66&amp;""="1",G66&amp;""="2",G66&amp;""="3"))),0,1))))</f>
        <v>0</v>
      </c>
      <c r="M66" s="25" t="str">
        <f>IF(COUNTBLANK(F66)&gt;0,"Invalid eligibility",IF(F66=0,"Excluded",IF(F66&lt;&gt;1,"Invalid eligibility",IF(COUNTBLANK(G66)&gt;0,"Incomplete",IF(G66="DK",IF(E66="Yes","Verify priority","Verify"),IF(NOT(OR(G66&amp;""="0",G66&amp;""="1",G66&amp;""="2",G66&amp;""="3")),"Invalid response",IF(AND(E66="Yes",VALUE(G66)&lt;=Scoring!$B$9),"Priority action",IF(VALUE(G66)&lt;Scoring!$B$6,"Improve","Maintain"))))))))</f>
        <v>Maintain</v>
      </c>
      <c r="N66" s="5" t="inlineStr">
        <is>
          <t>ALL</t>
        </is>
      </c>
      <c r="O66" s="5" t="inlineStr">
        <is>
          <t>Control the cause, not only the consequences</t>
        </is>
      </c>
    </row>
    <row r="67" ht="112" customHeight="1">
      <c r="A67" s="6" t="inlineStr">
        <is>
          <t>PSY03</t>
        </is>
      </c>
      <c r="B67" s="6" t="inlineStr">
        <is>
          <t>PSY</t>
        </is>
      </c>
      <c r="C67" s="6" t="inlineStr">
        <is>
          <t>How does your business actively prevent sexual harassment, sex-based harassment and related unlawful conduct?</t>
        </is>
      </c>
      <c r="D67" s="11">
        <f>'Questions'!F47</f>
        <v>3</v>
      </c>
      <c r="E67" s="11" t="str">
        <f>'Questions'!G47</f>
        <v>Yes</v>
      </c>
      <c r="F67" s="13" t="n">
        <v>1</v>
      </c>
      <c r="G67" s="13" t="n">
        <v>3</v>
      </c>
      <c r="H67" s="11">
        <f>IF(F67=1,D67,0)</f>
        <v>3</v>
      </c>
      <c r="I67" s="11">
        <f>IF(F67=1,IF(OR(G67&amp;""="0",G67&amp;""="1",G67&amp;""="2",G67&amp;""="3"),D67*VALUE(G67),0),0)</f>
        <v>9</v>
      </c>
      <c r="J67" s="11">
        <f>IF(AND(F67=1,G67="DK"),D67,0)</f>
        <v>0</v>
      </c>
      <c r="K67" s="11">
        <f>H67*Scoring!$B$6</f>
        <v>9</v>
      </c>
      <c r="L67" s="11">
        <f>IF(COUNTBLANK(F67)&gt;0,1,IF(F67=0,0,IF(COUNTBLANK(G67)&gt;0,1,IF(AND(F67=1,OR(G67="DK",OR(G67&amp;""="0",G67&amp;""="1",G67&amp;""="2",G67&amp;""="3"))),0,1))))</f>
        <v>0</v>
      </c>
      <c r="M67" s="7" t="str">
        <f>IF(COUNTBLANK(F67)&gt;0,"Invalid eligibility",IF(F67=0,"Excluded",IF(F67&lt;&gt;1,"Invalid eligibility",IF(COUNTBLANK(G67)&gt;0,"Incomplete",IF(G67="DK",IF(E67="Yes","Verify priority","Verify"),IF(NOT(OR(G67&amp;""="0",G67&amp;""="1",G67&amp;""="2",G67&amp;""="3")),"Invalid response",IF(AND(E67="Yes",VALUE(G67)&lt;=Scoring!$B$9),"Priority action",IF(VALUE(G67)&lt;Scoring!$B$6,"Improve","Maintain"))))))))</f>
        <v>Maintain</v>
      </c>
      <c r="N67" s="6" t="inlineStr">
        <is>
          <t>ALL</t>
        </is>
      </c>
      <c r="O67" s="6" t="inlineStr">
        <is>
          <t>Make prevention visible in the way the business operates</t>
        </is>
      </c>
    </row>
    <row r="68" ht="112" customHeight="1">
      <c r="A68" s="5" t="inlineStr">
        <is>
          <t>PSY04</t>
        </is>
      </c>
      <c r="B68" s="5" t="inlineStr">
        <is>
          <t>PSY</t>
        </is>
      </c>
      <c r="C68" s="5" t="inlineStr">
        <is>
          <t>Could someone raise a concern safely if it involved their manager, the owner or a high-performing colleague?</t>
        </is>
      </c>
      <c r="D68" s="9">
        <f>'Questions'!F48</f>
        <v>3</v>
      </c>
      <c r="E68" s="9" t="str">
        <f>'Questions'!G48</f>
        <v>Yes</v>
      </c>
      <c r="F68" s="13" t="n">
        <v>1</v>
      </c>
      <c r="G68" s="13" t="n">
        <v>0</v>
      </c>
      <c r="H68" s="9">
        <f>IF(F68=1,D68,0)</f>
        <v>3</v>
      </c>
      <c r="I68" s="9">
        <f>IF(F68=1,IF(OR(G68&amp;""="0",G68&amp;""="1",G68&amp;""="2",G68&amp;""="3"),D68*VALUE(G68),0),0)</f>
        <v>0</v>
      </c>
      <c r="J68" s="9">
        <f>IF(AND(F68=1,G68="DK"),D68,0)</f>
        <v>0</v>
      </c>
      <c r="K68" s="9">
        <f>H68*Scoring!$B$6</f>
        <v>9</v>
      </c>
      <c r="L68" s="9">
        <f>IF(COUNTBLANK(F68)&gt;0,1,IF(F68=0,0,IF(COUNTBLANK(G68)&gt;0,1,IF(AND(F68=1,OR(G68="DK",OR(G68&amp;""="0",G68&amp;""="1",G68&amp;""="2",G68&amp;""="3"))),0,1))))</f>
        <v>0</v>
      </c>
      <c r="M68" s="25" t="str">
        <f>IF(COUNTBLANK(F68)&gt;0,"Invalid eligibility",IF(F68=0,"Excluded",IF(F68&lt;&gt;1,"Invalid eligibility",IF(COUNTBLANK(G68)&gt;0,"Incomplete",IF(G68="DK",IF(E68="Yes","Verify priority","Verify"),IF(NOT(OR(G68&amp;""="0",G68&amp;""="1",G68&amp;""="2",G68&amp;""="3")),"Invalid response",IF(AND(E68="Yes",VALUE(G68)&lt;=Scoring!$B$9),"Priority action",IF(VALUE(G68)&lt;Scoring!$B$6,"Improve","Maintain"))))))))</f>
        <v>Priority action</v>
      </c>
      <c r="N68" s="5" t="inlineStr">
        <is>
          <t>ALL</t>
        </is>
      </c>
      <c r="O68" s="5" t="inlineStr">
        <is>
          <t>Make the reporting route work when power is involved</t>
        </is>
      </c>
    </row>
    <row r="69" ht="112" customHeight="1">
      <c r="A69" s="6" t="inlineStr">
        <is>
          <t>PSY05</t>
        </is>
      </c>
      <c r="B69" s="6" t="inlineStr">
        <is>
          <t>PSY</t>
        </is>
      </c>
      <c r="C69" s="6" t="inlineStr">
        <is>
          <t>How would you respond to a wellbeing or behavioural concern while protecting the people involved?</t>
        </is>
      </c>
      <c r="D69" s="11">
        <f>'Questions'!F49</f>
        <v>2</v>
      </c>
      <c r="E69" s="11" t="str">
        <f>'Questions'!G49</f>
        <v>No</v>
      </c>
      <c r="F69" s="13" t="n">
        <v>1</v>
      </c>
      <c r="G69" s="13" t="n">
        <v>3</v>
      </c>
      <c r="H69" s="11">
        <f>IF(F69=1,D69,0)</f>
        <v>2</v>
      </c>
      <c r="I69" s="11">
        <f>IF(F69=1,IF(OR(G69&amp;""="0",G69&amp;""="1",G69&amp;""="2",G69&amp;""="3"),D69*VALUE(G69),0),0)</f>
        <v>6</v>
      </c>
      <c r="J69" s="11">
        <f>IF(AND(F69=1,G69="DK"),D69,0)</f>
        <v>0</v>
      </c>
      <c r="K69" s="11">
        <f>H69*Scoring!$B$6</f>
        <v>6</v>
      </c>
      <c r="L69" s="11">
        <f>IF(COUNTBLANK(F69)&gt;0,1,IF(F69=0,0,IF(COUNTBLANK(G69)&gt;0,1,IF(AND(F69=1,OR(G69="DK",OR(G69&amp;""="0",G69&amp;""="1",G69&amp;""="2",G69&amp;""="3"))),0,1))))</f>
        <v>0</v>
      </c>
      <c r="M69" s="7" t="str">
        <f>IF(COUNTBLANK(F69)&gt;0,"Invalid eligibility",IF(F69=0,"Excluded",IF(F69&lt;&gt;1,"Invalid eligibility",IF(COUNTBLANK(G69)&gt;0,"Incomplete",IF(G69="DK",IF(E69="Yes","Verify priority","Verify"),IF(NOT(OR(G69&amp;""="0",G69&amp;""="1",G69&amp;""="2",G69&amp;""="3")),"Invalid response",IF(AND(E69="Yes",VALUE(G69)&lt;=Scoring!$B$9),"Priority action",IF(VALUE(G69)&lt;Scoring!$B$6,"Improve","Maintain"))))))))</f>
        <v>Maintain</v>
      </c>
      <c r="N69" s="6" t="inlineStr">
        <is>
          <t>ALL</t>
        </is>
      </c>
      <c r="O69" s="6" t="inlineStr">
        <is>
          <t>Connect support with a responsible workplace response</t>
        </is>
      </c>
    </row>
    <row r="70" ht="112" customHeight="1">
      <c r="A70" s="5" t="inlineStr">
        <is>
          <t>B01</t>
        </is>
      </c>
      <c r="B70" s="5" t="inlineStr">
        <is>
          <t>PAY</t>
        </is>
      </c>
      <c r="C70" s="5" t="inlineStr">
        <is>
          <t>How have you checked a salary or flat rate that is intended to cover award or agreement entitlements?</t>
        </is>
      </c>
      <c r="D70" s="9">
        <f>'Questions'!F50</f>
        <v>3</v>
      </c>
      <c r="E70" s="9" t="str">
        <f>'Questions'!G50</f>
        <v>Yes</v>
      </c>
      <c r="F70" s="13" t="n">
        <v>0</v>
      </c>
      <c r="G70" s="13" t="n">
        <v>3</v>
      </c>
      <c r="H70" s="9">
        <f>IF(F70=1,D70,0)</f>
        <v>0</v>
      </c>
      <c r="I70" s="9">
        <f>IF(F70=1,IF(OR(G70&amp;""="0",G70&amp;""="1",G70&amp;""="2",G70&amp;""="3"),D70*VALUE(G70),0),0)</f>
        <v>0</v>
      </c>
      <c r="J70" s="9">
        <f>IF(AND(F70=1,G70="DK"),D70,0)</f>
        <v>0</v>
      </c>
      <c r="K70" s="9">
        <f>H70*Scoring!$B$6</f>
        <v>0</v>
      </c>
      <c r="L70" s="9">
        <f>IF(COUNTBLANK(F70)&gt;0,1,IF(F70=0,0,IF(COUNTBLANK(G70)&gt;0,1,IF(AND(F70=1,OR(G70="DK",OR(G70&amp;""="0",G70&amp;""="1",G70&amp;""="2",G70&amp;""="3"))),0,1))))</f>
        <v>0</v>
      </c>
      <c r="M70" s="25" t="str">
        <f>IF(COUNTBLANK(F70)&gt;0,"Invalid eligibility",IF(F70=0,"Excluded",IF(F70&lt;&gt;1,"Invalid eligibility",IF(COUNTBLANK(G70)&gt;0,"Incomplete",IF(G70="DK",IF(E70="Yes","Verify priority","Verify"),IF(NOT(OR(G70&amp;""="0",G70&amp;""="1",G70&amp;""="2",G70&amp;""="3")),"Invalid response",IF(AND(E70="Yes",VALUE(G70)&lt;=Scoring!$B$9),"Priority action",IF(VALUE(G70)&lt;Scoring!$B$6,"Improve","Maintain"))))))))</f>
        <v>Excluded</v>
      </c>
      <c r="N70" s="5" t="inlineStr">
        <is>
          <t>SALARY</t>
        </is>
      </c>
      <c r="O70" s="5" t="inlineStr">
        <is>
          <t>Check the basis of the salary arrangement</t>
        </is>
      </c>
    </row>
    <row r="71" ht="112" customHeight="1">
      <c r="A71" s="6" t="inlineStr">
        <is>
          <t>B02</t>
        </is>
      </c>
      <c r="B71" s="6" t="inlineStr">
        <is>
          <t>CON</t>
        </is>
      </c>
      <c r="C71" s="6" t="inlineStr">
        <is>
          <t>How do you manage eligible casual employees' notices seeking permanent employment?</t>
        </is>
      </c>
      <c r="D71" s="11">
        <f>'Questions'!F51</f>
        <v>3</v>
      </c>
      <c r="E71" s="11" t="str">
        <f>'Questions'!G51</f>
        <v>No</v>
      </c>
      <c r="F71" s="13" t="n">
        <v>0</v>
      </c>
      <c r="G71" s="13" t="n">
        <v>3</v>
      </c>
      <c r="H71" s="11">
        <f>IF(F71=1,D71,0)</f>
        <v>0</v>
      </c>
      <c r="I71" s="11">
        <f>IF(F71=1,IF(OR(G71&amp;""="0",G71&amp;""="1",G71&amp;""="2",G71&amp;""="3"),D71*VALUE(G71),0),0)</f>
        <v>0</v>
      </c>
      <c r="J71" s="11">
        <f>IF(AND(F71=1,G71="DK"),D71,0)</f>
        <v>0</v>
      </c>
      <c r="K71" s="11">
        <f>H71*Scoring!$B$6</f>
        <v>0</v>
      </c>
      <c r="L71" s="11">
        <f>IF(COUNTBLANK(F71)&gt;0,1,IF(F71=0,0,IF(COUNTBLANK(G71)&gt;0,1,IF(AND(F71=1,OR(G71="DK",OR(G71&amp;""="0",G71&amp;""="1",G71&amp;""="2",G71&amp;""="3"))),0,1))))</f>
        <v>0</v>
      </c>
      <c r="M71" s="7" t="str">
        <f>IF(COUNTBLANK(F71)&gt;0,"Invalid eligibility",IF(F71=0,"Excluded",IF(F71&lt;&gt;1,"Invalid eligibility",IF(COUNTBLANK(G71)&gt;0,"Incomplete",IF(G71="DK",IF(E71="Yes","Verify priority","Verify"),IF(NOT(OR(G71&amp;""="0",G71&amp;""="1",G71&amp;""="2",G71&amp;""="3")),"Invalid response",IF(AND(E71="Yes",VALUE(G71)&lt;=Scoring!$B$9),"Priority action",IF(VALUE(G71)&lt;Scoring!$B$6,"Improve","Maintain"))))))))</f>
        <v>Excluded</v>
      </c>
      <c r="N71" s="6" t="inlineStr">
        <is>
          <t>CASUAL</t>
        </is>
      </c>
      <c r="O71" s="6" t="inlineStr">
        <is>
          <t>Update the casual-to-permanent process</t>
        </is>
      </c>
    </row>
    <row r="72" ht="112" customHeight="1">
      <c r="A72" s="5" t="inlineStr">
        <is>
          <t>B03</t>
        </is>
      </c>
      <c r="B72" s="5" t="inlineStr">
        <is>
          <t>ONB</t>
        </is>
      </c>
      <c r="C72" s="5" t="inlineStr">
        <is>
          <t>How do you manage the later issue of the Casual Employment Information Statement?</t>
        </is>
      </c>
      <c r="D72" s="9">
        <f>'Questions'!F52</f>
        <v>2</v>
      </c>
      <c r="E72" s="9" t="str">
        <f>'Questions'!G52</f>
        <v>No</v>
      </c>
      <c r="F72" s="13" t="n">
        <v>0</v>
      </c>
      <c r="G72" s="13" t="n">
        <v>3</v>
      </c>
      <c r="H72" s="9">
        <f>IF(F72=1,D72,0)</f>
        <v>0</v>
      </c>
      <c r="I72" s="9">
        <f>IF(F72=1,IF(OR(G72&amp;""="0",G72&amp;""="1",G72&amp;""="2",G72&amp;""="3"),D72*VALUE(G72),0),0)</f>
        <v>0</v>
      </c>
      <c r="J72" s="9">
        <f>IF(AND(F72=1,G72="DK"),D72,0)</f>
        <v>0</v>
      </c>
      <c r="K72" s="9">
        <f>H72*Scoring!$B$6</f>
        <v>0</v>
      </c>
      <c r="L72" s="9">
        <f>IF(COUNTBLANK(F72)&gt;0,1,IF(F72=0,0,IF(COUNTBLANK(G72)&gt;0,1,IF(AND(F72=1,OR(G72="DK",OR(G72&amp;""="0",G72&amp;""="1",G72&amp;""="2",G72&amp;""="3"))),0,1))))</f>
        <v>0</v>
      </c>
      <c r="M72" s="25" t="str">
        <f>IF(COUNTBLANK(F72)&gt;0,"Invalid eligibility",IF(F72=0,"Excluded",IF(F72&lt;&gt;1,"Invalid eligibility",IF(COUNTBLANK(G72)&gt;0,"Incomplete",IF(G72="DK",IF(E72="Yes","Verify priority","Verify"),IF(NOT(OR(G72&amp;""="0",G72&amp;""="1",G72&amp;""="2",G72&amp;""="3")),"Invalid response",IF(AND(E72="Yes",VALUE(G72)&lt;=Scoring!$B$9),"Priority action",IF(VALUE(G72)&lt;Scoring!$B$6,"Improve","Maintain"))))))))</f>
        <v>Excluded</v>
      </c>
      <c r="N72" s="5" t="inlineStr">
        <is>
          <t>CASUAL</t>
        </is>
      </c>
      <c r="O72" s="5" t="inlineStr">
        <is>
          <t>Add the CEIS dates after commencement</t>
        </is>
      </c>
    </row>
    <row r="73" ht="112" customHeight="1">
      <c r="A73" s="6" t="inlineStr">
        <is>
          <t>B04</t>
        </is>
      </c>
      <c r="B73" s="6" t="inlineStr">
        <is>
          <t>CON</t>
        </is>
      </c>
      <c r="C73" s="6" t="inlineStr">
        <is>
          <t>What is checked before you enter into or renew a fixed-term employment contract?</t>
        </is>
      </c>
      <c r="D73" s="11">
        <f>'Questions'!F53</f>
        <v>3</v>
      </c>
      <c r="E73" s="11" t="str">
        <f>'Questions'!G53</f>
        <v>Yes</v>
      </c>
      <c r="F73" s="13" t="n">
        <v>0</v>
      </c>
      <c r="G73" s="13" t="n">
        <v>3</v>
      </c>
      <c r="H73" s="11">
        <f>IF(F73=1,D73,0)</f>
        <v>0</v>
      </c>
      <c r="I73" s="11">
        <f>IF(F73=1,IF(OR(G73&amp;""="0",G73&amp;""="1",G73&amp;""="2",G73&amp;""="3"),D73*VALUE(G73),0),0)</f>
        <v>0</v>
      </c>
      <c r="J73" s="11">
        <f>IF(AND(F73=1,G73="DK"),D73,0)</f>
        <v>0</v>
      </c>
      <c r="K73" s="11">
        <f>H73*Scoring!$B$6</f>
        <v>0</v>
      </c>
      <c r="L73" s="11">
        <f>IF(COUNTBLANK(F73)&gt;0,1,IF(F73=0,0,IF(COUNTBLANK(G73)&gt;0,1,IF(AND(F73=1,OR(G73="DK",OR(G73&amp;""="0",G73&amp;""="1",G73&amp;""="2",G73&amp;""="3"))),0,1))))</f>
        <v>0</v>
      </c>
      <c r="M73" s="7" t="str">
        <f>IF(COUNTBLANK(F73)&gt;0,"Invalid eligibility",IF(F73=0,"Excluded",IF(F73&lt;&gt;1,"Invalid eligibility",IF(COUNTBLANK(G73)&gt;0,"Incomplete",IF(G73="DK",IF(E73="Yes","Verify priority","Verify"),IF(NOT(OR(G73&amp;""="0",G73&amp;""="1",G73&amp;""="2",G73&amp;""="3")),"Invalid response",IF(AND(E73="Yes",VALUE(G73)&lt;=Scoring!$B$9),"Priority action",IF(VALUE(G73)&lt;Scoring!$B$6,"Improve","Maintain"))))))))</f>
        <v>Excluded</v>
      </c>
      <c r="N73" s="6" t="inlineStr">
        <is>
          <t>FIXED</t>
        </is>
      </c>
      <c r="O73" s="6" t="inlineStr">
        <is>
          <t>Check fixed-term contracts before renewal</t>
        </is>
      </c>
    </row>
    <row r="74" ht="112" customHeight="1">
      <c r="A74" s="5" t="inlineStr">
        <is>
          <t>B05</t>
        </is>
      </c>
      <c r="B74" s="5" t="inlineStr">
        <is>
          <t>CON</t>
        </is>
      </c>
      <c r="C74" s="5" t="inlineStr">
        <is>
          <t>How have you checked whether your contractor arrangements are appropriate in practice?</t>
        </is>
      </c>
      <c r="D74" s="9">
        <f>'Questions'!F54</f>
        <v>3</v>
      </c>
      <c r="E74" s="9" t="str">
        <f>'Questions'!G54</f>
        <v>Yes</v>
      </c>
      <c r="F74" s="13" t="n">
        <v>0</v>
      </c>
      <c r="G74" s="13" t="n">
        <v>3</v>
      </c>
      <c r="H74" s="9">
        <f>IF(F74=1,D74,0)</f>
        <v>0</v>
      </c>
      <c r="I74" s="9">
        <f>IF(F74=1,IF(OR(G74&amp;""="0",G74&amp;""="1",G74&amp;""="2",G74&amp;""="3"),D74*VALUE(G74),0),0)</f>
        <v>0</v>
      </c>
      <c r="J74" s="9">
        <f>IF(AND(F74=1,G74="DK"),D74,0)</f>
        <v>0</v>
      </c>
      <c r="K74" s="9">
        <f>H74*Scoring!$B$6</f>
        <v>0</v>
      </c>
      <c r="L74" s="9">
        <f>IF(COUNTBLANK(F74)&gt;0,1,IF(F74=0,0,IF(COUNTBLANK(G74)&gt;0,1,IF(AND(F74=1,OR(G74="DK",OR(G74&amp;""="0",G74&amp;""="1",G74&amp;""="2",G74&amp;""="3"))),0,1))))</f>
        <v>0</v>
      </c>
      <c r="M74" s="25" t="str">
        <f>IF(COUNTBLANK(F74)&gt;0,"Invalid eligibility",IF(F74=0,"Excluded",IF(F74&lt;&gt;1,"Invalid eligibility",IF(COUNTBLANK(G74)&gt;0,"Incomplete",IF(G74="DK",IF(E74="Yes","Verify priority","Verify"),IF(NOT(OR(G74&amp;""="0",G74&amp;""="1",G74&amp;""="2",G74&amp;""="3")),"Invalid response",IF(AND(E74="Yes",VALUE(G74)&lt;=Scoring!$B$9),"Priority action",IF(VALUE(G74)&lt;Scoring!$B$6,"Improve","Maintain"))))))))</f>
        <v>Excluded</v>
      </c>
      <c r="N74" s="5" t="inlineStr">
        <is>
          <t>CONTRACTOR</t>
        </is>
      </c>
      <c r="O74" s="5" t="inlineStr">
        <is>
          <t>Review the relationship behind the contractor label</t>
        </is>
      </c>
    </row>
    <row r="75" ht="112" customHeight="1">
      <c r="A75" s="6" t="inlineStr">
        <is>
          <t>B06</t>
        </is>
      </c>
      <c r="B75" s="6" t="inlineStr">
        <is>
          <t>PAY</t>
        </is>
      </c>
      <c r="C75" s="6" t="inlineStr">
        <is>
          <t>How do you manage changes to part-time hours and the resulting pay?</t>
        </is>
      </c>
      <c r="D75" s="11">
        <f>'Questions'!F55</f>
        <v>3</v>
      </c>
      <c r="E75" s="11" t="str">
        <f>'Questions'!G55</f>
        <v>No</v>
      </c>
      <c r="F75" s="13" t="n">
        <v>0</v>
      </c>
      <c r="G75" s="13" t="n">
        <v>3</v>
      </c>
      <c r="H75" s="11">
        <f>IF(F75=1,D75,0)</f>
        <v>0</v>
      </c>
      <c r="I75" s="11">
        <f>IF(F75=1,IF(OR(G75&amp;""="0",G75&amp;""="1",G75&amp;""="2",G75&amp;""="3"),D75*VALUE(G75),0),0)</f>
        <v>0</v>
      </c>
      <c r="J75" s="11">
        <f>IF(AND(F75=1,G75="DK"),D75,0)</f>
        <v>0</v>
      </c>
      <c r="K75" s="11">
        <f>H75*Scoring!$B$6</f>
        <v>0</v>
      </c>
      <c r="L75" s="11">
        <f>IF(COUNTBLANK(F75)&gt;0,1,IF(F75=0,0,IF(COUNTBLANK(G75)&gt;0,1,IF(AND(F75=1,OR(G75="DK",OR(G75&amp;""="0",G75&amp;""="1",G75&amp;""="2",G75&amp;""="3"))),0,1))))</f>
        <v>0</v>
      </c>
      <c r="M75" s="7" t="str">
        <f>IF(COUNTBLANK(F75)&gt;0,"Invalid eligibility",IF(F75=0,"Excluded",IF(F75&lt;&gt;1,"Invalid eligibility",IF(COUNTBLANK(G75)&gt;0,"Incomplete",IF(G75="DK",IF(E75="Yes","Verify priority","Verify"),IF(NOT(OR(G75&amp;""="0",G75&amp;""="1",G75&amp;""="2",G75&amp;""="3")),"Invalid response",IF(AND(E75="Yes",VALUE(G75)&lt;=Scoring!$B$9),"Priority action",IF(VALUE(G75)&lt;Scoring!$B$6,"Improve","Maintain"))))))))</f>
        <v>Excluded</v>
      </c>
      <c r="N75" s="6" t="inlineStr">
        <is>
          <t>PART_TIME</t>
        </is>
      </c>
      <c r="O75" s="6" t="inlineStr">
        <is>
          <t>Check the pay consequence of changed part-time hours</t>
        </is>
      </c>
    </row>
    <row r="76" ht="112" customHeight="1">
      <c r="A76" s="5" t="inlineStr">
        <is>
          <t>B07</t>
        </is>
      </c>
      <c r="B76" s="5" t="inlineStr">
        <is>
          <t>PAY</t>
        </is>
      </c>
      <c r="C76" s="5" t="inlineStr">
        <is>
          <t>How do you identify when allowances or leave loading become payable?</t>
        </is>
      </c>
      <c r="D76" s="9">
        <f>'Questions'!F56</f>
        <v>3</v>
      </c>
      <c r="E76" s="9" t="str">
        <f>'Questions'!G56</f>
        <v>No</v>
      </c>
      <c r="F76" s="13" t="n">
        <v>0</v>
      </c>
      <c r="G76" s="13" t="n">
        <v>3</v>
      </c>
      <c r="H76" s="9">
        <f>IF(F76=1,D76,0)</f>
        <v>0</v>
      </c>
      <c r="I76" s="9">
        <f>IF(F76=1,IF(OR(G76&amp;""="0",G76&amp;""="1",G76&amp;""="2",G76&amp;""="3"),D76*VALUE(G76),0),0)</f>
        <v>0</v>
      </c>
      <c r="J76" s="9">
        <f>IF(AND(F76=1,G76="DK"),D76,0)</f>
        <v>0</v>
      </c>
      <c r="K76" s="9">
        <f>H76*Scoring!$B$6</f>
        <v>0</v>
      </c>
      <c r="L76" s="9">
        <f>IF(COUNTBLANK(F76)&gt;0,1,IF(F76=0,0,IF(COUNTBLANK(G76)&gt;0,1,IF(AND(F76=1,OR(G76="DK",OR(G76&amp;""="0",G76&amp;""="1",G76&amp;""="2",G76&amp;""="3"))),0,1))))</f>
        <v>0</v>
      </c>
      <c r="M76" s="25" t="str">
        <f>IF(COUNTBLANK(F76)&gt;0,"Invalid eligibility",IF(F76=0,"Excluded",IF(F76&lt;&gt;1,"Invalid eligibility",IF(COUNTBLANK(G76)&gt;0,"Incomplete",IF(G76="DK",IF(E76="Yes","Verify priority","Verify"),IF(NOT(OR(G76&amp;""="0",G76&amp;""="1",G76&amp;""="2",G76&amp;""="3")),"Invalid response",IF(AND(E76="Yes",VALUE(G76)&lt;=Scoring!$B$9),"Priority action",IF(VALUE(G76)&lt;Scoring!$B$6,"Improve","Maintain"))))))))</f>
        <v>Excluded</v>
      </c>
      <c r="N76" s="5" t="inlineStr">
        <is>
          <t>ALLOWANCE</t>
        </is>
      </c>
      <c r="O76" s="5" t="inlineStr">
        <is>
          <t>Connect each allowance to its actual trigger</t>
        </is>
      </c>
    </row>
    <row r="77" ht="112" customHeight="1">
      <c r="A77" s="6" t="inlineStr">
        <is>
          <t>B08</t>
        </is>
      </c>
      <c r="B77" s="6" t="inlineStr">
        <is>
          <t>PAY</t>
        </is>
      </c>
      <c r="C77" s="6" t="inlineStr">
        <is>
          <t>What do you check before making a non-statutory deduction from an employee's pay?</t>
        </is>
      </c>
      <c r="D77" s="11">
        <f>'Questions'!F57</f>
        <v>3</v>
      </c>
      <c r="E77" s="11" t="str">
        <f>'Questions'!G57</f>
        <v>Yes</v>
      </c>
      <c r="F77" s="13" t="n">
        <v>0</v>
      </c>
      <c r="G77" s="13" t="n">
        <v>3</v>
      </c>
      <c r="H77" s="11">
        <f>IF(F77=1,D77,0)</f>
        <v>0</v>
      </c>
      <c r="I77" s="11">
        <f>IF(F77=1,IF(OR(G77&amp;""="0",G77&amp;""="1",G77&amp;""="2",G77&amp;""="3"),D77*VALUE(G77),0),0)</f>
        <v>0</v>
      </c>
      <c r="J77" s="11">
        <f>IF(AND(F77=1,G77="DK"),D77,0)</f>
        <v>0</v>
      </c>
      <c r="K77" s="11">
        <f>H77*Scoring!$B$6</f>
        <v>0</v>
      </c>
      <c r="L77" s="11">
        <f>IF(COUNTBLANK(F77)&gt;0,1,IF(F77=0,0,IF(COUNTBLANK(G77)&gt;0,1,IF(AND(F77=1,OR(G77="DK",OR(G77&amp;""="0",G77&amp;""="1",G77&amp;""="2",G77&amp;""="3"))),0,1))))</f>
        <v>0</v>
      </c>
      <c r="M77" s="7" t="str">
        <f>IF(COUNTBLANK(F77)&gt;0,"Invalid eligibility",IF(F77=0,"Excluded",IF(F77&lt;&gt;1,"Invalid eligibility",IF(COUNTBLANK(G77)&gt;0,"Incomplete",IF(G77="DK",IF(E77="Yes","Verify priority","Verify"),IF(NOT(OR(G77&amp;""="0",G77&amp;""="1",G77&amp;""="2",G77&amp;""="3")),"Invalid response",IF(AND(E77="Yes",VALUE(G77)&lt;=Scoring!$B$9),"Priority action",IF(VALUE(G77)&lt;Scoring!$B$6,"Improve","Maintain"))))))))</f>
        <v>Excluded</v>
      </c>
      <c r="N77" s="6" t="inlineStr">
        <is>
          <t>DEDUCTION</t>
        </is>
      </c>
      <c r="O77" s="6" t="inlineStr">
        <is>
          <t>Check authority before deducting pay</t>
        </is>
      </c>
    </row>
    <row r="78" ht="112" customHeight="1">
      <c r="A78" s="5" t="inlineStr">
        <is>
          <t>B09</t>
        </is>
      </c>
      <c r="B78" s="5" t="inlineStr">
        <is>
          <t>PAY</t>
        </is>
      </c>
      <c r="C78" s="5" t="inlineStr">
        <is>
          <t>How do you check leave arrangements before a planned business shutdown?</t>
        </is>
      </c>
      <c r="D78" s="9">
        <f>'Questions'!F58</f>
        <v>2</v>
      </c>
      <c r="E78" s="9" t="str">
        <f>'Questions'!G58</f>
        <v>No</v>
      </c>
      <c r="F78" s="13" t="n">
        <v>0</v>
      </c>
      <c r="G78" s="13" t="n">
        <v>3</v>
      </c>
      <c r="H78" s="9">
        <f>IF(F78=1,D78,0)</f>
        <v>0</v>
      </c>
      <c r="I78" s="9">
        <f>IF(F78=1,IF(OR(G78&amp;""="0",G78&amp;""="1",G78&amp;""="2",G78&amp;""="3"),D78*VALUE(G78),0),0)</f>
        <v>0</v>
      </c>
      <c r="J78" s="9">
        <f>IF(AND(F78=1,G78="DK"),D78,0)</f>
        <v>0</v>
      </c>
      <c r="K78" s="9">
        <f>H78*Scoring!$B$6</f>
        <v>0</v>
      </c>
      <c r="L78" s="9">
        <f>IF(COUNTBLANK(F78)&gt;0,1,IF(F78=0,0,IF(COUNTBLANK(G78)&gt;0,1,IF(AND(F78=1,OR(G78="DK",OR(G78&amp;""="0",G78&amp;""="1",G78&amp;""="2",G78&amp;""="3"))),0,1))))</f>
        <v>0</v>
      </c>
      <c r="M78" s="25" t="str">
        <f>IF(COUNTBLANK(F78)&gt;0,"Invalid eligibility",IF(F78=0,"Excluded",IF(F78&lt;&gt;1,"Invalid eligibility",IF(COUNTBLANK(G78)&gt;0,"Incomplete",IF(G78="DK",IF(E78="Yes","Verify priority","Verify"),IF(NOT(OR(G78&amp;""="0",G78&amp;""="1",G78&amp;""="2",G78&amp;""="3")),"Invalid response",IF(AND(E78="Yes",VALUE(G78)&lt;=Scoring!$B$9),"Priority action",IF(VALUE(G78)&lt;Scoring!$B$6,"Improve","Maintain"))))))))</f>
        <v>Excluded</v>
      </c>
      <c r="N78" s="5" t="inlineStr">
        <is>
          <t>SHUTDOWN</t>
        </is>
      </c>
      <c r="O78" s="5" t="inlineStr">
        <is>
          <t>Resolve shutdown arrangements before notice is due</t>
        </is>
      </c>
    </row>
    <row r="79" ht="112" customHeight="1">
      <c r="A79" s="6" t="inlineStr">
        <is>
          <t>B10</t>
        </is>
      </c>
      <c r="B79" s="6" t="inlineStr">
        <is>
          <t>PAY</t>
        </is>
      </c>
      <c r="C79" s="6" t="inlineStr">
        <is>
          <t>How do you check a request to cash out annual leave?</t>
        </is>
      </c>
      <c r="D79" s="11">
        <f>'Questions'!F59</f>
        <v>2</v>
      </c>
      <c r="E79" s="11" t="str">
        <f>'Questions'!G59</f>
        <v>No</v>
      </c>
      <c r="F79" s="13" t="n">
        <v>0</v>
      </c>
      <c r="G79" s="13" t="n">
        <v>3</v>
      </c>
      <c r="H79" s="11">
        <f>IF(F79=1,D79,0)</f>
        <v>0</v>
      </c>
      <c r="I79" s="11">
        <f>IF(F79=1,IF(OR(G79&amp;""="0",G79&amp;""="1",G79&amp;""="2",G79&amp;""="3"),D79*VALUE(G79),0),0)</f>
        <v>0</v>
      </c>
      <c r="J79" s="11">
        <f>IF(AND(F79=1,G79="DK"),D79,0)</f>
        <v>0</v>
      </c>
      <c r="K79" s="11">
        <f>H79*Scoring!$B$6</f>
        <v>0</v>
      </c>
      <c r="L79" s="11">
        <f>IF(COUNTBLANK(F79)&gt;0,1,IF(F79=0,0,IF(COUNTBLANK(G79)&gt;0,1,IF(AND(F79=1,OR(G79="DK",OR(G79&amp;""="0",G79&amp;""="1",G79&amp;""="2",G79&amp;""="3"))),0,1))))</f>
        <v>0</v>
      </c>
      <c r="M79" s="7" t="str">
        <f>IF(COUNTBLANK(F79)&gt;0,"Invalid eligibility",IF(F79=0,"Excluded",IF(F79&lt;&gt;1,"Invalid eligibility",IF(COUNTBLANK(G79)&gt;0,"Incomplete",IF(G79="DK",IF(E79="Yes","Verify priority","Verify"),IF(NOT(OR(G79&amp;""="0",G79&amp;""="1",G79&amp;""="2",G79&amp;""="3")),"Invalid response",IF(AND(E79="Yes",VALUE(G79)&lt;=Scoring!$B$9),"Priority action",IF(VALUE(G79)&lt;Scoring!$B$6,"Improve","Maintain"))))))))</f>
        <v>Excluded</v>
      </c>
      <c r="N79" s="6" t="inlineStr">
        <is>
          <t>CASHOUT</t>
        </is>
      </c>
      <c r="O79" s="6" t="inlineStr">
        <is>
          <t>Treat every leave cash-out as a separate decision</t>
        </is>
      </c>
    </row>
    <row r="80" ht="112" customHeight="1">
      <c r="A80" s="5" t="inlineStr">
        <is>
          <t>B11</t>
        </is>
      </c>
      <c r="B80" s="5" t="inlineStr">
        <is>
          <t>PAY</t>
        </is>
      </c>
      <c r="C80" s="5" t="inlineStr">
        <is>
          <t>How have you checked portable long service leave obligations for your industry and work locations?</t>
        </is>
      </c>
      <c r="D80" s="9">
        <f>'Questions'!F60</f>
        <v>2</v>
      </c>
      <c r="E80" s="9" t="str">
        <f>'Questions'!G60</f>
        <v>No</v>
      </c>
      <c r="F80" s="13" t="n">
        <v>0</v>
      </c>
      <c r="G80" s="13" t="n">
        <v>3</v>
      </c>
      <c r="H80" s="9">
        <f>IF(F80=1,D80,0)</f>
        <v>0</v>
      </c>
      <c r="I80" s="9">
        <f>IF(F80=1,IF(OR(G80&amp;""="0",G80&amp;""="1",G80&amp;""="2",G80&amp;""="3"),D80*VALUE(G80),0),0)</f>
        <v>0</v>
      </c>
      <c r="J80" s="9">
        <f>IF(AND(F80=1,G80="DK"),D80,0)</f>
        <v>0</v>
      </c>
      <c r="K80" s="9">
        <f>H80*Scoring!$B$6</f>
        <v>0</v>
      </c>
      <c r="L80" s="9">
        <f>IF(COUNTBLANK(F80)&gt;0,1,IF(F80=0,0,IF(COUNTBLANK(G80)&gt;0,1,IF(AND(F80=1,OR(G80="DK",OR(G80&amp;""="0",G80&amp;""="1",G80&amp;""="2",G80&amp;""="3"))),0,1))))</f>
        <v>0</v>
      </c>
      <c r="M80" s="25" t="str">
        <f>IF(COUNTBLANK(F80)&gt;0,"Invalid eligibility",IF(F80=0,"Excluded",IF(F80&lt;&gt;1,"Invalid eligibility",IF(COUNTBLANK(G80)&gt;0,"Incomplete",IF(G80="DK",IF(E80="Yes","Verify priority","Verify"),IF(NOT(OR(G80&amp;""="0",G80&amp;""="1",G80&amp;""="2",G80&amp;""="3")),"Invalid response",IF(AND(E80="Yes",VALUE(G80)&lt;=Scoring!$B$9),"Priority action",IF(VALUE(G80)&lt;Scoring!$B$6,"Improve","Maintain"))))))))</f>
        <v>Excluded</v>
      </c>
      <c r="N80" s="5" t="inlineStr">
        <is>
          <t>PORTABLE</t>
        </is>
      </c>
      <c r="O80" s="5" t="inlineStr">
        <is>
          <t>Check the applicable scheme, not a general industry label</t>
        </is>
      </c>
    </row>
    <row r="81" ht="112" customHeight="1">
      <c r="A81" s="6" t="inlineStr">
        <is>
          <t>B12</t>
        </is>
      </c>
      <c r="B81" s="6" t="inlineStr">
        <is>
          <t>CON</t>
        </is>
      </c>
      <c r="C81" s="6" t="inlineStr">
        <is>
          <t>How have you checked any individual flexibility arrangements used by the business?</t>
        </is>
      </c>
      <c r="D81" s="11">
        <f>'Questions'!F61</f>
        <v>2</v>
      </c>
      <c r="E81" s="11" t="str">
        <f>'Questions'!G61</f>
        <v>No</v>
      </c>
      <c r="F81" s="13" t="n">
        <v>0</v>
      </c>
      <c r="G81" s="13" t="n">
        <v>3</v>
      </c>
      <c r="H81" s="11">
        <f>IF(F81=1,D81,0)</f>
        <v>0</v>
      </c>
      <c r="I81" s="11">
        <f>IF(F81=1,IF(OR(G81&amp;""="0",G81&amp;""="1",G81&amp;""="2",G81&amp;""="3"),D81*VALUE(G81),0),0)</f>
        <v>0</v>
      </c>
      <c r="J81" s="11">
        <f>IF(AND(F81=1,G81="DK"),D81,0)</f>
        <v>0</v>
      </c>
      <c r="K81" s="11">
        <f>H81*Scoring!$B$6</f>
        <v>0</v>
      </c>
      <c r="L81" s="11">
        <f>IF(COUNTBLANK(F81)&gt;0,1,IF(F81=0,0,IF(COUNTBLANK(G81)&gt;0,1,IF(AND(F81=1,OR(G81="DK",OR(G81&amp;""="0",G81&amp;""="1",G81&amp;""="2",G81&amp;""="3"))),0,1))))</f>
        <v>0</v>
      </c>
      <c r="M81" s="7" t="str">
        <f>IF(COUNTBLANK(F81)&gt;0,"Invalid eligibility",IF(F81=0,"Excluded",IF(F81&lt;&gt;1,"Invalid eligibility",IF(COUNTBLANK(G81)&gt;0,"Incomplete",IF(G81="DK",IF(E81="Yes","Verify priority","Verify"),IF(NOT(OR(G81&amp;""="0",G81&amp;""="1",G81&amp;""="2",G81&amp;""="3")),"Invalid response",IF(AND(E81="Yes",VALUE(G81)&lt;=Scoring!$B$9),"Priority action",IF(VALUE(G81)&lt;Scoring!$B$6,"Improve","Maintain"))))))))</f>
        <v>Excluded</v>
      </c>
      <c r="N81" s="6" t="inlineStr">
        <is>
          <t>IFA</t>
        </is>
      </c>
      <c r="O81" s="6" t="inlineStr">
        <is>
          <t>Confirm the flexibility arrangement is the right legal mechanism</t>
        </is>
      </c>
    </row>
    <row r="82" ht="112" customHeight="1">
      <c r="A82" s="5" t="inlineStr">
        <is>
          <t>B13</t>
        </is>
      </c>
      <c r="B82" s="5" t="inlineStr">
        <is>
          <t>ONB</t>
        </is>
      </c>
      <c r="C82" s="5" t="inlineStr">
        <is>
          <t>How do you verify and monitor the credentials required for regulated or safety-critical work?</t>
        </is>
      </c>
      <c r="D82" s="9">
        <f>'Questions'!F62</f>
        <v>3</v>
      </c>
      <c r="E82" s="9" t="str">
        <f>'Questions'!G62</f>
        <v>Yes</v>
      </c>
      <c r="F82" s="13" t="n">
        <v>0</v>
      </c>
      <c r="G82" s="13" t="n">
        <v>3</v>
      </c>
      <c r="H82" s="9">
        <f>IF(F82=1,D82,0)</f>
        <v>0</v>
      </c>
      <c r="I82" s="9">
        <f>IF(F82=1,IF(OR(G82&amp;""="0",G82&amp;""="1",G82&amp;""="2",G82&amp;""="3"),D82*VALUE(G82),0),0)</f>
        <v>0</v>
      </c>
      <c r="J82" s="9">
        <f>IF(AND(F82=1,G82="DK"),D82,0)</f>
        <v>0</v>
      </c>
      <c r="K82" s="9">
        <f>H82*Scoring!$B$6</f>
        <v>0</v>
      </c>
      <c r="L82" s="9">
        <f>IF(COUNTBLANK(F82)&gt;0,1,IF(F82=0,0,IF(COUNTBLANK(G82)&gt;0,1,IF(AND(F82=1,OR(G82="DK",OR(G82&amp;""="0",G82&amp;""="1",G82&amp;""="2",G82&amp;""="3"))),0,1))))</f>
        <v>0</v>
      </c>
      <c r="M82" s="25" t="str">
        <f>IF(COUNTBLANK(F82)&gt;0,"Invalid eligibility",IF(F82=0,"Excluded",IF(F82&lt;&gt;1,"Invalid eligibility",IF(COUNTBLANK(G82)&gt;0,"Incomplete",IF(G82="DK",IF(E82="Yes","Verify priority","Verify"),IF(NOT(OR(G82&amp;""="0",G82&amp;""="1",G82&amp;""="2",G82&amp;""="3")),"Invalid response",IF(AND(E82="Yes",VALUE(G82)&lt;=Scoring!$B$9),"Priority action",IF(VALUE(G82)&lt;Scoring!$B$6,"Improve","Maintain"))))))))</f>
        <v>Excluded</v>
      </c>
      <c r="N82" s="5" t="inlineStr">
        <is>
          <t>CREDENTIAL</t>
        </is>
      </c>
      <c r="O82" s="5" t="inlineStr">
        <is>
          <t>Keep required credentials current</t>
        </is>
      </c>
    </row>
    <row r="83" ht="112" customHeight="1">
      <c r="A83" s="6" t="inlineStr">
        <is>
          <t>B14</t>
        </is>
      </c>
      <c r="B83" s="6" t="inlineStr">
        <is>
          <t>DAT</t>
        </is>
      </c>
      <c r="C83" s="6" t="inlineStr">
        <is>
          <t>How do you oversee AI or automated tools that influence decisions about applicants or employees?</t>
        </is>
      </c>
      <c r="D83" s="11">
        <f>'Questions'!F63</f>
        <v>2</v>
      </c>
      <c r="E83" s="11" t="str">
        <f>'Questions'!G63</f>
        <v>No</v>
      </c>
      <c r="F83" s="13" t="n">
        <v>0</v>
      </c>
      <c r="G83" s="13" t="n">
        <v>3</v>
      </c>
      <c r="H83" s="11">
        <f>IF(F83=1,D83,0)</f>
        <v>0</v>
      </c>
      <c r="I83" s="11">
        <f>IF(F83=1,IF(OR(G83&amp;""="0",G83&amp;""="1",G83&amp;""="2",G83&amp;""="3"),D83*VALUE(G83),0),0)</f>
        <v>0</v>
      </c>
      <c r="J83" s="11">
        <f>IF(AND(F83=1,G83="DK"),D83,0)</f>
        <v>0</v>
      </c>
      <c r="K83" s="11">
        <f>H83*Scoring!$B$6</f>
        <v>0</v>
      </c>
      <c r="L83" s="11">
        <f>IF(COUNTBLANK(F83)&gt;0,1,IF(F83=0,0,IF(COUNTBLANK(G83)&gt;0,1,IF(AND(F83=1,OR(G83="DK",OR(G83&amp;""="0",G83&amp;""="1",G83&amp;""="2",G83&amp;""="3"))),0,1))))</f>
        <v>0</v>
      </c>
      <c r="M83" s="7" t="str">
        <f>IF(COUNTBLANK(F83)&gt;0,"Invalid eligibility",IF(F83=0,"Excluded",IF(F83&lt;&gt;1,"Invalid eligibility",IF(COUNTBLANK(G83)&gt;0,"Incomplete",IF(G83="DK",IF(E83="Yes","Verify priority","Verify"),IF(NOT(OR(G83&amp;""="0",G83&amp;""="1",G83&amp;""="2",G83&amp;""="3")),"Invalid response",IF(AND(E83="Yes",VALUE(G83)&lt;=Scoring!$B$9),"Priority action",IF(VALUE(G83)&lt;Scoring!$B$6,"Improve","Maintain"))))))))</f>
        <v>Excluded</v>
      </c>
      <c r="N83" s="6" t="inlineStr">
        <is>
          <t>AI</t>
        </is>
      </c>
      <c r="O83" s="6" t="inlineStr">
        <is>
          <t>Keep responsibility for technology-assisted people decisions</t>
        </is>
      </c>
    </row>
    <row r="84" ht="112" customHeight="1">
      <c r="A84" s="5" t="inlineStr">
        <is>
          <t>B15</t>
        </is>
      </c>
      <c r="B84" s="5" t="inlineStr">
        <is>
          <t>WHS</t>
        </is>
      </c>
      <c r="C84" s="5" t="inlineStr">
        <is>
          <t>How do you check safety arrangements for people working remotely, alone, across sites or at client premises?</t>
        </is>
      </c>
      <c r="D84" s="9">
        <f>'Questions'!F64</f>
        <v>2</v>
      </c>
      <c r="E84" s="9" t="str">
        <f>'Questions'!G64</f>
        <v>No</v>
      </c>
      <c r="F84" s="13" t="n">
        <v>0</v>
      </c>
      <c r="G84" s="13" t="n">
        <v>3</v>
      </c>
      <c r="H84" s="9">
        <f>IF(F84=1,D84,0)</f>
        <v>0</v>
      </c>
      <c r="I84" s="9">
        <f>IF(F84=1,IF(OR(G84&amp;""="0",G84&amp;""="1",G84&amp;""="2",G84&amp;""="3"),D84*VALUE(G84),0),0)</f>
        <v>0</v>
      </c>
      <c r="J84" s="9">
        <f>IF(AND(F84=1,G84="DK"),D84,0)</f>
        <v>0</v>
      </c>
      <c r="K84" s="9">
        <f>H84*Scoring!$B$6</f>
        <v>0</v>
      </c>
      <c r="L84" s="9">
        <f>IF(COUNTBLANK(F84)&gt;0,1,IF(F84=0,0,IF(COUNTBLANK(G84)&gt;0,1,IF(AND(F84=1,OR(G84="DK",OR(G84&amp;""="0",G84&amp;""="1",G84&amp;""="2",G84&amp;""="3"))),0,1))))</f>
        <v>0</v>
      </c>
      <c r="M84" s="25" t="str">
        <f>IF(COUNTBLANK(F84)&gt;0,"Invalid eligibility",IF(F84=0,"Excluded",IF(F84&lt;&gt;1,"Invalid eligibility",IF(COUNTBLANK(G84)&gt;0,"Incomplete",IF(G84="DK",IF(E84="Yes","Verify priority","Verify"),IF(NOT(OR(G84&amp;""="0",G84&amp;""="1",G84&amp;""="2",G84&amp;""="3")),"Invalid response",IF(AND(E84="Yes",VALUE(G84)&lt;=Scoring!$B$9),"Priority action",IF(VALUE(G84)&lt;Scoring!$B$6,"Improve","Maintain"))))))))</f>
        <v>Excluded</v>
      </c>
      <c r="N84" s="5" t="inlineStr">
        <is>
          <t>REMOTE</t>
        </is>
      </c>
      <c r="O84" s="5" t="inlineStr">
        <is>
          <t>Extend safety checks beyond the main workplace</t>
        </is>
      </c>
    </row>
    <row r="85" ht="112" customHeight="1">
      <c r="A85" s="6" t="inlineStr">
        <is>
          <t>B16</t>
        </is>
      </c>
      <c r="B85" s="6" t="inlineStr">
        <is>
          <t>CUL</t>
        </is>
      </c>
      <c r="C85" s="6" t="inlineStr">
        <is>
          <t>How do you confirm and meet any WGEA reporting obligations that apply to the organisation or group?</t>
        </is>
      </c>
      <c r="D85" s="11">
        <f>'Questions'!F65</f>
        <v>2</v>
      </c>
      <c r="E85" s="11" t="str">
        <f>'Questions'!G65</f>
        <v>No</v>
      </c>
      <c r="F85" s="13" t="n">
        <v>0</v>
      </c>
      <c r="G85" s="13" t="n">
        <v>3</v>
      </c>
      <c r="H85" s="11">
        <f>IF(F85=1,D85,0)</f>
        <v>0</v>
      </c>
      <c r="I85" s="11">
        <f>IF(F85=1,IF(OR(G85&amp;""="0",G85&amp;""="1",G85&amp;""="2",G85&amp;""="3"),D85*VALUE(G85),0),0)</f>
        <v>0</v>
      </c>
      <c r="J85" s="11">
        <f>IF(AND(F85=1,G85="DK"),D85,0)</f>
        <v>0</v>
      </c>
      <c r="K85" s="11">
        <f>H85*Scoring!$B$6</f>
        <v>0</v>
      </c>
      <c r="L85" s="11">
        <f>IF(COUNTBLANK(F85)&gt;0,1,IF(F85=0,0,IF(COUNTBLANK(G85)&gt;0,1,IF(AND(F85=1,OR(G85="DK",OR(G85&amp;""="0",G85&amp;""="1",G85&amp;""="2",G85&amp;""="3"))),0,1))))</f>
        <v>0</v>
      </c>
      <c r="M85" s="7" t="str">
        <f>IF(COUNTBLANK(F85)&gt;0,"Invalid eligibility",IF(F85=0,"Excluded",IF(F85&lt;&gt;1,"Invalid eligibility",IF(COUNTBLANK(G85)&gt;0,"Incomplete",IF(G85="DK",IF(E85="Yes","Verify priority","Verify"),IF(NOT(OR(G85&amp;""="0",G85&amp;""="1",G85&amp;""="2",G85&amp;""="3")),"Invalid response",IF(AND(E85="Yes",VALUE(G85)&lt;=Scoring!$B$9),"Priority action",IF(VALUE(G85)&lt;Scoring!$B$6,"Improve","Maintain"))))))))</f>
        <v>Excluded</v>
      </c>
      <c r="N85" s="6" t="inlineStr">
        <is>
          <t>WGEA</t>
        </is>
      </c>
      <c r="O85" s="6" t="inlineStr">
        <is>
          <t>Check the reporting scope at organisation and group level</t>
        </is>
      </c>
    </row>
    <row r="86" ht="112" customHeight="1">
      <c r="A86" s="5" t="inlineStr">
        <is>
          <t>B17</t>
        </is>
      </c>
      <c r="B86" s="5" t="inlineStr">
        <is>
          <t>EXT</t>
        </is>
      </c>
      <c r="C86" s="5" t="inlineStr">
        <is>
          <t>What do you check before proceeding with a proposed redundancy?</t>
        </is>
      </c>
      <c r="D86" s="9">
        <f>'Questions'!F66</f>
        <v>3</v>
      </c>
      <c r="E86" s="9" t="str">
        <f>'Questions'!G66</f>
        <v>Yes</v>
      </c>
      <c r="F86" s="13" t="n">
        <v>0</v>
      </c>
      <c r="G86" s="13" t="n">
        <v>3</v>
      </c>
      <c r="H86" s="9">
        <f>IF(F86=1,D86,0)</f>
        <v>0</v>
      </c>
      <c r="I86" s="9">
        <f>IF(F86=1,IF(OR(G86&amp;""="0",G86&amp;""="1",G86&amp;""="2",G86&amp;""="3"),D86*VALUE(G86),0),0)</f>
        <v>0</v>
      </c>
      <c r="J86" s="9">
        <f>IF(AND(F86=1,G86="DK"),D86,0)</f>
        <v>0</v>
      </c>
      <c r="K86" s="9">
        <f>H86*Scoring!$B$6</f>
        <v>0</v>
      </c>
      <c r="L86" s="9">
        <f>IF(COUNTBLANK(F86)&gt;0,1,IF(F86=0,0,IF(COUNTBLANK(G86)&gt;0,1,IF(AND(F86=1,OR(G86="DK",OR(G86&amp;""="0",G86&amp;""="1",G86&amp;""="2",G86&amp;""="3"))),0,1))))</f>
        <v>0</v>
      </c>
      <c r="M86" s="25" t="str">
        <f>IF(COUNTBLANK(F86)&gt;0,"Invalid eligibility",IF(F86=0,"Excluded",IF(F86&lt;&gt;1,"Invalid eligibility",IF(COUNTBLANK(G86)&gt;0,"Incomplete",IF(G86="DK",IF(E86="Yes","Verify priority","Verify"),IF(NOT(OR(G86&amp;""="0",G86&amp;""="1",G86&amp;""="2",G86&amp;""="3")),"Invalid response",IF(AND(E86="Yes",VALUE(G86)&lt;=Scoring!$B$9),"Priority action",IF(VALUE(G86)&lt;Scoring!$B$6,"Improve","Maintain"))))))))</f>
        <v>Excluded</v>
      </c>
      <c r="N86" s="5" t="inlineStr">
        <is>
          <t>REDUNDANCY</t>
        </is>
      </c>
      <c r="O86" s="5" t="inlineStr">
        <is>
          <t>Test the redundancy process, not only the payment</t>
        </is>
      </c>
    </row>
    <row r="87" ht="112" customHeight="1">
      <c r="A87" s="6" t="inlineStr">
        <is>
          <t>B18</t>
        </is>
      </c>
      <c r="B87" s="6" t="inlineStr">
        <is>
          <t>PER</t>
        </is>
      </c>
      <c r="C87" s="6" t="inlineStr">
        <is>
          <t>How do you check that people-management decisions are applied consistently across managers or sites?</t>
        </is>
      </c>
      <c r="D87" s="11">
        <f>'Questions'!F67</f>
        <v>2</v>
      </c>
      <c r="E87" s="11" t="str">
        <f>'Questions'!G67</f>
        <v>No</v>
      </c>
      <c r="F87" s="13" t="n">
        <v>0</v>
      </c>
      <c r="G87" s="13" t="n">
        <v>3</v>
      </c>
      <c r="H87" s="11">
        <f>IF(F87=1,D87,0)</f>
        <v>0</v>
      </c>
      <c r="I87" s="11">
        <f>IF(F87=1,IF(OR(G87&amp;""="0",G87&amp;""="1",G87&amp;""="2",G87&amp;""="3"),D87*VALUE(G87),0),0)</f>
        <v>0</v>
      </c>
      <c r="J87" s="11">
        <f>IF(AND(F87=1,G87="DK"),D87,0)</f>
        <v>0</v>
      </c>
      <c r="K87" s="11">
        <f>H87*Scoring!$B$6</f>
        <v>0</v>
      </c>
      <c r="L87" s="11">
        <f>IF(COUNTBLANK(F87)&gt;0,1,IF(F87=0,0,IF(COUNTBLANK(G87)&gt;0,1,IF(AND(F87=1,OR(G87="DK",OR(G87&amp;""="0",G87&amp;""="1",G87&amp;""="2",G87&amp;""="3"))),0,1))))</f>
        <v>0</v>
      </c>
      <c r="M87" s="7" t="str">
        <f>IF(COUNTBLANK(F87)&gt;0,"Invalid eligibility",IF(F87=0,"Excluded",IF(F87&lt;&gt;1,"Invalid eligibility",IF(COUNTBLANK(G87)&gt;0,"Incomplete",IF(G87="DK",IF(E87="Yes","Verify priority","Verify"),IF(NOT(OR(G87&amp;""="0",G87&amp;""="1",G87&amp;""="2",G87&amp;""="3")),"Invalid response",IF(AND(E87="Yes",VALUE(G87)&lt;=Scoring!$B$9),"Priority action",IF(VALUE(G87)&lt;Scoring!$B$6,"Improve","Maintain"))))))))</f>
        <v>Excluded</v>
      </c>
      <c r="N87" s="6" t="inlineStr">
        <is>
          <t>MANAGERS</t>
        </is>
      </c>
      <c r="O87" s="6" t="inlineStr">
        <is>
          <t>Test consistency where decisions are made</t>
        </is>
      </c>
    </row>
    <row r="88" ht="112" customHeight="1">
      <c r="A88" s="5" t="inlineStr">
        <is>
          <t>B19</t>
        </is>
      </c>
      <c r="B88" s="5" t="inlineStr">
        <is>
          <t>POL</t>
        </is>
      </c>
      <c r="C88" s="5" t="inlineStr">
        <is>
          <t>How are expectations for contact outside working hours agreed and applied?</t>
        </is>
      </c>
      <c r="D88" s="9">
        <f>'Questions'!F68</f>
        <v>2</v>
      </c>
      <c r="E88" s="9" t="str">
        <f>'Questions'!G68</f>
        <v>No</v>
      </c>
      <c r="F88" s="13" t="n">
        <v>0</v>
      </c>
      <c r="G88" s="13" t="n">
        <v>3</v>
      </c>
      <c r="H88" s="9">
        <f>IF(F88=1,D88,0)</f>
        <v>0</v>
      </c>
      <c r="I88" s="9">
        <f>IF(F88=1,IF(OR(G88&amp;""="0",G88&amp;""="1",G88&amp;""="2",G88&amp;""="3"),D88*VALUE(G88),0),0)</f>
        <v>0</v>
      </c>
      <c r="J88" s="9">
        <f>IF(AND(F88=1,G88="DK"),D88,0)</f>
        <v>0</v>
      </c>
      <c r="K88" s="9">
        <f>H88*Scoring!$B$6</f>
        <v>0</v>
      </c>
      <c r="L88" s="9">
        <f>IF(COUNTBLANK(F88)&gt;0,1,IF(F88=0,0,IF(COUNTBLANK(G88)&gt;0,1,IF(AND(F88=1,OR(G88="DK",OR(G88&amp;""="0",G88&amp;""="1",G88&amp;""="2",G88&amp;""="3"))),0,1))))</f>
        <v>0</v>
      </c>
      <c r="M88" s="25" t="str">
        <f>IF(COUNTBLANK(F88)&gt;0,"Invalid eligibility",IF(F88=0,"Excluded",IF(F88&lt;&gt;1,"Invalid eligibility",IF(COUNTBLANK(G88)&gt;0,"Incomplete",IF(G88="DK",IF(E88="Yes","Verify priority","Verify"),IF(NOT(OR(G88&amp;""="0",G88&amp;""="1",G88&amp;""="2",G88&amp;""="3")),"Invalid response",IF(AND(E88="Yes",VALUE(G88)&lt;=Scoring!$B$9),"Priority action",IF(VALUE(G88)&lt;Scoring!$B$6,"Improve","Maintain"))))))))</f>
        <v>Excluded</v>
      </c>
      <c r="N88" s="5" t="inlineStr">
        <is>
          <t>AFTER_HOURS</t>
        </is>
      </c>
      <c r="O88" s="5" t="inlineStr">
        <is>
          <t>Make after-hours expectations explicit</t>
        </is>
      </c>
    </row>
    <row r="89" ht="112" customHeight="1">
      <c r="A89" s="6" t="inlineStr">
        <is>
          <t>B20</t>
        </is>
      </c>
      <c r="B89" s="6" t="inlineStr">
        <is>
          <t>PAY</t>
        </is>
      </c>
      <c r="C89" s="6" t="inlineStr">
        <is>
          <t>How do you keep enterprise agreement requirements visible in payroll and people decisions?</t>
        </is>
      </c>
      <c r="D89" s="11">
        <f>'Questions'!F69</f>
        <v>3</v>
      </c>
      <c r="E89" s="11" t="str">
        <f>'Questions'!G69</f>
        <v>No</v>
      </c>
      <c r="F89" s="13" t="n">
        <v>0</v>
      </c>
      <c r="G89" s="13" t="n">
        <v>3</v>
      </c>
      <c r="H89" s="11">
        <f>IF(F89=1,D89,0)</f>
        <v>0</v>
      </c>
      <c r="I89" s="11">
        <f>IF(F89=1,IF(OR(G89&amp;""="0",G89&amp;""="1",G89&amp;""="2",G89&amp;""="3"),D89*VALUE(G89),0),0)</f>
        <v>0</v>
      </c>
      <c r="J89" s="11">
        <f>IF(AND(F89=1,G89="DK"),D89,0)</f>
        <v>0</v>
      </c>
      <c r="K89" s="11">
        <f>H89*Scoring!$B$6</f>
        <v>0</v>
      </c>
      <c r="L89" s="11">
        <f>IF(COUNTBLANK(F89)&gt;0,1,IF(F89=0,0,IF(COUNTBLANK(G89)&gt;0,1,IF(AND(F89=1,OR(G89="DK",OR(G89&amp;""="0",G89&amp;""="1",G89&amp;""="2",G89&amp;""="3"))),0,1))))</f>
        <v>0</v>
      </c>
      <c r="M89" s="7" t="str">
        <f>IF(COUNTBLANK(F89)&gt;0,"Invalid eligibility",IF(F89=0,"Excluded",IF(F89&lt;&gt;1,"Invalid eligibility",IF(COUNTBLANK(G89)&gt;0,"Incomplete",IF(G89="DK",IF(E89="Yes","Verify priority","Verify"),IF(NOT(OR(G89&amp;""="0",G89&amp;""="1",G89&amp;""="2",G89&amp;""="3")),"Invalid response",IF(AND(E89="Yes",VALUE(G89)&lt;=Scoring!$B$9),"Priority action",IF(VALUE(G89)&lt;Scoring!$B$6,"Improve","Maintain"))))))))</f>
        <v>Excluded</v>
      </c>
      <c r="N89" s="6" t="inlineStr">
        <is>
          <t>AGREEMENT</t>
        </is>
      </c>
      <c r="O89" s="6" t="inlineStr">
        <is>
          <t>Use the actual agreement, not a generic award checklist</t>
        </is>
      </c>
    </row>
    <row r="90" ht="112" customHeight="1">
      <c r="A90" s="5" t="inlineStr">
        <is>
          <t>B21</t>
        </is>
      </c>
      <c r="B90" s="5" t="inlineStr">
        <is>
          <t>POL</t>
        </is>
      </c>
      <c r="C90" s="5" t="inlineStr">
        <is>
          <t>How do you plan consultation when changing work, technology, rosters or organisational structure?</t>
        </is>
      </c>
      <c r="D90" s="9">
        <f>'Questions'!F70</f>
        <v>2</v>
      </c>
      <c r="E90" s="9" t="str">
        <f>'Questions'!G70</f>
        <v>No</v>
      </c>
      <c r="F90" s="13" t="n">
        <v>0</v>
      </c>
      <c r="G90" s="13" t="n">
        <v>3</v>
      </c>
      <c r="H90" s="9">
        <f>IF(F90=1,D90,0)</f>
        <v>0</v>
      </c>
      <c r="I90" s="9">
        <f>IF(F90=1,IF(OR(G90&amp;""="0",G90&amp;""="1",G90&amp;""="2",G90&amp;""="3"),D90*VALUE(G90),0),0)</f>
        <v>0</v>
      </c>
      <c r="J90" s="9">
        <f>IF(AND(F90=1,G90="DK"),D90,0)</f>
        <v>0</v>
      </c>
      <c r="K90" s="9">
        <f>H90*Scoring!$B$6</f>
        <v>0</v>
      </c>
      <c r="L90" s="9">
        <f>IF(COUNTBLANK(F90)&gt;0,1,IF(F90=0,0,IF(COUNTBLANK(G90)&gt;0,1,IF(AND(F90=1,OR(G90="DK",OR(G90&amp;""="0",G90&amp;""="1",G90&amp;""="2",G90&amp;""="3"))),0,1))))</f>
        <v>0</v>
      </c>
      <c r="M90" s="25" t="str">
        <f>IF(COUNTBLANK(F90)&gt;0,"Invalid eligibility",IF(F90=0,"Excluded",IF(F90&lt;&gt;1,"Invalid eligibility",IF(COUNTBLANK(G90)&gt;0,"Incomplete",IF(G90="DK",IF(E90="Yes","Verify priority","Verify"),IF(NOT(OR(G90&amp;""="0",G90&amp;""="1",G90&amp;""="2",G90&amp;""="3")),"Invalid response",IF(AND(E90="Yes",VALUE(G90)&lt;=Scoring!$B$9),"Priority action",IF(VALUE(G90)&lt;Scoring!$B$6,"Improve","Maintain"))))))))</f>
        <v>Excluded</v>
      </c>
      <c r="N90" s="5" t="inlineStr">
        <is>
          <t>CHANGE</t>
        </is>
      </c>
      <c r="O90" s="5" t="inlineStr">
        <is>
          <t>Build consultation into the change plan</t>
        </is>
      </c>
    </row>
    <row r="91" ht="112" customHeight="1">
      <c r="A91" s="6" t="inlineStr">
        <is>
          <t>B22</t>
        </is>
      </c>
      <c r="B91" s="6" t="inlineStr">
        <is>
          <t>PAY</t>
        </is>
      </c>
      <c r="C91" s="6" t="inlineStr">
        <is>
          <t>How do you check pay and employment conditions for juniors, apprentices or trainees?</t>
        </is>
      </c>
      <c r="D91" s="11">
        <f>'Questions'!F71</f>
        <v>3</v>
      </c>
      <c r="E91" s="11" t="str">
        <f>'Questions'!G71</f>
        <v>No</v>
      </c>
      <c r="F91" s="13" t="n">
        <v>0</v>
      </c>
      <c r="G91" s="13" t="n">
        <v>3</v>
      </c>
      <c r="H91" s="11">
        <f>IF(F91=1,D91,0)</f>
        <v>0</v>
      </c>
      <c r="I91" s="11">
        <f>IF(F91=1,IF(OR(G91&amp;""="0",G91&amp;""="1",G91&amp;""="2",G91&amp;""="3"),D91*VALUE(G91),0),0)</f>
        <v>0</v>
      </c>
      <c r="J91" s="11">
        <f>IF(AND(F91=1,G91="DK"),D91,0)</f>
        <v>0</v>
      </c>
      <c r="K91" s="11">
        <f>H91*Scoring!$B$6</f>
        <v>0</v>
      </c>
      <c r="L91" s="11">
        <f>IF(COUNTBLANK(F91)&gt;0,1,IF(F91=0,0,IF(COUNTBLANK(G91)&gt;0,1,IF(AND(F91=1,OR(G91="DK",OR(G91&amp;""="0",G91&amp;""="1",G91&amp;""="2",G91&amp;""="3"))),0,1))))</f>
        <v>0</v>
      </c>
      <c r="M91" s="7" t="str">
        <f>IF(COUNTBLANK(F91)&gt;0,"Invalid eligibility",IF(F91=0,"Excluded",IF(F91&lt;&gt;1,"Invalid eligibility",IF(COUNTBLANK(G91)&gt;0,"Incomplete",IF(G91="DK",IF(E91="Yes","Verify priority","Verify"),IF(NOT(OR(G91&amp;""="0",G91&amp;""="1",G91&amp;""="2",G91&amp;""="3")),"Invalid response",IF(AND(E91="Yes",VALUE(G91)&lt;=Scoring!$B$9),"Priority action",IF(VALUE(G91)&lt;Scoring!$B$6,"Improve","Maintain"))))))))</f>
        <v>Excluded</v>
      </c>
      <c r="N91" s="6" t="inlineStr">
        <is>
          <t>JUNIOR</t>
        </is>
      </c>
      <c r="O91" s="6" t="inlineStr">
        <is>
          <t>Keep special-rate eligibility and progression current</t>
        </is>
      </c>
    </row>
    <row r="92" ht="100" customHeight="1">
      <c r="A92" s="6" t="inlineStr">
        <is>
          <t>B23</t>
        </is>
      </c>
      <c r="B92" s="6" t="inlineStr">
        <is>
          <t>PAY</t>
        </is>
      </c>
      <c r="C92" s="6" t="inlineStr">
        <is>
          <t>How do you resolve a suspected or identified pay shortfall, including its cause and any earlier payments?</t>
        </is>
      </c>
      <c r="D92" s="11">
        <f>'Questions'!F72</f>
        <v>3</v>
      </c>
      <c r="E92" s="11" t="str">
        <f>'Questions'!G72</f>
        <v>Yes</v>
      </c>
      <c r="F92" s="13" t="n">
        <v>0</v>
      </c>
      <c r="G92" s="13" t="n">
        <v>3</v>
      </c>
      <c r="H92" s="11">
        <f>IF(F92=1,D92,0)</f>
        <v>0</v>
      </c>
      <c r="I92" s="11">
        <f>IF(F92=1,IF(OR(G92&amp;""="0",G92&amp;""="1",G92&amp;""="2",G92&amp;""="3"),D92*VALUE(G92),0),0)</f>
        <v>0</v>
      </c>
      <c r="J92" s="11">
        <f>IF(AND(F92=1,G92="DK"),D92,0)</f>
        <v>0</v>
      </c>
      <c r="K92" s="11">
        <f>H92*Scoring!$B$6</f>
        <v>0</v>
      </c>
      <c r="L92" s="11">
        <f>IF(COUNTBLANK(F92)&gt;0,1,IF(F92=0,0,IF(COUNTBLANK(G92)&gt;0,1,IF(AND(F92=1,OR(G92="DK",OR(G92&amp;""="0",G92&amp;""="1",G92&amp;""="2",G92&amp;""="3"))),0,1))))</f>
        <v>0</v>
      </c>
      <c r="M92" s="7" t="str">
        <f>IF(COUNTBLANK(F92)&gt;0,"Invalid eligibility",IF(F92=0,"Excluded",IF(F92&lt;&gt;1,"Invalid eligibility",IF(COUNTBLANK(G92)&gt;0,"Incomplete",IF(G92="DK",IF(E92="Yes","Verify priority","Verify"),IF(NOT(OR(G92&amp;""="0",G92&amp;""="1",G92&amp;""="2",G92&amp;""="3")),"Invalid response",IF(AND(E92="Yes",VALUE(G92)&lt;=Scoring!$B$9),"Priority action",IF(VALUE(G92)&lt;Scoring!$B$6,"Improve","Maintain"))))))))</f>
        <v>Excluded</v>
      </c>
      <c r="N92" s="6" t="inlineStr">
        <is>
          <t>PAY_ERROR</t>
        </is>
      </c>
      <c r="O92" s="6" t="inlineStr">
        <is>
          <t>Resolve the shortfall and prevent its recurrence</t>
        </is>
      </c>
    </row>
    <row r="93" ht="100" customHeight="1">
      <c r="A93" s="6" t="inlineStr">
        <is>
          <t>B24</t>
        </is>
      </c>
      <c r="B93" s="6" t="inlineStr">
        <is>
          <t>POL</t>
        </is>
      </c>
      <c r="C93" s="6" t="inlineStr">
        <is>
          <t>How do you consider workplace adjustments when someone identifies a barrier to performing or accessing work?</t>
        </is>
      </c>
      <c r="D93" s="11">
        <f>'Questions'!F73</f>
        <v>3</v>
      </c>
      <c r="E93" s="11" t="str">
        <f>'Questions'!G73</f>
        <v>Yes</v>
      </c>
      <c r="F93" s="13" t="n">
        <v>0</v>
      </c>
      <c r="G93" s="13" t="n">
        <v>3</v>
      </c>
      <c r="H93" s="11">
        <f>IF(F93=1,D93,0)</f>
        <v>0</v>
      </c>
      <c r="I93" s="11">
        <f>IF(F93=1,IF(OR(G93&amp;""="0",G93&amp;""="1",G93&amp;""="2",G93&amp;""="3"),D93*VALUE(G93),0),0)</f>
        <v>0</v>
      </c>
      <c r="J93" s="11">
        <f>IF(AND(F93=1,G93="DK"),D93,0)</f>
        <v>0</v>
      </c>
      <c r="K93" s="11">
        <f>H93*Scoring!$B$6</f>
        <v>0</v>
      </c>
      <c r="L93" s="11">
        <f>IF(COUNTBLANK(F93)&gt;0,1,IF(F93=0,0,IF(COUNTBLANK(G93)&gt;0,1,IF(AND(F93=1,OR(G93="DK",OR(G93&amp;""="0",G93&amp;""="1",G93&amp;""="2",G93&amp;""="3"))),0,1))))</f>
        <v>0</v>
      </c>
      <c r="M93" s="7" t="str">
        <f>IF(COUNTBLANK(F93)&gt;0,"Invalid eligibility",IF(F93=0,"Excluded",IF(F93&lt;&gt;1,"Invalid eligibility",IF(COUNTBLANK(G93)&gt;0,"Incomplete",IF(G93="DK",IF(E93="Yes","Verify priority","Verify"),IF(NOT(OR(G93&amp;""="0",G93&amp;""="1",G93&amp;""="2",G93&amp;""="3")),"Invalid response",IF(AND(E93="Yes",VALUE(G93)&lt;=Scoring!$B$9),"Priority action",IF(VALUE(G93)&lt;Scoring!$B$6,"Improve","Maintain"))))))))</f>
        <v>Excluded</v>
      </c>
      <c r="N93" s="6" t="inlineStr">
        <is>
          <t>ADJUSTMENT</t>
        </is>
      </c>
      <c r="O93" s="6" t="inlineStr">
        <is>
          <t>Remove the work barrier through a considered adjustment</t>
        </is>
      </c>
    </row>
    <row r="94" ht="100" customHeight="1">
      <c r="A94" s="6" t="inlineStr">
        <is>
          <t>B25</t>
        </is>
      </c>
      <c r="B94" s="6" t="inlineStr">
        <is>
          <t>WHS</t>
        </is>
      </c>
      <c r="C94" s="6" t="inlineStr">
        <is>
          <t>How do you coordinate safety responsibilities when people work through a labour-hire or other shared-work arrangement?</t>
        </is>
      </c>
      <c r="D94" s="11">
        <f>'Questions'!F74</f>
        <v>3</v>
      </c>
      <c r="E94" s="11" t="str">
        <f>'Questions'!G74</f>
        <v>Yes</v>
      </c>
      <c r="F94" s="13" t="n">
        <v>0</v>
      </c>
      <c r="G94" s="13" t="n">
        <v>3</v>
      </c>
      <c r="H94" s="11">
        <f>IF(F94=1,D94,0)</f>
        <v>0</v>
      </c>
      <c r="I94" s="11">
        <f>IF(F94=1,IF(OR(G94&amp;""="0",G94&amp;""="1",G94&amp;""="2",G94&amp;""="3"),D94*VALUE(G94),0),0)</f>
        <v>0</v>
      </c>
      <c r="J94" s="11">
        <f>IF(AND(F94=1,G94="DK"),D94,0)</f>
        <v>0</v>
      </c>
      <c r="K94" s="11">
        <f>H94*Scoring!$B$6</f>
        <v>0</v>
      </c>
      <c r="L94" s="11">
        <f>IF(COUNTBLANK(F94)&gt;0,1,IF(F94=0,0,IF(COUNTBLANK(G94)&gt;0,1,IF(AND(F94=1,OR(G94="DK",OR(G94&amp;""="0",G94&amp;""="1",G94&amp;""="2",G94&amp;""="3"))),0,1))))</f>
        <v>0</v>
      </c>
      <c r="M94" s="7" t="str">
        <f>IF(COUNTBLANK(F94)&gt;0,"Invalid eligibility",IF(F94=0,"Excluded",IF(F94&lt;&gt;1,"Invalid eligibility",IF(COUNTBLANK(G94)&gt;0,"Incomplete",IF(G94="DK",IF(E94="Yes","Verify priority","Verify"),IF(NOT(OR(G94&amp;""="0",G94&amp;""="1",G94&amp;""="2",G94&amp;""="3")),"Invalid response",IF(AND(E94="Yes",VALUE(G94)&lt;=Scoring!$B$9),"Priority action",IF(VALUE(G94)&lt;Scoring!$B$6,"Improve","Maintain"))))))))</f>
        <v>Excluded</v>
      </c>
      <c r="N94" s="6" t="inlineStr">
        <is>
          <t>SHARED_WORK</t>
        </is>
      </c>
      <c r="O94" s="6" t="inlineStr">
        <is>
          <t>Close the gaps between organisations sharing the work</t>
        </is>
      </c>
    </row>
  </sheetData>
  <autoFilter ref="A25:O94"/>
  <mergeCells count="4">
    <mergeCell ref="A1:O1"/>
    <mergeCell ref="B23:K23"/>
    <mergeCell ref="A3:O3"/>
    <mergeCell ref="A2:O2"/>
  </mergeCells>
  <conditionalFormatting sqref="M26:M91">
    <cfRule type="expression" priority="1" dxfId="2">
      <formula>M26="Priority action"</formula>
    </cfRule>
    <cfRule type="expression" priority="2" dxfId="1">
      <formula>M26="Verify priority"</formula>
    </cfRule>
  </conditionalFormatting>
  <dataValidations count="2">
    <dataValidation sqref="F26:F94" showDropDown="0" showInputMessage="0" showErrorMessage="1" allowBlank="1" error="Use the listed values. An eligible blank response prevents a final result." type="list">
      <formula1>"0,1"</formula1>
    </dataValidation>
    <dataValidation sqref="G26:G94" showDropDown="0" showInputMessage="0" showErrorMessage="1" allowBlank="1" error="Use the listed values. An eligible blank response prevents a final result." type="list">
      <formula1>"0,1,2,3,DK"</formula1>
    </dataValidation>
  </dataValidations>
  <pageMargins left="0.7" right="0.7" top="0.75" bottom="0.75" header="0.3" footer="0.3"/>
</worksheet>
</file>

<file path=xl/worksheets/sheet13.xml><?xml version="1.0" encoding="utf-8"?>
<worksheet xmlns="http://schemas.openxmlformats.org/spreadsheetml/2006/main">
  <sheetPr>
    <tabColor rgb="FF472C5B"/>
    <outlinePr summaryBelow="1" summaryRight="1"/>
    <pageSetUpPr/>
  </sheetPr>
  <dimension ref="A1:H41"/>
  <sheetViews>
    <sheetView showGridLines="0" workbookViewId="0">
      <pane xSplit="2" ySplit="5" topLeftCell="C6" activePane="bottomRight" state="frozen"/>
      <selection activeCell="A1" sqref="A1"/>
    </sheetView>
  </sheetViews>
  <sheetFormatPr baseColWidth="8" defaultRowHeight="15"/>
  <cols>
    <col width="33" customWidth="1" min="1" max="1"/>
    <col width="33" customWidth="1" min="2" max="2"/>
    <col width="28" customWidth="1" min="3" max="3"/>
    <col width="126" customWidth="1" min="4" max="4"/>
    <col width="92" customWidth="1" min="5" max="5"/>
    <col width="93" customWidth="1" min="6" max="6"/>
    <col width="55" customWidth="1" min="7" max="7"/>
    <col width="80" customWidth="1" min="8" max="8"/>
  </cols>
  <sheetData>
    <row r="1" ht="38" customHeight="1">
      <c r="A1" s="1" t="inlineStr">
        <is>
          <t>Category interpretation copy</t>
        </is>
      </c>
    </row>
    <row r="2" ht="34" customHeight="1">
      <c r="A2" s="2" t="inlineStr">
        <is>
          <t>Draft customer-facing content for the 36 category/band combinations. Assemble this with answer-level findings; these paragraphs alone are not the paid report. Priority and uncertainty overlays take precedence.</t>
        </is>
      </c>
    </row>
    <row r="3" ht="22" customHeight="1">
      <c r="A3" s="3" t="inlineStr">
        <is>
          <t>DREAMSTONEHR | PROPOSED V3.0 | 10 OCTOBER 2026</t>
        </is>
      </c>
    </row>
    <row r="4"/>
    <row r="5" ht="34" customHeight="1">
      <c r="A5" s="4" t="inlineStr">
        <is>
          <t>Category</t>
        </is>
      </c>
      <c r="B5" s="4" t="inlineStr">
        <is>
          <t>Band</t>
        </is>
      </c>
      <c r="C5" s="4" t="inlineStr">
        <is>
          <t>Raw score condition</t>
        </is>
      </c>
      <c r="D5" s="4" t="inlineStr">
        <is>
          <t>Customer-facing interpretation</t>
        </is>
      </c>
      <c r="E5" s="4" t="inlineStr">
        <is>
          <t>What to do next</t>
        </is>
      </c>
      <c r="F5" s="4" t="inlineStr">
        <is>
          <t>Mandatory limitation / display rule</t>
        </is>
      </c>
      <c r="G5" s="4" t="inlineStr">
        <is>
          <t>Specific actions</t>
        </is>
      </c>
      <c r="H5" s="4" t="inlineStr">
        <is>
          <t>Optional support</t>
        </is>
      </c>
    </row>
    <row r="6" ht="56" customHeight="1">
      <c r="A6" s="5" t="inlineStr">
        <is>
          <t>Pay &amp; Entitlements</t>
        </is>
      </c>
      <c r="B6" s="5" t="inlineStr">
        <is>
          <t>Foundations need attention</t>
        </is>
      </c>
      <c r="C6" s="5" t="inlineStr">
        <is>
          <t>0 &lt;= score &lt; 40</t>
        </is>
      </c>
      <c r="D6" s="12" t="inlineStr">
        <is>
          <t>This section considers pay rules, actual-work checks, leave, superannuation and payslips. The most useful starting point is to establish which rules apply, then test how those rules reach payroll. A payslip that looks right is not enough on its own.</t>
        </is>
      </c>
      <c r="E6" s="12" t="inlineStr">
        <is>
          <t>Start with the priority findings below. Confirm the evidence, allocate the first action and decide how completion will be checked.</t>
        </is>
      </c>
      <c r="F6" s="5" t="inlineStr">
        <is>
          <t>Self-reported result only. Apply Risk Register overlays and show every High/Critical action. A practice score is not a risk percentage or a compliance opinion. High uncertainty suppresses a reassuring number.</t>
        </is>
      </c>
      <c r="G6" s="5" t="inlineStr">
        <is>
          <t>A_PAY01;A_PAY02;A_PAY03;A_PAY04;A_PAY05;A_PAY06;A_B01;A_B06;A_B07;A_B08;A_B09;A_B10;A_B11;A_B20;A_B22;A_B23</t>
        </is>
      </c>
      <c r="H6" s="5" t="inlineStr">
        <is>
          <t>Targeted payroll, award/classification or salary-arrangement review, scoped to the flagged population.</t>
        </is>
      </c>
    </row>
    <row r="7" ht="56" customHeight="1">
      <c r="A7" s="6" t="inlineStr">
        <is>
          <t>Pay &amp; Entitlements</t>
        </is>
      </c>
      <c r="B7" s="6" t="inlineStr">
        <is>
          <t>Developing / inconsistent</t>
        </is>
      </c>
      <c r="C7" s="6" t="inlineStr">
        <is>
          <t>40 &lt;= score &lt; 70</t>
        </is>
      </c>
      <c r="D7" s="12" t="inlineStr">
        <is>
          <t>This section considers pay rules, actual-work checks, leave, superannuation and payslips. Some checks are operating, but the remaining gaps may sit between the employment arrangement, the work performed and the payroll settings. Use the specific findings to locate those gaps.</t>
        </is>
      </c>
      <c r="E7" s="12" t="inlineStr">
        <is>
          <t>Start with the priority findings below. Confirm the evidence, allocate the first action and decide how completion will be checked.</t>
        </is>
      </c>
      <c r="F7" s="6" t="inlineStr">
        <is>
          <t>Self-reported result only. Apply Risk Register overlays and show every High/Critical action. A practice score is not a risk percentage or a compliance opinion. High uncertainty suppresses a reassuring number.</t>
        </is>
      </c>
      <c r="G7" s="6" t="inlineStr">
        <is>
          <t>A_PAY01;A_PAY02;A_PAY03;A_PAY04;A_PAY05;A_PAY06;A_B01;A_B06;A_B07;A_B08;A_B09;A_B10;A_B11;A_B20;A_B22;A_B23</t>
        </is>
      </c>
      <c r="H7" s="6" t="inlineStr">
        <is>
          <t>Targeted payroll, award/classification or salary-arrangement review, scoped to the flagged population.</t>
        </is>
      </c>
    </row>
    <row r="8" ht="56" customHeight="1">
      <c r="A8" s="5" t="inlineStr">
        <is>
          <t>Pay &amp; Entitlements</t>
        </is>
      </c>
      <c r="B8" s="5" t="inlineStr">
        <is>
          <t>Established reported practice</t>
        </is>
      </c>
      <c r="C8" s="5" t="inlineStr">
        <is>
          <t>70 &lt;= score &lt;= 100</t>
        </is>
      </c>
      <c r="D8" s="12" t="inlineStr">
        <is>
          <t>This section considers pay rules, actual-work checks, leave, superannuation and payslips. Your answers describe an established approach to checking pay. Preserve the checks when roles, hours, awards, agreements or payroll systems change. This result does not verify the underlying calculations.</t>
        </is>
      </c>
      <c r="E8" s="12" t="inlineStr">
        <is>
          <t>Address any priority or verification findings even where this category score is high. Retain the practices described and test a recent example when work changes.</t>
        </is>
      </c>
      <c r="F8" s="5" t="inlineStr">
        <is>
          <t>Self-reported result only. Apply Risk Register overlays and show every High/Critical action. A practice score is not a risk percentage or a compliance opinion. High uncertainty suppresses a reassuring number.</t>
        </is>
      </c>
      <c r="G8" s="5" t="inlineStr">
        <is>
          <t>A_PAY01;A_PAY02;A_PAY03;A_PAY04;A_PAY05;A_PAY06;A_B01;A_B06;A_B07;A_B08;A_B09;A_B10;A_B11;A_B20;A_B22;A_B23</t>
        </is>
      </c>
      <c r="H8" s="5" t="inlineStr">
        <is>
          <t>Targeted payroll, award/classification or salary-arrangement review, scoped to the flagged population.</t>
        </is>
      </c>
    </row>
    <row r="9" ht="56" customHeight="1">
      <c r="A9" s="6" t="inlineStr">
        <is>
          <t>Employment Contracts</t>
        </is>
      </c>
      <c r="B9" s="6" t="inlineStr">
        <is>
          <t>Foundations need attention</t>
        </is>
      </c>
      <c r="C9" s="6" t="inlineStr">
        <is>
          <t>0 &lt;= score &lt; 40</t>
        </is>
      </c>
      <c r="D9" s="12" t="inlineStr">
        <is>
          <t>This section considers current employment terms, engagement types and changes. Start by making the arrangement clear: who is engaged, on what basis, and what has been agreed. A collection of signed documents can still contain outdated or unsuitable terms.</t>
        </is>
      </c>
      <c r="E9" s="12" t="inlineStr">
        <is>
          <t>Start with the priority findings below. Confirm the evidence, allocate the first action and decide how completion will be checked.</t>
        </is>
      </c>
      <c r="F9" s="6" t="inlineStr">
        <is>
          <t>Self-reported result only. Apply Risk Register overlays and show every High/Critical action. A practice score is not a risk percentage or a compliance opinion. High uncertainty suppresses a reassuring number.</t>
        </is>
      </c>
      <c r="G9" s="6" t="inlineStr">
        <is>
          <t>A_CON01;A_CON02;A_CON03;A_B02;A_B04;A_B05;A_B12</t>
        </is>
      </c>
      <c r="H9" s="6" t="inlineStr">
        <is>
          <t>Employment terms and engagement review, with legal referral for issues outside the agreed HR advisory scope.</t>
        </is>
      </c>
    </row>
    <row r="10" ht="56" customHeight="1">
      <c r="A10" s="5" t="inlineStr">
        <is>
          <t>Employment Contracts</t>
        </is>
      </c>
      <c r="B10" s="5" t="inlineStr">
        <is>
          <t>Developing / inconsistent</t>
        </is>
      </c>
      <c r="C10" s="5" t="inlineStr">
        <is>
          <t>40 &lt;= score &lt; 70</t>
        </is>
      </c>
      <c r="D10" s="12" t="inlineStr">
        <is>
          <t>This section considers current employment terms, engagement types and changes. There is a foundation of written terms, but some arrangements or changes need a closer check. Resolve the specific mismatch before adding more clauses or templates.</t>
        </is>
      </c>
      <c r="E10" s="12" t="inlineStr">
        <is>
          <t>Start with the priority findings below. Confirm the evidence, allocate the first action and decide how completion will be checked.</t>
        </is>
      </c>
      <c r="F10" s="5" t="inlineStr">
        <is>
          <t>Self-reported result only. Apply Risk Register overlays and show every High/Critical action. A practice score is not a risk percentage or a compliance opinion. High uncertainty suppresses a reassuring number.</t>
        </is>
      </c>
      <c r="G10" s="5" t="inlineStr">
        <is>
          <t>A_CON01;A_CON02;A_CON03;A_B02;A_B04;A_B05;A_B12</t>
        </is>
      </c>
      <c r="H10" s="5" t="inlineStr">
        <is>
          <t>Employment terms and engagement review, with legal referral for issues outside the agreed HR advisory scope.</t>
        </is>
      </c>
    </row>
    <row r="11" ht="56" customHeight="1">
      <c r="A11" s="6" t="inlineStr">
        <is>
          <t>Employment Contracts</t>
        </is>
      </c>
      <c r="B11" s="6" t="inlineStr">
        <is>
          <t>Established reported practice</t>
        </is>
      </c>
      <c r="C11" s="6" t="inlineStr">
        <is>
          <t>70 &lt;= score &lt;= 100</t>
        </is>
      </c>
      <c r="D11" s="12" t="inlineStr">
        <is>
          <t>This section considers current employment terms, engagement types and changes. Your answers describe current terms and deliberate checks of engagement arrangements. Keep that discipline at renewal, role change and new types of engagement; the documents themselves have not been legally reviewed here.</t>
        </is>
      </c>
      <c r="E11" s="12" t="inlineStr">
        <is>
          <t>Address any priority or verification findings even where this category score is high. Retain the practices described and test a recent example when work changes.</t>
        </is>
      </c>
      <c r="F11" s="6" t="inlineStr">
        <is>
          <t>Self-reported result only. Apply Risk Register overlays and show every High/Critical action. A practice score is not a risk percentage or a compliance opinion. High uncertainty suppresses a reassuring number.</t>
        </is>
      </c>
      <c r="G11" s="6" t="inlineStr">
        <is>
          <t>A_CON01;A_CON02;A_CON03;A_B02;A_B04;A_B05;A_B12</t>
        </is>
      </c>
      <c r="H11" s="6" t="inlineStr">
        <is>
          <t>Employment terms and engagement review, with legal referral for issues outside the agreed HR advisory scope.</t>
        </is>
      </c>
    </row>
    <row r="12" ht="56" customHeight="1">
      <c r="A12" s="5" t="inlineStr">
        <is>
          <t>Recruitment &amp; Talent</t>
        </is>
      </c>
      <c r="B12" s="5" t="inlineStr">
        <is>
          <t>Foundations need attention</t>
        </is>
      </c>
      <c r="C12" s="5" t="inlineStr">
        <is>
          <t>0 &lt;= score &lt; 40</t>
        </is>
      </c>
      <c r="D12" s="12" t="inlineStr">
        <is>
          <t>This section considers role definition, fair selection and realistic candidate information. The first improvement is to make the hiring decision explainable. Define what the role needs to achieve and decide what evidence will demonstrate that before interviews begin.</t>
        </is>
      </c>
      <c r="E12" s="12" t="inlineStr">
        <is>
          <t>Start with the priority findings below. Confirm the evidence, allocate the first action and decide how completion will be checked.</t>
        </is>
      </c>
      <c r="F12" s="5" t="inlineStr">
        <is>
          <t>Self-reported result only. Apply Risk Register overlays and show every High/Critical action. A practice score is not a risk percentage or a compliance opinion. High uncertainty suppresses a reassuring number.</t>
        </is>
      </c>
      <c r="G12" s="5" t="inlineStr">
        <is>
          <t>A_REC01;A_REC02;A_REC03</t>
        </is>
      </c>
      <c r="H12" s="5" t="inlineStr">
        <is>
          <t>Role definition, selection guide and hiring-manager coaching.</t>
        </is>
      </c>
    </row>
    <row r="13" ht="56" customHeight="1">
      <c r="A13" s="6" t="inlineStr">
        <is>
          <t>Recruitment &amp; Talent</t>
        </is>
      </c>
      <c r="B13" s="6" t="inlineStr">
        <is>
          <t>Developing / inconsistent</t>
        </is>
      </c>
      <c r="C13" s="6" t="inlineStr">
        <is>
          <t>40 &lt;= score &lt; 70</t>
        </is>
      </c>
      <c r="D13" s="12" t="inlineStr">
        <is>
          <t>This section considers role definition, fair selection and realistic candidate information. Parts of the hiring process are structured, but candidates or managers may still receive an inconsistent experience. Focus on clear criteria and realistic expectations rather than extra recruitment steps.</t>
        </is>
      </c>
      <c r="E13" s="12" t="inlineStr">
        <is>
          <t>Start with the priority findings below. Confirm the evidence, allocate the first action and decide how completion will be checked.</t>
        </is>
      </c>
      <c r="F13" s="6" t="inlineStr">
        <is>
          <t>Self-reported result only. Apply Risk Register overlays and show every High/Critical action. A practice score is not a risk percentage or a compliance opinion. High uncertainty suppresses a reassuring number.</t>
        </is>
      </c>
      <c r="G13" s="6" t="inlineStr">
        <is>
          <t>A_REC01;A_REC02;A_REC03</t>
        </is>
      </c>
      <c r="H13" s="6" t="inlineStr">
        <is>
          <t>Role definition, selection guide and hiring-manager coaching.</t>
        </is>
      </c>
    </row>
    <row r="14" ht="56" customHeight="1">
      <c r="A14" s="5" t="inlineStr">
        <is>
          <t>Recruitment &amp; Talent</t>
        </is>
      </c>
      <c r="B14" s="5" t="inlineStr">
        <is>
          <t>Established reported practice</t>
        </is>
      </c>
      <c r="C14" s="5" t="inlineStr">
        <is>
          <t>70 &lt;= score &lt;= 100</t>
        </is>
      </c>
      <c r="D14" s="12" t="inlineStr">
        <is>
          <t>This section considers role definition, fair selection and realistic candidate information. Your answers describe a clear and considered recruitment process. Check a recent decision from advert to offer to confirm that the criteria, recorded evidence and candidate information remain aligned.</t>
        </is>
      </c>
      <c r="E14" s="12" t="inlineStr">
        <is>
          <t>Address any priority or verification findings even where this category score is high. Retain the practices described and test a recent example when work changes.</t>
        </is>
      </c>
      <c r="F14" s="5" t="inlineStr">
        <is>
          <t>Self-reported result only. Apply Risk Register overlays and show every High/Critical action. A practice score is not a risk percentage or a compliance opinion. High uncertainty suppresses a reassuring number.</t>
        </is>
      </c>
      <c r="G14" s="5" t="inlineStr">
        <is>
          <t>A_REC01;A_REC02;A_REC03</t>
        </is>
      </c>
      <c r="H14" s="5" t="inlineStr">
        <is>
          <t>Role definition, selection guide and hiring-manager coaching.</t>
        </is>
      </c>
    </row>
    <row r="15" ht="56" customHeight="1">
      <c r="A15" s="6" t="inlineStr">
        <is>
          <t>New Hires &amp; Onboarding</t>
        </is>
      </c>
      <c r="B15" s="6" t="inlineStr">
        <is>
          <t>Foundations need attention</t>
        </is>
      </c>
      <c r="C15" s="6" t="inlineStr">
        <is>
          <t>0 &lt;= score &lt; 40</t>
        </is>
      </c>
      <c r="D15" s="12" t="inlineStr">
        <is>
          <t>This section considers pre-start checks, required information and supported induction. Prioritise what someone needs before they work independently: appropriate checks, required information and an understanding of the work. A long induction checklist is not the goal.</t>
        </is>
      </c>
      <c r="E15" s="12" t="inlineStr">
        <is>
          <t>Start with the priority findings below. Confirm the evidence, allocate the first action and decide how completion will be checked.</t>
        </is>
      </c>
      <c r="F15" s="6" t="inlineStr">
        <is>
          <t>Self-reported result only. Apply Risk Register overlays and show every High/Critical action. A practice score is not a risk percentage or a compliance opinion. High uncertainty suppresses a reassuring number.</t>
        </is>
      </c>
      <c r="G15" s="6" t="inlineStr">
        <is>
          <t>A_ONB01;A_ONB02;A_ONB03;A_B03;A_B13</t>
        </is>
      </c>
      <c r="H15" s="6" t="inlineStr">
        <is>
          <t>Practical onboarding workflow and required-information controls.</t>
        </is>
      </c>
    </row>
    <row r="16" ht="56" customHeight="1">
      <c r="A16" s="5" t="inlineStr">
        <is>
          <t>New Hires &amp; Onboarding</t>
        </is>
      </c>
      <c r="B16" s="5" t="inlineStr">
        <is>
          <t>Developing / inconsistent</t>
        </is>
      </c>
      <c r="C16" s="5" t="inlineStr">
        <is>
          <t>40 &lt;= score &lt; 70</t>
        </is>
      </c>
      <c r="D16" s="12" t="inlineStr">
        <is>
          <t>This section considers pre-start checks, required information and supported induction. New starters receive some useful support, but delivery records, understanding or follow-up need attention. Assign responsibility for the gaps so that they do not fall between payroll and the manager.</t>
        </is>
      </c>
      <c r="E16" s="12" t="inlineStr">
        <is>
          <t>Start with the priority findings below. Confirm the evidence, allocate the first action and decide how completion will be checked.</t>
        </is>
      </c>
      <c r="F16" s="5" t="inlineStr">
        <is>
          <t>Self-reported result only. Apply Risk Register overlays and show every High/Critical action. A practice score is not a risk percentage or a compliance opinion. High uncertainty suppresses a reassuring number.</t>
        </is>
      </c>
      <c r="G16" s="5" t="inlineStr">
        <is>
          <t>A_ONB01;A_ONB02;A_ONB03;A_B03;A_B13</t>
        </is>
      </c>
      <c r="H16" s="5" t="inlineStr">
        <is>
          <t>Practical onboarding workflow and required-information controls.</t>
        </is>
      </c>
    </row>
    <row r="17" ht="56" customHeight="1">
      <c r="A17" s="6" t="inlineStr">
        <is>
          <t>New Hires &amp; Onboarding</t>
        </is>
      </c>
      <c r="B17" s="6" t="inlineStr">
        <is>
          <t>Established reported practice</t>
        </is>
      </c>
      <c r="C17" s="6" t="inlineStr">
        <is>
          <t>70 &lt;= score &lt;= 100</t>
        </is>
      </c>
      <c r="D17" s="12" t="inlineStr">
        <is>
          <t>This section considers pre-start checks, required information and supported induction. Your answers describe a supported start with clear checks and follow-up. Test the experience with a recent starter, not only the person administering it, and maintain any recurring information-statement reminders.</t>
        </is>
      </c>
      <c r="E17" s="12" t="inlineStr">
        <is>
          <t>Address any priority or verification findings even where this category score is high. Retain the practices described and test a recent example when work changes.</t>
        </is>
      </c>
      <c r="F17" s="6" t="inlineStr">
        <is>
          <t>Self-reported result only. Apply Risk Register overlays and show every High/Critical action. A practice score is not a risk percentage or a compliance opinion. High uncertainty suppresses a reassuring number.</t>
        </is>
      </c>
      <c r="G17" s="6" t="inlineStr">
        <is>
          <t>A_ONB01;A_ONB02;A_ONB03;A_B03;A_B13</t>
        </is>
      </c>
      <c r="H17" s="6" t="inlineStr">
        <is>
          <t>Practical onboarding workflow and required-information controls.</t>
        </is>
      </c>
    </row>
    <row r="18" ht="56" customHeight="1">
      <c r="A18" s="5" t="inlineStr">
        <is>
          <t>Policies &amp; Procedures</t>
        </is>
      </c>
      <c r="B18" s="5" t="inlineStr">
        <is>
          <t>Foundations need attention</t>
        </is>
      </c>
      <c r="C18" s="5" t="inlineStr">
        <is>
          <t>0 &lt;= score &lt; 40</t>
        </is>
      </c>
      <c r="D18" s="12" t="inlineStr">
        <is>
          <t>This section considers usable policies, consistent application and individual requests. Start with the decisions people need help making. Concise, relevant rules that are explained and applied are more valuable than a handbook nobody can use.</t>
        </is>
      </c>
      <c r="E18" s="12" t="inlineStr">
        <is>
          <t>Start with the priority findings below. Confirm the evidence, allocate the first action and decide how completion will be checked.</t>
        </is>
      </c>
      <c r="F18" s="5" t="inlineStr">
        <is>
          <t>Self-reported result only. Apply Risk Register overlays and show every High/Critical action. A practice score is not a risk percentage or a compliance opinion. High uncertainty suppresses a reassuring number.</t>
        </is>
      </c>
      <c r="G18" s="5" t="inlineStr">
        <is>
          <t>A_POL01;A_POL02;A_POL03;A_B19;A_B21;A_B24</t>
        </is>
      </c>
      <c r="H18" s="5" t="inlineStr">
        <is>
          <t>Proportionate policy review and manager implementation support.</t>
        </is>
      </c>
    </row>
    <row r="19" ht="56" customHeight="1">
      <c r="A19" s="6" t="inlineStr">
        <is>
          <t>Policies &amp; Procedures</t>
        </is>
      </c>
      <c r="B19" s="6" t="inlineStr">
        <is>
          <t>Developing / inconsistent</t>
        </is>
      </c>
      <c r="C19" s="6" t="inlineStr">
        <is>
          <t>40 &lt;= score &lt; 70</t>
        </is>
      </c>
      <c r="D19" s="12" t="inlineStr">
        <is>
          <t>This section considers usable policies, consistent application and individual requests. Policies provide a foundation, but the important test is what happens when a real issue arises. Review an example, including how exceptions or individual requests were considered.</t>
        </is>
      </c>
      <c r="E19" s="12" t="inlineStr">
        <is>
          <t>Start with the priority findings below. Confirm the evidence, allocate the first action and decide how completion will be checked.</t>
        </is>
      </c>
      <c r="F19" s="6" t="inlineStr">
        <is>
          <t>Self-reported result only. Apply Risk Register overlays and show every High/Critical action. A practice score is not a risk percentage or a compliance opinion. High uncertainty suppresses a reassuring number.</t>
        </is>
      </c>
      <c r="G19" s="6" t="inlineStr">
        <is>
          <t>A_POL01;A_POL02;A_POL03;A_B19;A_B21;A_B24</t>
        </is>
      </c>
      <c r="H19" s="6" t="inlineStr">
        <is>
          <t>Proportionate policy review and manager implementation support.</t>
        </is>
      </c>
    </row>
    <row r="20" ht="56" customHeight="1">
      <c r="A20" s="5" t="inlineStr">
        <is>
          <t>Policies &amp; Procedures</t>
        </is>
      </c>
      <c r="B20" s="5" t="inlineStr">
        <is>
          <t>Established reported practice</t>
        </is>
      </c>
      <c r="C20" s="5" t="inlineStr">
        <is>
          <t>70 &lt;= score &lt;= 100</t>
        </is>
      </c>
      <c r="D20" s="12" t="inlineStr">
        <is>
          <t>This section considers usable policies, consistent application and individual requests. Your answers describe policies that are accessible and applied in practice. Continue checking understanding and consistency, particularly when a decision involves a senior person or an exception to the usual approach.</t>
        </is>
      </c>
      <c r="E20" s="12" t="inlineStr">
        <is>
          <t>Address any priority or verification findings even where this category score is high. Retain the practices described and test a recent example when work changes.</t>
        </is>
      </c>
      <c r="F20" s="5" t="inlineStr">
        <is>
          <t>Self-reported result only. Apply Risk Register overlays and show every High/Critical action. A practice score is not a risk percentage or a compliance opinion. High uncertainty suppresses a reassuring number.</t>
        </is>
      </c>
      <c r="G20" s="5" t="inlineStr">
        <is>
          <t>A_POL01;A_POL02;A_POL03;A_B19;A_B21;A_B24</t>
        </is>
      </c>
      <c r="H20" s="5" t="inlineStr">
        <is>
          <t>Proportionate policy review and manager implementation support.</t>
        </is>
      </c>
    </row>
    <row r="21" ht="56" customHeight="1">
      <c r="A21" s="6" t="inlineStr">
        <is>
          <t>Workplace Health &amp; Safety</t>
        </is>
      </c>
      <c r="B21" s="6" t="inlineStr">
        <is>
          <t>Foundations need attention</t>
        </is>
      </c>
      <c r="C21" s="6" t="inlineStr">
        <is>
          <t>0 &lt;= score &lt; 40</t>
        </is>
      </c>
      <c r="D21" s="12" t="inlineStr">
        <is>
          <t>This section considers physical hazards, emergency readiness, insurance and injury response. Focus first on ongoing exposure and essential response arrangements. Review the work with the people doing it, then confirm who will implement and check the necessary controls.</t>
        </is>
      </c>
      <c r="E21" s="12" t="inlineStr">
        <is>
          <t>Start with the priority findings below. Confirm the evidence, allocate the first action and decide how completion will be checked.</t>
        </is>
      </c>
      <c r="F21" s="6" t="inlineStr">
        <is>
          <t>Self-reported result only. Apply Risk Register overlays and show every High/Critical action. A practice score is not a risk percentage or a compliance opinion. High uncertainty suppresses a reassuring number.</t>
        </is>
      </c>
      <c r="G21" s="6" t="inlineStr">
        <is>
          <t>A_WHS01;A_WHS02;A_WHS03;A_WHS04;A_B15;A_B25</t>
        </is>
      </c>
      <c r="H21" s="6" t="inlineStr">
        <is>
          <t>HR/return-to-work coordination and referral to a competent WHS or insurance specialist where needed.</t>
        </is>
      </c>
    </row>
    <row r="22" ht="56" customHeight="1">
      <c r="A22" s="5" t="inlineStr">
        <is>
          <t>Workplace Health &amp; Safety</t>
        </is>
      </c>
      <c r="B22" s="5" t="inlineStr">
        <is>
          <t>Developing / inconsistent</t>
        </is>
      </c>
      <c r="C22" s="5" t="inlineStr">
        <is>
          <t>40 &lt;= score &lt; 70</t>
        </is>
      </c>
      <c r="D22" s="12" t="inlineStr">
        <is>
          <t>This section considers physical hazards, emergency readiness, insurance and injury response. Some safety arrangements are operating, but gaps in coverage, testing or responsibility need attention. A policy, certificate or insurance renewal is not a substitute for checking the actual work.</t>
        </is>
      </c>
      <c r="E22" s="12" t="inlineStr">
        <is>
          <t>Start with the priority findings below. Confirm the evidence, allocate the first action and decide how completion will be checked.</t>
        </is>
      </c>
      <c r="F22" s="5" t="inlineStr">
        <is>
          <t>Self-reported result only. Apply Risk Register overlays and show every High/Critical action. A practice score is not a risk percentage or a compliance opinion. High uncertainty suppresses a reassuring number.</t>
        </is>
      </c>
      <c r="G22" s="5" t="inlineStr">
        <is>
          <t>A_WHS01;A_WHS02;A_WHS03;A_WHS04;A_B15;A_B25</t>
        </is>
      </c>
      <c r="H22" s="5" t="inlineStr">
        <is>
          <t>HR/return-to-work coordination and referral to a competent WHS or insurance specialist where needed.</t>
        </is>
      </c>
    </row>
    <row r="23" ht="56" customHeight="1">
      <c r="A23" s="6" t="inlineStr">
        <is>
          <t>Workplace Health &amp; Safety</t>
        </is>
      </c>
      <c r="B23" s="6" t="inlineStr">
        <is>
          <t>Established reported practice</t>
        </is>
      </c>
      <c r="C23" s="6" t="inlineStr">
        <is>
          <t>70 &lt;= score &lt;= 100</t>
        </is>
      </c>
      <c r="D23" s="12" t="inlineStr">
        <is>
          <t>This section considers physical hazards, emergency readiness, insurance and injury response. Your answers describe active safety and injury-response arrangements. Continue testing controls and handovers as work changes. This section is not a workplace inspection or a determination of jurisdiction-specific compliance.</t>
        </is>
      </c>
      <c r="E23" s="12" t="inlineStr">
        <is>
          <t>Address any priority or verification findings even where this category score is high. Retain the practices described and test a recent example when work changes.</t>
        </is>
      </c>
      <c r="F23" s="6" t="inlineStr">
        <is>
          <t>Self-reported result only. Apply Risk Register overlays and show every High/Critical action. A practice score is not a risk percentage or a compliance opinion. High uncertainty suppresses a reassuring number.</t>
        </is>
      </c>
      <c r="G23" s="6" t="inlineStr">
        <is>
          <t>A_WHS01;A_WHS02;A_WHS03;A_WHS04;A_B15;A_B25</t>
        </is>
      </c>
      <c r="H23" s="6" t="inlineStr">
        <is>
          <t>HR/return-to-work coordination and referral to a competent WHS or insurance specialist where needed.</t>
        </is>
      </c>
    </row>
    <row r="24" ht="56" customHeight="1">
      <c r="A24" s="5" t="inlineStr">
        <is>
          <t>Reviewing &amp; Managing Performance</t>
        </is>
      </c>
      <c r="B24" s="5" t="inlineStr">
        <is>
          <t>Foundations need attention</t>
        </is>
      </c>
      <c r="C24" s="5" t="inlineStr">
        <is>
          <t>0 &lt;= score &lt; 40</t>
        </is>
      </c>
      <c r="D24" s="12" t="inlineStr">
        <is>
          <t>This section considers clear expectations, early feedback and fair responses to concerns. Start with the gap between expected and actual work, not with a warning or a form. Clear expectations, useful support and a fair opportunity to respond make the next decision more defensible.</t>
        </is>
      </c>
      <c r="E24" s="12" t="inlineStr">
        <is>
          <t>Start with the priority findings below. Confirm the evidence, allocate the first action and decide how completion will be checked.</t>
        </is>
      </c>
      <c r="F24" s="5" t="inlineStr">
        <is>
          <t>Self-reported result only. Apply Risk Register overlays and show every High/Critical action. A practice score is not a risk percentage or a compliance opinion. High uncertainty suppresses a reassuring number.</t>
        </is>
      </c>
      <c r="G24" s="5" t="inlineStr">
        <is>
          <t>A_PER01;A_PER02;A_PER03;A_PER04;A_B18</t>
        </is>
      </c>
      <c r="H24" s="5" t="inlineStr">
        <is>
          <t>Manager coaching and a fair performance or conduct process for the identified situation.</t>
        </is>
      </c>
    </row>
    <row r="25" ht="56" customHeight="1">
      <c r="A25" s="6" t="inlineStr">
        <is>
          <t>Reviewing &amp; Managing Performance</t>
        </is>
      </c>
      <c r="B25" s="6" t="inlineStr">
        <is>
          <t>Developing / inconsistent</t>
        </is>
      </c>
      <c r="C25" s="6" t="inlineStr">
        <is>
          <t>40 &lt;= score &lt; 70</t>
        </is>
      </c>
      <c r="D25" s="12" t="inlineStr">
        <is>
          <t>This section considers clear expectations, early feedback and fair responses to concerns. Some performance practices are established, but follow-through or the handling of difficult issues is inconsistent. A short, well-run check-in can be more useful than another annual review document.</t>
        </is>
      </c>
      <c r="E25" s="12" t="inlineStr">
        <is>
          <t>Start with the priority findings below. Confirm the evidence, allocate the first action and decide how completion will be checked.</t>
        </is>
      </c>
      <c r="F25" s="6" t="inlineStr">
        <is>
          <t>Self-reported result only. Apply Risk Register overlays and show every High/Critical action. A practice score is not a risk percentage or a compliance opinion. High uncertainty suppresses a reassuring number.</t>
        </is>
      </c>
      <c r="G25" s="6" t="inlineStr">
        <is>
          <t>A_PER01;A_PER02;A_PER03;A_PER04;A_B18</t>
        </is>
      </c>
      <c r="H25" s="6" t="inlineStr">
        <is>
          <t>Manager coaching and a fair performance or conduct process for the identified situation.</t>
        </is>
      </c>
    </row>
    <row r="26" ht="56" customHeight="1">
      <c r="A26" s="5" t="inlineStr">
        <is>
          <t>Reviewing &amp; Managing Performance</t>
        </is>
      </c>
      <c r="B26" s="5" t="inlineStr">
        <is>
          <t>Established reported practice</t>
        </is>
      </c>
      <c r="C26" s="5" t="inlineStr">
        <is>
          <t>70 &lt;= score &lt;= 100</t>
        </is>
      </c>
      <c r="D26" s="12" t="inlineStr">
        <is>
          <t>This section considers clear expectations, early feedback and fair responses to concerns. Your answers describe a considered approach to expectations and concerns. Keep checking that managers distinguish capability, conduct and other contributing circumstances before selecting a response.</t>
        </is>
      </c>
      <c r="E26" s="12" t="inlineStr">
        <is>
          <t>Address any priority or verification findings even where this category score is high. Retain the practices described and test a recent example when work changes.</t>
        </is>
      </c>
      <c r="F26" s="5" t="inlineStr">
        <is>
          <t>Self-reported result only. Apply Risk Register overlays and show every High/Critical action. A practice score is not a risk percentage or a compliance opinion. High uncertainty suppresses a reassuring number.</t>
        </is>
      </c>
      <c r="G26" s="5" t="inlineStr">
        <is>
          <t>A_PER01;A_PER02;A_PER03;A_PER04;A_B18</t>
        </is>
      </c>
      <c r="H26" s="5" t="inlineStr">
        <is>
          <t>Manager coaching and a fair performance or conduct process for the identified situation.</t>
        </is>
      </c>
    </row>
    <row r="27" ht="56" customHeight="1">
      <c r="A27" s="6" t="inlineStr">
        <is>
          <t>Training &amp; Development</t>
        </is>
      </c>
      <c r="B27" s="6" t="inlineStr">
        <is>
          <t>Foundations need attention</t>
        </is>
      </c>
      <c r="C27" s="6" t="inlineStr">
        <is>
          <t>0 &lt;= score &lt; 40</t>
        </is>
      </c>
      <c r="D27" s="12" t="inlineStr">
        <is>
          <t>This section considers future skills, learning applied at work and critical-person cover. Identify the work the business may struggle to deliver, then choose the smallest useful development response. Training activity alone will not show whether capability has improved.</t>
        </is>
      </c>
      <c r="E27" s="12" t="inlineStr">
        <is>
          <t>Start with the priority findings below. Confirm the evidence, allocate the first action and decide how completion will be checked.</t>
        </is>
      </c>
      <c r="F27" s="6" t="inlineStr">
        <is>
          <t>Self-reported result only. Apply Risk Register overlays and show every High/Critical action. A practice score is not a risk percentage or a compliance opinion. High uncertainty suppresses a reassuring number.</t>
        </is>
      </c>
      <c r="G27" s="6" t="inlineStr">
        <is>
          <t>A_LND01;A_LND02;A_LND03</t>
        </is>
      </c>
      <c r="H27" s="6" t="inlineStr">
        <is>
          <t>Focused capability planning, role development and critical-task cover.</t>
        </is>
      </c>
    </row>
    <row r="28" ht="56" customHeight="1">
      <c r="A28" s="5" t="inlineStr">
        <is>
          <t>Training &amp; Development</t>
        </is>
      </c>
      <c r="B28" s="5" t="inlineStr">
        <is>
          <t>Developing / inconsistent</t>
        </is>
      </c>
      <c r="C28" s="5" t="inlineStr">
        <is>
          <t>40 &lt;= score &lt; 70</t>
        </is>
      </c>
      <c r="D28" s="12" t="inlineStr">
        <is>
          <t>This section considers future skills, learning applied at work and critical-person cover. Learning is occurring, but its connection to future needs, application or continuity could be stronger. Concentrate on one important capability gap and decide what better performance would look like.</t>
        </is>
      </c>
      <c r="E28" s="12" t="inlineStr">
        <is>
          <t>Start with the priority findings below. Confirm the evidence, allocate the first action and decide how completion will be checked.</t>
        </is>
      </c>
      <c r="F28" s="5" t="inlineStr">
        <is>
          <t>Self-reported result only. Apply Risk Register overlays and show every High/Critical action. A practice score is not a risk percentage or a compliance opinion. High uncertainty suppresses a reassuring number.</t>
        </is>
      </c>
      <c r="G28" s="5" t="inlineStr">
        <is>
          <t>A_LND01;A_LND02;A_LND03</t>
        </is>
      </c>
      <c r="H28" s="5" t="inlineStr">
        <is>
          <t>Focused capability planning, role development and critical-task cover.</t>
        </is>
      </c>
    </row>
    <row r="29" ht="56" customHeight="1">
      <c r="A29" s="6" t="inlineStr">
        <is>
          <t>Training &amp; Development</t>
        </is>
      </c>
      <c r="B29" s="6" t="inlineStr">
        <is>
          <t>Established reported practice</t>
        </is>
      </c>
      <c r="C29" s="6" t="inlineStr">
        <is>
          <t>70 &lt;= score &lt;= 100</t>
        </is>
      </c>
      <c r="D29" s="12" t="inlineStr">
        <is>
          <t>This section considers future skills, learning applied at work and critical-person cover. Your answers describe purposeful development and attention to continuity. Review whether learning changes the work and whether another person can cover critical tasks, rather than counting courses completed.</t>
        </is>
      </c>
      <c r="E29" s="12" t="inlineStr">
        <is>
          <t>Address any priority or verification findings even where this category score is high. Retain the practices described and test a recent example when work changes.</t>
        </is>
      </c>
      <c r="F29" s="6" t="inlineStr">
        <is>
          <t>Self-reported result only. Apply Risk Register overlays and show every High/Critical action. A practice score is not a risk percentage or a compliance opinion. High uncertainty suppresses a reassuring number.</t>
        </is>
      </c>
      <c r="G29" s="6" t="inlineStr">
        <is>
          <t>A_LND01;A_LND02;A_LND03</t>
        </is>
      </c>
      <c r="H29" s="6" t="inlineStr">
        <is>
          <t>Focused capability planning, role development and critical-task cover.</t>
        </is>
      </c>
    </row>
    <row r="30" ht="56" customHeight="1">
      <c r="A30" s="5" t="inlineStr">
        <is>
          <t>Culture &amp; Engagement</t>
        </is>
      </c>
      <c r="B30" s="5" t="inlineStr">
        <is>
          <t>Foundations need attention</t>
        </is>
      </c>
      <c r="C30" s="5" t="inlineStr">
        <is>
          <t>0 &lt;= score &lt; 40</t>
        </is>
      </c>
      <c r="D30" s="12" t="inlineStr">
        <is>
          <t>This section considers employee voice, avoidable departures, fair opportunity and leadership. Start by finding out what employees experience and showing what happens to their feedback. Social events may be welcome, but they cannot establish whether people are treated fairly or concerns are heard.</t>
        </is>
      </c>
      <c r="E30" s="12" t="inlineStr">
        <is>
          <t>Start with the priority findings below. Confirm the evidence, allocate the first action and decide how completion will be checked.</t>
        </is>
      </c>
      <c r="F30" s="5" t="inlineStr">
        <is>
          <t>Self-reported result only. Apply Risk Register overlays and show every High/Critical action. A practice score is not a risk percentage or a compliance opinion. High uncertainty suppresses a reassuring number.</t>
        </is>
      </c>
      <c r="G30" s="5" t="inlineStr">
        <is>
          <t>A_CUL01;A_CUL02;A_CUL03;A_CUL04;A_B16</t>
        </is>
      </c>
      <c r="H30" s="5" t="inlineStr">
        <is>
          <t>Employee listening, retention diagnosis and accountable leadership practices.</t>
        </is>
      </c>
    </row>
    <row r="31" ht="56" customHeight="1">
      <c r="A31" s="6" t="inlineStr">
        <is>
          <t>Culture &amp; Engagement</t>
        </is>
      </c>
      <c r="B31" s="6" t="inlineStr">
        <is>
          <t>Developing / inconsistent</t>
        </is>
      </c>
      <c r="C31" s="6" t="inlineStr">
        <is>
          <t>40 &lt;= score &lt; 70</t>
        </is>
      </c>
      <c r="D31" s="12" t="inlineStr">
        <is>
          <t>This section considers employee voice, avoidable departures, fair opportunity and leadership. There are ways to hear and support employees, but consistency or follow-through needs attention. Look for repeated themes in feedback and departures, and make one visible improvement.</t>
        </is>
      </c>
      <c r="E31" s="12" t="inlineStr">
        <is>
          <t>Start with the priority findings below. Confirm the evidence, allocate the first action and decide how completion will be checked.</t>
        </is>
      </c>
      <c r="F31" s="6" t="inlineStr">
        <is>
          <t>Self-reported result only. Apply Risk Register overlays and show every High/Critical action. A practice score is not a risk percentage or a compliance opinion. High uncertainty suppresses a reassuring number.</t>
        </is>
      </c>
      <c r="G31" s="6" t="inlineStr">
        <is>
          <t>A_CUL01;A_CUL02;A_CUL03;A_CUL04;A_B16</t>
        </is>
      </c>
      <c r="H31" s="6" t="inlineStr">
        <is>
          <t>Employee listening, retention diagnosis and accountable leadership practices.</t>
        </is>
      </c>
    </row>
    <row r="32" ht="56" customHeight="1">
      <c r="A32" s="5" t="inlineStr">
        <is>
          <t>Culture &amp; Engagement</t>
        </is>
      </c>
      <c r="B32" s="5" t="inlineStr">
        <is>
          <t>Established reported practice</t>
        </is>
      </c>
      <c r="C32" s="5" t="inlineStr">
        <is>
          <t>70 &lt;= score &lt;= 100</t>
        </is>
      </c>
      <c r="D32" s="12" t="inlineStr">
        <is>
          <t>This section considers employee voice, avoidable departures, fair opportunity and leadership. Your answers describe deliberate attention to employee experience and leadership. Confirm that employees see the same pattern, including people in less visible roles. A leader self-assessment does not establish how employees actually feel.</t>
        </is>
      </c>
      <c r="E32" s="12" t="inlineStr">
        <is>
          <t>Address any priority or verification findings even where this category score is high. Retain the practices described and test a recent example when work changes.</t>
        </is>
      </c>
      <c r="F32" s="5" t="inlineStr">
        <is>
          <t>Self-reported result only. Apply Risk Register overlays and show every High/Critical action. A practice score is not a risk percentage or a compliance opinion. High uncertainty suppresses a reassuring number.</t>
        </is>
      </c>
      <c r="G32" s="5" t="inlineStr">
        <is>
          <t>A_CUL01;A_CUL02;A_CUL03;A_CUL04;A_B16</t>
        </is>
      </c>
      <c r="H32" s="5" t="inlineStr">
        <is>
          <t>Employee listening, retention diagnosis and accountable leadership practices.</t>
        </is>
      </c>
    </row>
    <row r="33" ht="56" customHeight="1">
      <c r="A33" s="6" t="inlineStr">
        <is>
          <t>Record Keeping</t>
        </is>
      </c>
      <c r="B33" s="6" t="inlineStr">
        <is>
          <t>Foundations need attention</t>
        </is>
      </c>
      <c r="C33" s="6" t="inlineStr">
        <is>
          <t>0 &lt;= score &lt; 40</t>
        </is>
      </c>
      <c r="D33" s="12" t="inlineStr">
        <is>
          <t>This section considers reconstructable records, appropriate access and reliable retrieval. Prioritise the records needed to explain employment and pay, then protect and organise them. More retained information is not automatically better information management.</t>
        </is>
      </c>
      <c r="E33" s="12" t="inlineStr">
        <is>
          <t>Start with the priority findings below. Confirm the evidence, allocate the first action and decide how completion will be checked.</t>
        </is>
      </c>
      <c r="F33" s="6" t="inlineStr">
        <is>
          <t>Self-reported result only. Apply Risk Register overlays and show every High/Critical action. A practice score is not a risk percentage or a compliance opinion. High uncertainty suppresses a reassuring number.</t>
        </is>
      </c>
      <c r="G33" s="6" t="inlineStr">
        <is>
          <t>A_DAT01;A_DAT02;A_DAT03;A_B14</t>
        </is>
      </c>
      <c r="H33" s="6" t="inlineStr">
        <is>
          <t>Employment-record process review and coordination with privacy/cyber specialists where necessary.</t>
        </is>
      </c>
    </row>
    <row r="34" ht="56" customHeight="1">
      <c r="A34" s="5" t="inlineStr">
        <is>
          <t>Record Keeping</t>
        </is>
      </c>
      <c r="B34" s="5" t="inlineStr">
        <is>
          <t>Developing / inconsistent</t>
        </is>
      </c>
      <c r="C34" s="5" t="inlineStr">
        <is>
          <t>40 &lt;= score &lt; 70</t>
        </is>
      </c>
      <c r="D34" s="12" t="inlineStr">
        <is>
          <t>This section considers reconstructable records, appropriate access and reliable retrieval. Records are available, but accuracy, access, retention or recovery may depend too heavily on one person or system. Test a real retrieval and identify the weak handover.</t>
        </is>
      </c>
      <c r="E34" s="12" t="inlineStr">
        <is>
          <t>Start with the priority findings below. Confirm the evidence, allocate the first action and decide how completion will be checked.</t>
        </is>
      </c>
      <c r="F34" s="5" t="inlineStr">
        <is>
          <t>Self-reported result only. Apply Risk Register overlays and show every High/Critical action. A practice score is not a risk percentage or a compliance opinion. High uncertainty suppresses a reassuring number.</t>
        </is>
      </c>
      <c r="G34" s="5" t="inlineStr">
        <is>
          <t>A_DAT01;A_DAT02;A_DAT03;A_B14</t>
        </is>
      </c>
      <c r="H34" s="5" t="inlineStr">
        <is>
          <t>Employment-record process review and coordination with privacy/cyber specialists where necessary.</t>
        </is>
      </c>
    </row>
    <row r="35" ht="56" customHeight="1">
      <c r="A35" s="6" t="inlineStr">
        <is>
          <t>Record Keeping</t>
        </is>
      </c>
      <c r="B35" s="6" t="inlineStr">
        <is>
          <t>Established reported practice</t>
        </is>
      </c>
      <c r="C35" s="6" t="inlineStr">
        <is>
          <t>70 &lt;= score &lt;= 100</t>
        </is>
      </c>
      <c r="D35" s="12" t="inlineStr">
        <is>
          <t>This section considers reconstructable records, appropriate access and reliable retrieval. Your answers describe organised records and considered information handling. Continue checking access and recovery, especially when suppliers, administrators or technology change. This is not a security or privacy certification.</t>
        </is>
      </c>
      <c r="E35" s="12" t="inlineStr">
        <is>
          <t>Address any priority or verification findings even where this category score is high. Retain the practices described and test a recent example when work changes.</t>
        </is>
      </c>
      <c r="F35" s="6" t="inlineStr">
        <is>
          <t>Self-reported result only. Apply Risk Register overlays and show every High/Critical action. A practice score is not a risk percentage or a compliance opinion. High uncertainty suppresses a reassuring number.</t>
        </is>
      </c>
      <c r="G35" s="6" t="inlineStr">
        <is>
          <t>A_DAT01;A_DAT02;A_DAT03;A_B14</t>
        </is>
      </c>
      <c r="H35" s="6" t="inlineStr">
        <is>
          <t>Employment-record process review and coordination with privacy/cyber specialists where necessary.</t>
        </is>
      </c>
    </row>
    <row r="36" ht="56" customHeight="1">
      <c r="A36" s="5" t="inlineStr">
        <is>
          <t>Employee Exits</t>
        </is>
      </c>
      <c r="B36" s="5" t="inlineStr">
        <is>
          <t>Foundations need attention</t>
        </is>
      </c>
      <c r="C36" s="5" t="inlineStr">
        <is>
          <t>0 &lt;= score &lt; 40</t>
        </is>
      </c>
      <c r="D36" s="12" t="inlineStr">
        <is>
          <t>This section considers pre-decision checks, final pay and continuity at departure. Review the decision before it is communicated. Correct notice or a completed exit checklist cannot repair every problem with the reason or process used to end employment.</t>
        </is>
      </c>
      <c r="E36" s="12" t="inlineStr">
        <is>
          <t>Start with the priority findings below. Confirm the evidence, allocate the first action and decide how completion will be checked.</t>
        </is>
      </c>
      <c r="F36" s="5" t="inlineStr">
        <is>
          <t>Self-reported result only. Apply Risk Register overlays and show every High/Critical action. A practice score is not a risk percentage or a compliance opinion. High uncertainty suppresses a reassuring number.</t>
        </is>
      </c>
      <c r="G36" s="5" t="inlineStr">
        <is>
          <t>A_EXT01;A_EXT02;A_EXT03;A_B17</t>
        </is>
      </c>
      <c r="H36" s="5" t="inlineStr">
        <is>
          <t>Pre-decision HR review, final-pay coordination and legal referral where the matter requires it.</t>
        </is>
      </c>
    </row>
    <row r="37" ht="56" customHeight="1">
      <c r="A37" s="6" t="inlineStr">
        <is>
          <t>Employee Exits</t>
        </is>
      </c>
      <c r="B37" s="6" t="inlineStr">
        <is>
          <t>Developing / inconsistent</t>
        </is>
      </c>
      <c r="C37" s="6" t="inlineStr">
        <is>
          <t>40 &lt;= score &lt; 70</t>
        </is>
      </c>
      <c r="D37" s="12" t="inlineStr">
        <is>
          <t>This section considers pre-decision checks, final pay and continuity at departure. Some exit steps are established, but the decision, payment and handover may not connect consistently. Allocate the checks before the next departure rather than relying on memory.</t>
        </is>
      </c>
      <c r="E37" s="12" t="inlineStr">
        <is>
          <t>Start with the priority findings below. Confirm the evidence, allocate the first action and decide how completion will be checked.</t>
        </is>
      </c>
      <c r="F37" s="6" t="inlineStr">
        <is>
          <t>Self-reported result only. Apply Risk Register overlays and show every High/Critical action. A practice score is not a risk percentage or a compliance opinion. High uncertainty suppresses a reassuring number.</t>
        </is>
      </c>
      <c r="G37" s="6" t="inlineStr">
        <is>
          <t>A_EXT01;A_EXT02;A_EXT03;A_B17</t>
        </is>
      </c>
      <c r="H37" s="6" t="inlineStr">
        <is>
          <t>Pre-decision HR review, final-pay coordination and legal referral where the matter requires it.</t>
        </is>
      </c>
    </row>
    <row r="38" ht="56" customHeight="1">
      <c r="A38" s="5" t="inlineStr">
        <is>
          <t>Employee Exits</t>
        </is>
      </c>
      <c r="B38" s="5" t="inlineStr">
        <is>
          <t>Established reported practice</t>
        </is>
      </c>
      <c r="C38" s="5" t="inlineStr">
        <is>
          <t>70 &lt;= score &lt;= 100</t>
        </is>
      </c>
      <c r="D38" s="12" t="inlineStr">
        <is>
          <t>This section considers pre-decision checks, final pay and continuity at departure. Your answers describe a considered exit process. Retain the pre-decision checks even for short service, probation or a familiar situation. Live dismissals or restructures may still require individual advice.</t>
        </is>
      </c>
      <c r="E38" s="12" t="inlineStr">
        <is>
          <t>Address any priority or verification findings even where this category score is high. Retain the practices described and test a recent example when work changes.</t>
        </is>
      </c>
      <c r="F38" s="5" t="inlineStr">
        <is>
          <t>Self-reported result only. Apply Risk Register overlays and show every High/Critical action. A practice score is not a risk percentage or a compliance opinion. High uncertainty suppresses a reassuring number.</t>
        </is>
      </c>
      <c r="G38" s="5" t="inlineStr">
        <is>
          <t>A_EXT01;A_EXT02;A_EXT03;A_B17</t>
        </is>
      </c>
      <c r="H38" s="5" t="inlineStr">
        <is>
          <t>Pre-decision HR review, final-pay coordination and legal referral where the matter requires it.</t>
        </is>
      </c>
    </row>
    <row r="39" ht="56" customHeight="1">
      <c r="A39" s="6" t="inlineStr">
        <is>
          <t>Psychosocial Risk &amp; Positive Duty</t>
        </is>
      </c>
      <c r="B39" s="6" t="inlineStr">
        <is>
          <t>Foundations need attention</t>
        </is>
      </c>
      <c r="C39" s="6" t="inlineStr">
        <is>
          <t>0 &lt;= score &lt; 40</t>
        </is>
      </c>
      <c r="D39" s="12" t="inlineStr">
        <is>
          <t>This section considers work-related psychosocial hazards, prevention, safe reporting and support. Begin with the work and behaviour that could cause harm, and take proportionate preventative action. Support services and awareness activities are useful, but do not replace controls at the source.</t>
        </is>
      </c>
      <c r="E39" s="12" t="inlineStr">
        <is>
          <t>Start with the priority findings below. Confirm the evidence, allocate the first action and decide how completion will be checked.</t>
        </is>
      </c>
      <c r="F39" s="6" t="inlineStr">
        <is>
          <t>Self-reported result only. Apply Risk Register overlays and show every High/Critical action. A practice score is not a risk percentage or a compliance opinion. High uncertainty suppresses a reassuring number.</t>
        </is>
      </c>
      <c r="G39" s="6" t="inlineStr">
        <is>
          <t>A_PSY01;A_PSY02;A_PSY03;A_PSY04;A_PSY05</t>
        </is>
      </c>
      <c r="H39" s="6" t="inlineStr">
        <is>
          <t>Psychosocial/positive-duty assessment and prevention planning, with specialist WHS/legal input where appropriate.</t>
        </is>
      </c>
    </row>
    <row r="40" ht="56" customHeight="1">
      <c r="A40" s="5" t="inlineStr">
        <is>
          <t>Psychosocial Risk &amp; Positive Duty</t>
        </is>
      </c>
      <c r="B40" s="5" t="inlineStr">
        <is>
          <t>Developing / inconsistent</t>
        </is>
      </c>
      <c r="C40" s="5" t="inlineStr">
        <is>
          <t>40 &lt;= score &lt; 70</t>
        </is>
      </c>
      <c r="D40" s="12" t="inlineStr">
        <is>
          <t>This section considers work-related psychosocial hazards, prevention, safe reporting and support. There are preventative or supportive measures in place, but their consistency, coverage or review needs strengthening. Check whether employees can raise concerns when the usual manager is part of the problem.</t>
        </is>
      </c>
      <c r="E40" s="12" t="inlineStr">
        <is>
          <t>Start with the priority findings below. Confirm the evidence, allocate the first action and decide how completion will be checked.</t>
        </is>
      </c>
      <c r="F40" s="5" t="inlineStr">
        <is>
          <t>Self-reported result only. Apply Risk Register overlays and show every High/Critical action. A practice score is not a risk percentage or a compliance opinion. High uncertainty suppresses a reassuring number.</t>
        </is>
      </c>
      <c r="G40" s="5" t="inlineStr">
        <is>
          <t>A_PSY01;A_PSY02;A_PSY03;A_PSY04;A_PSY05</t>
        </is>
      </c>
      <c r="H40" s="5" t="inlineStr">
        <is>
          <t>Psychosocial/positive-duty assessment and prevention planning, with specialist WHS/legal input where appropriate.</t>
        </is>
      </c>
    </row>
    <row r="41" ht="70" customHeight="1">
      <c r="A41" s="6" t="inlineStr">
        <is>
          <t>Psychosocial Risk &amp; Positive Duty</t>
        </is>
      </c>
      <c r="B41" s="6" t="inlineStr">
        <is>
          <t>Established reported practice</t>
        </is>
      </c>
      <c r="C41" s="6" t="inlineStr">
        <is>
          <t>70 &lt;= score &lt;= 100</t>
        </is>
      </c>
      <c r="D41" s="12" t="inlineStr">
        <is>
          <t>This section considers work-related psychosocial hazards, prevention, safe reporting and support. Your answers describe deliberate prevention, reporting and support arrangements. Confirm that controls work in practice and that employees can use reporting pathways safely. This result does not establish that harm is absent or that every legal duty is met.</t>
        </is>
      </c>
      <c r="E41" s="12" t="inlineStr">
        <is>
          <t>Address any priority or verification findings even where this category score is high. Retain the practices described and test a recent example when work changes.</t>
        </is>
      </c>
      <c r="F41" s="6" t="inlineStr">
        <is>
          <t>Self-reported result only. Apply Risk Register overlays and show every High/Critical action. A practice score is not a risk percentage or a compliance opinion. High uncertainty suppresses a reassuring number.</t>
        </is>
      </c>
      <c r="G41" s="6" t="inlineStr">
        <is>
          <t>A_PSY01;A_PSY02;A_PSY03;A_PSY04;A_PSY05</t>
        </is>
      </c>
      <c r="H41" s="6" t="inlineStr">
        <is>
          <t>Psychosocial/positive-duty assessment and prevention planning, with specialist WHS/legal input where appropriate.</t>
        </is>
      </c>
    </row>
  </sheetData>
  <mergeCells count="3">
    <mergeCell ref="A3:H3"/>
    <mergeCell ref="A2:H2"/>
    <mergeCell ref="A1:H1"/>
  </mergeCells>
  <pageMargins left="0.7" right="0.7" top="0.75" bottom="0.75" header="0.3" footer="0.3"/>
</worksheet>
</file>

<file path=xl/worksheets/sheet14.xml><?xml version="1.0" encoding="utf-8"?>
<worksheet xmlns="http://schemas.openxmlformats.org/spreadsheetml/2006/main">
  <sheetPr>
    <tabColor rgb="FF472C5B"/>
    <outlinePr summaryBelow="1" summaryRight="1"/>
    <pageSetUpPr/>
  </sheetPr>
  <dimension ref="A1:E42"/>
  <sheetViews>
    <sheetView showGridLines="0" workbookViewId="0">
      <pane xSplit="2" ySplit="5" topLeftCell="C6" activePane="bottomRight" state="frozen"/>
      <selection activeCell="A1" sqref="A1"/>
    </sheetView>
  </sheetViews>
  <sheetFormatPr baseColWidth="8" defaultRowHeight="15"/>
  <cols>
    <col width="15" customWidth="1" min="1" max="1"/>
    <col width="28" customWidth="1" min="2" max="2"/>
    <col width="121" customWidth="1" min="3" max="3"/>
    <col width="106" customWidth="1" min="4" max="4"/>
    <col width="91" customWidth="1" min="5" max="5"/>
  </cols>
  <sheetData>
    <row r="1" ht="38" customHeight="1">
      <c r="A1" s="1" t="inlineStr">
        <is>
          <t>Implementation, report assembly and release rules</t>
        </is>
      </c>
    </row>
    <row r="2" ht="34" customHeight="1">
      <c r="A2" s="2" t="inlineStr">
        <is>
          <t>A deterministic, versioned diagnostic is the core product. AI-generated prose must not invent obligations, change scores, rank a live hazard below marketing content or assert a finding unsupported by the answers.</t>
        </is>
      </c>
    </row>
    <row r="3" ht="22" customHeight="1">
      <c r="A3" s="3" t="inlineStr">
        <is>
          <t>DREAMSTONEHR | PROPOSED V3.0 | 10 OCTOBER 2026</t>
        </is>
      </c>
    </row>
    <row r="4"/>
    <row r="5" ht="34" customHeight="1">
      <c r="A5" s="4" t="inlineStr">
        <is>
          <t>Rule ID</t>
        </is>
      </c>
      <c r="B5" s="4" t="inlineStr">
        <is>
          <t>Area</t>
        </is>
      </c>
      <c r="C5" s="4" t="inlineStr">
        <is>
          <t>Build requirement</t>
        </is>
      </c>
      <c r="D5" s="4" t="inlineStr">
        <is>
          <t>Customer experience / rationale</t>
        </is>
      </c>
      <c r="E5" s="4" t="inlineStr">
        <is>
          <t>Release check</t>
        </is>
      </c>
    </row>
    <row r="6" ht="56" customHeight="1">
      <c r="A6" s="5" t="inlineStr">
        <is>
          <t>R01</t>
        </is>
      </c>
      <c r="B6" s="5" t="inlineStr">
        <is>
          <t>Jurisdiction gate</t>
        </is>
      </c>
      <c r="C6" s="5" t="inlineStr">
        <is>
          <t>Resolve employer/entity, worker location and sector before legal scoring. Use a reviewed national-system path for v1. Where a state-system path is not built or coverage remains uncertain, explain the scope before payment and offer an appropriate alternative rather than issuing generic national-law conclusions.</t>
        </is>
      </c>
      <c r="D6" s="5" t="inlineStr">
        <is>
          <t>A customer should not pay for a report that silently applies the wrong legal framework. General people-practice content can be offered only with its limited scope made clear.</t>
        </is>
      </c>
      <c r="E6" s="5" t="inlineStr">
        <is>
          <t>Test WA sole trader, WA company, trust, incorporated association, state public sector and interstate-worker cases with a competent adviser.</t>
        </is>
      </c>
    </row>
    <row r="7" ht="42" customHeight="1">
      <c r="A7" s="6" t="inlineStr">
        <is>
          <t>R02</t>
        </is>
      </c>
      <c r="B7" s="6" t="inlineStr">
        <is>
          <t>Applicability</t>
        </is>
      </c>
      <c r="C7" s="6" t="inlineStr">
        <is>
          <t>Store route values yes/no/unknown, the triggering profile answer and the rules version. Unknowns retain the follow-up. Offer a short explanatory clarification before a user selects not applicable.</t>
        </is>
      </c>
      <c r="D7" s="6" t="inlineStr">
        <is>
          <t>The respondent should not need to know the law to choose the right questionnaire.</t>
        </is>
      </c>
      <c r="E7" s="6" t="inlineStr">
        <is>
          <t>No direct or indirect points for N/A; verify both numerator and denominator exclusions.</t>
        </is>
      </c>
    </row>
    <row r="8" ht="42" customHeight="1">
      <c r="A8" s="5" t="inlineStr">
        <is>
          <t>R03</t>
        </is>
      </c>
      <c r="B8" s="5" t="inlineStr">
        <is>
          <t>Scope of answer</t>
        </is>
      </c>
      <c r="C8" s="5" t="inlineStr">
        <is>
          <t>Instruct respondents to answer for the business or agreed entity/site scope, not only their own team. Where practice differs, select the lower consistent level and identify the variation without employee details.</t>
        </is>
      </c>
      <c r="D8" s="5" t="inlineStr">
        <is>
          <t>A head-office process is not proof of site implementation.</t>
        </is>
      </c>
      <c r="E8" s="5" t="inlineStr">
        <is>
          <t>Pilot with a leader who cannot see all practices; test save/resume and colleague confirmation.</t>
        </is>
      </c>
    </row>
    <row r="9" ht="56" customHeight="1">
      <c r="A9" s="6" t="inlineStr">
        <is>
          <t>R04</t>
        </is>
      </c>
      <c r="B9" s="6" t="inlineStr">
        <is>
          <t>Response model</t>
        </is>
      </c>
      <c r="C9" s="6" t="inlineStr">
        <is>
          <t>Four question-specific single-choice answers (0-3), plus DK. No multi-select scored maturity ladders, preselected best answers or unlabelled sliders. For rare events, assess a reviewed/tested readiness process. Do not require a document upload to continue.</t>
        </is>
      </c>
      <c r="D9" s="6" t="inlineStr">
        <is>
          <t>Clear descriptions produce more useful answers than confidence estimates.</t>
        </is>
      </c>
      <c r="E9" s="6" t="inlineStr">
        <is>
          <t>Check every answer set for plausible missing situations, overlap, leading language and an attainable highest level for a five-person business.</t>
        </is>
      </c>
    </row>
    <row r="10" ht="42" customHeight="1">
      <c r="A10" s="5" t="inlineStr">
        <is>
          <t>R05</t>
        </is>
      </c>
      <c r="B10" s="5" t="inlineStr">
        <is>
          <t>Incomplete responses</t>
        </is>
      </c>
      <c r="C10" s="5" t="inlineStr">
        <is>
          <t>Blank eligible answers are not zero or DK. Prevent a final result until answered, saved for later or validly excluded. Show progress based on currently eligible questions.</t>
        </is>
      </c>
      <c r="D10" s="5" t="inlineStr">
        <is>
          <t>An unfinished questionnaire must not look like an adverse finding.</t>
        </is>
      </c>
      <c r="E10" s="5" t="inlineStr">
        <is>
          <t>Blank, changed branch, resumed session and validation tests.</t>
        </is>
      </c>
    </row>
    <row r="11" ht="42" customHeight="1">
      <c r="A11" s="6" t="inlineStr">
        <is>
          <t>R06</t>
        </is>
      </c>
      <c r="B11" s="6" t="inlineStr">
        <is>
          <t>Scoring</t>
        </is>
      </c>
      <c r="C11" s="6" t="inlineStr">
        <is>
          <t>Use question-weighted domain scores and domain-weighted overall score as specified. Use raw values for bands and priority calculations; round only for display.</t>
        </is>
      </c>
      <c r="D11" s="6" t="inlineStr">
        <is>
          <t>The model must not allow more questions in a category to create an accidental category weighting.</t>
        </is>
      </c>
      <c r="E11" s="6" t="inlineStr">
        <is>
          <t>Recalculate across every route combination used in testing; compare app results to the reference engine.</t>
        </is>
      </c>
    </row>
    <row r="12" ht="56" customHeight="1">
      <c r="A12" s="5" t="inlineStr">
        <is>
          <t>R07</t>
        </is>
      </c>
      <c r="B12" s="5" t="inlineStr">
        <is>
          <t>Uncertainty</t>
        </is>
      </c>
      <c r="C12" s="5" t="inlineStr">
        <is>
          <t>Retain DK in the eligible denominator with zero demonstrated points, and report its weighted share separately. Suppress the overall number and reassuring headline above the proposed 25% domain-weighted uncertainty threshold. Label individual high-uncertainty domains separately.</t>
        </is>
      </c>
      <c r="D12" s="5" t="inlineStr">
        <is>
          <t>Unknown means verify, not a legal breach. Show the treatment next to the result, not only in terms and conditions.</t>
        </is>
      </c>
      <c r="E12" s="5" t="inlineStr">
        <is>
          <t>Test all DK, one DK, exactly 25%, just above 25%, and concentrated unknowns in a high-weight domain.</t>
        </is>
      </c>
    </row>
    <row r="13" ht="56" customHeight="1">
      <c r="A13" s="6" t="inlineStr">
        <is>
          <t>R08</t>
        </is>
      </c>
      <c r="B13" s="6" t="inlineStr">
        <is>
          <t>Critical overlay</t>
        </is>
      </c>
      <c r="C13" s="6" t="inlineStr">
        <is>
          <t>A critical 0/1 answer triggers Priority action; a critical DK triggers Verify priority. Show every critical finding regardless of the average or top-three starting-action limit. Avoid calling a self-reported gap an actual breach.</t>
        </is>
      </c>
      <c r="D13" s="6" t="inlineStr">
        <is>
          <t>The average cannot cancel a specific issue needing attention.</t>
        </is>
      </c>
      <c r="E13" s="6" t="inlineStr">
        <is>
          <t>Test a 90%+ overall result with one absent critical control and one unknown critical control.</t>
        </is>
      </c>
    </row>
    <row r="14" ht="42" customHeight="1">
      <c r="A14" s="5" t="inlineStr">
        <is>
          <t>R09</t>
        </is>
      </c>
      <c r="B14" s="5" t="inlineStr">
        <is>
          <t>Immediate matters</t>
        </is>
      </c>
      <c r="C14" s="5" t="inlineStr">
        <is>
          <t>A live safety exposure, known pay issue, proposed dismissal or external deadline requires a separate prompt to act or obtain appropriate advice now. Timing on a generic action card must not postpone a live obligation.</t>
        </is>
      </c>
      <c r="D14" s="5" t="inlineStr">
        <is>
          <t>The tool is not an emergency service and cannot assess every live matter. Do not collect names, health details or allegation narratives.</t>
        </is>
      </c>
      <c r="E14" s="5" t="inlineStr">
        <is>
          <t>Prompt before results; specific emergency pathways where appropriate; reviewer-approved wording.</t>
        </is>
      </c>
    </row>
    <row r="15" ht="42" customHeight="1">
      <c r="A15" s="6" t="inlineStr">
        <is>
          <t>R10</t>
        </is>
      </c>
      <c r="B15" s="6" t="inlineStr">
        <is>
          <t>Findings evidence</t>
        </is>
      </c>
      <c r="C15" s="6" t="inlineStr">
        <is>
          <t>Show the selected response, why that response leads to this finding, a specific first step and what completion looks like. Reported checking is not independently verified checking.</t>
        </is>
      </c>
      <c r="D15" s="6" t="inlineStr">
        <is>
          <t>The customer can see how the conclusion follows and can challenge an incorrect answer.</t>
        </is>
      </c>
      <c r="E15" s="6" t="inlineStr">
        <is>
          <t>Trace every output to question ID, answer ID and action ID. No invented facts or inferred employee sentiment.</t>
        </is>
      </c>
    </row>
    <row r="16" ht="56" customHeight="1">
      <c r="A16" s="5" t="inlineStr">
        <is>
          <t>R11</t>
        </is>
      </c>
      <c r="B16" s="5" t="inlineStr">
        <is>
          <t>Prioritisation</t>
        </is>
      </c>
      <c r="C16" s="5" t="inlineStr">
        <is>
          <t>Order by immediate exposure/deadline, critical gap, critical unknown, other material gap, development. Within a tier consider severity and timing, then the user's business priorities. Do not use sales value to rank actions.</t>
        </is>
      </c>
      <c r="D16" s="5" t="inlineStr">
        <is>
          <t>A helpful action plan is selective without hiding serious findings.</t>
        </is>
      </c>
      <c r="E16" s="5" t="inlineStr">
        <is>
          <t>Review fictional profiles with competing payroll, safety, culture and growth priorities.</t>
        </is>
      </c>
    </row>
    <row r="17" ht="42" customHeight="1">
      <c r="A17" s="6" t="inlineStr">
        <is>
          <t>R12</t>
        </is>
      </c>
      <c r="B17" s="6" t="inlineStr">
        <is>
          <t>De-duplication</t>
        </is>
      </c>
      <c r="C17" s="6" t="inlineStr">
        <is>
          <t>Group related actions by Action family. Keep the most specific starting task and link the related checks. Retain every distinct critical issue inside the group.</t>
        </is>
      </c>
      <c r="D17" s="6" t="inlineStr">
        <is>
          <t>Five related payroll answers should not create five competing projects to book.</t>
        </is>
      </c>
      <c r="E17" s="6" t="inlineStr">
        <is>
          <t>Check salary, allowance, agreement and pay-check combinations; record all contributing answers.</t>
        </is>
      </c>
    </row>
    <row r="18" ht="56" customHeight="1">
      <c r="A18" s="5" t="inlineStr">
        <is>
          <t>R13</t>
        </is>
      </c>
      <c r="B18" s="5" t="inlineStr">
        <is>
          <t>Report structure</t>
        </is>
      </c>
      <c r="C18" s="5" t="inlineStr">
        <is>
          <t>Display: assessment scope and date; reported-practice result with uncertainty; all priority alerts; three starting actions; 12-category view; fuller action register; evidence-to-check list; scope limitations and relevant links. Include a printable/downloadable action plan.</t>
        </is>
      </c>
      <c r="D18" s="5" t="inlineStr">
        <is>
          <t>The customer leaves with a way to begin, not only an assessment of what is wrong.</t>
        </is>
      </c>
      <c r="E18" s="5" t="inlineStr">
        <is>
          <t>Test reading order, mobile display, downloadable layout, accessibility and large-print options.</t>
        </is>
      </c>
    </row>
    <row r="19" ht="42" customHeight="1">
      <c r="A19" s="6" t="inlineStr">
        <is>
          <t>R14</t>
        </is>
      </c>
      <c r="B19" s="6" t="inlineStr">
        <is>
          <t>Customer control</t>
        </is>
      </c>
      <c r="C19" s="6" t="inlineStr">
        <is>
          <t>Allow answer review and correction before finalisation. Save a versioned completed result; a later reassessment creates a new result rather than rewriting the old one.</t>
        </is>
      </c>
      <c r="D19" s="6" t="inlineStr">
        <is>
          <t>Correction is a feature, not a way to hide the score.</t>
        </is>
      </c>
      <c r="E19" s="6" t="inlineStr">
        <is>
          <t>Compare changed answers and preserve the original completion timestamp and version.</t>
        </is>
      </c>
    </row>
    <row r="20" ht="56" customHeight="1">
      <c r="A20" s="5" t="inlineStr">
        <is>
          <t>R15</t>
        </is>
      </c>
      <c r="B20" s="5" t="inlineStr">
        <is>
          <t>Commercial integrity</t>
        </is>
      </c>
      <c r="C20" s="5" t="inlineStr">
        <is>
          <t>Give the actual first steps, source links and completion criteria with the paid product. Offer one relevant scoped support option, a review discussion or a self-directed route. Do not make full recommendations contingent on an extra sale.</t>
        </is>
      </c>
      <c r="D20" s="5" t="inlineStr">
        <is>
          <t>The customer should receive useful value even if they never buy again.</t>
        </is>
      </c>
      <c r="E20" s="5" t="inlineStr">
        <is>
          <t>Review reports with no support call-to-action: do they still help the owner act?</t>
        </is>
      </c>
    </row>
    <row r="21" ht="56" customHeight="1">
      <c r="A21" s="6" t="inlineStr">
        <is>
          <t>R16</t>
        </is>
      </c>
      <c r="B21" s="6" t="inlineStr">
        <is>
          <t>Privacy and security</t>
        </is>
      </c>
      <c r="C21" s="6" t="inlineStr">
        <is>
          <t>Separate product delivery from optional marketing consent. Minimise personal data; use access controls, retention rules, supplier review and appropriate notice. Do not rely on the employer employee-record exemption for DreamStoneHR's service.</t>
        </is>
      </c>
      <c r="D21" s="6" t="inlineStr">
        <is>
          <t>Do not ask users to upload employee files or disclose identifiable health/complaint details in the self-assessment.</t>
        </is>
      </c>
      <c r="E21" s="6" t="inlineStr">
        <is>
          <t>Obtain a privacy/security design review for the actual platform, hosting, processors and data flows before release.</t>
        </is>
      </c>
    </row>
    <row r="22" ht="42" customHeight="1">
      <c r="A22" s="5" t="inlineStr">
        <is>
          <t>R17</t>
        </is>
      </c>
      <c r="B22" s="5" t="inlineStr">
        <is>
          <t>Small-business usability</t>
        </is>
      </c>
      <c r="C22" s="5" t="inlineStr">
        <is>
          <t>Do not require paid software, EAP purchase, extensive committees, large handbooks or formal annual appraisals for a high score. Permit proportionate processes that demonstrably achieve the same outcome.</t>
        </is>
      </c>
      <c r="D22" s="5" t="inlineStr">
        <is>
          <t>Scale the evidence and implementation, not the importance of worker rights and safety.</t>
        </is>
      </c>
      <c r="E22" s="5" t="inlineStr">
        <is>
          <t>Pilot with a five-person owner-managed business and ask which options were impossible for reasons unrelated to quality.</t>
        </is>
      </c>
    </row>
    <row r="23" ht="42" customHeight="1">
      <c r="A23" s="6" t="inlineStr">
        <is>
          <t>R18</t>
        </is>
      </c>
      <c r="B23" s="6" t="inlineStr">
        <is>
          <t>Larger-business assurance</t>
        </is>
      </c>
      <c r="C23" s="6" t="inlineStr">
        <is>
          <t>Use manager/site consistency branches and representative sampling prompts. Do not assume 200 employees means a dedicated HR team, a particular turnover, one award or one employer entity.</t>
        </is>
      </c>
      <c r="D23" s="6" t="inlineStr">
        <is>
          <t>Test whether the process survives delegation and operational complexity.</t>
        </is>
      </c>
      <c r="E23" s="6" t="inlineStr">
        <is>
          <t>Pilot multi-site, mixed instruments, outsourced payroll and multiple employing-entity examples.</t>
        </is>
      </c>
    </row>
    <row r="24" ht="42" customHeight="1">
      <c r="A24" s="5" t="inlineStr">
        <is>
          <t>R19</t>
        </is>
      </c>
      <c r="B24" s="5" t="inlineStr">
        <is>
          <t>Legal content governance</t>
        </is>
      </c>
      <c r="C24" s="5" t="inlineStr">
        <is>
          <t>Maintain sources, effective dates, jurisdiction/instrument scope, owner, review date and dependencies. Separate current requirements from upcoming changes. Recheck rates and law before release and after relevant changes.</t>
        </is>
      </c>
      <c r="D24" s="5" t="inlineStr">
        <is>
          <t>Examples: Payday Super current from 1 July 2026; covered automated-decision privacy disclosures due 10 December 2026; time-limited fixed-term exceptions need rechecking.</t>
        </is>
      </c>
      <c r="E24" s="5" t="inlineStr">
        <is>
          <t>Assign an HR/legal content owner. Schedule source review and include an event-triggered update process.</t>
        </is>
      </c>
    </row>
    <row r="25" ht="56" customHeight="1">
      <c r="A25" s="6" t="inlineStr">
        <is>
          <t>R20</t>
        </is>
      </c>
      <c r="B25" s="6" t="inlineStr">
        <is>
          <t>Versioning</t>
        </is>
      </c>
      <c r="C25" s="6" t="inlineStr">
        <is>
          <t>Store assessment version, question/answer versions, scoring model, applicability rules and report wording with each result. A later revised model must not be presented as directly comparable without explaining the change.</t>
        </is>
      </c>
      <c r="D25" s="6" t="inlineStr">
        <is>
          <t>A progress chart should reflect changed practices, not an unnoticed scoring redesign.</t>
        </is>
      </c>
      <c r="E25" s="6" t="inlineStr">
        <is>
          <t>Regression tests across versions; stable IDs and explicit migration.</t>
        </is>
      </c>
    </row>
    <row r="26" ht="42" customHeight="1">
      <c r="A26" s="5" t="inlineStr">
        <is>
          <t>R21</t>
        </is>
      </c>
      <c r="B26" s="5" t="inlineStr">
        <is>
          <t>Pilot design</t>
        </is>
      </c>
      <c r="C26" s="5" t="inlineStr">
        <is>
          <t>Use a proposed initial 8-12 diverse owner/leader pilots across 5, 15, 50 and about 200 employees; include different industries and one complex payroll path. Ask respondents to explain what they thought each answer meant.</t>
        </is>
      </c>
      <c r="D26" s="5" t="inlineStr">
        <is>
          <t>Completion time, uncertainty patterns and misunderstandings are evidence for refinement. The number is a practical pilot suggestion, not a statistical validation claim.</t>
        </is>
      </c>
      <c r="E26" s="5" t="inlineStr">
        <is>
          <t>Record time, confusing choices, skipped clarifiers, duplicated actions, perceived value and whether the next step was clear.</t>
        </is>
      </c>
    </row>
    <row r="27" ht="42" customHeight="1">
      <c r="A27" s="6" t="inlineStr">
        <is>
          <t>R22</t>
        </is>
      </c>
      <c r="B27" s="6" t="inlineStr">
        <is>
          <t>External calibration</t>
        </is>
      </c>
      <c r="C27" s="6" t="inlineStr">
        <is>
          <t>Compare a selection of self-assessment answers and outputs with an independent HR review of relevant evidence, with appropriate permission and privacy controls. Examine false reassurance, false alarms and size bias.</t>
        </is>
      </c>
      <c r="D27" s="6" t="inlineStr">
        <is>
          <t>Polished report language cannot compensate for a result that contradicts the underlying facts.</t>
        </is>
      </c>
      <c r="E27" s="6" t="inlineStr">
        <is>
          <t>Revise weights, flags or wording where the assessment misdirects attention; document the rationale.</t>
        </is>
      </c>
    </row>
    <row r="28" ht="42" customHeight="1">
      <c r="A28" s="5" t="inlineStr">
        <is>
          <t>R23</t>
        </is>
      </c>
      <c r="B28" s="5" t="inlineStr">
        <is>
          <t>Release boundary</t>
        </is>
      </c>
      <c r="C28" s="5" t="inlineStr">
        <is>
          <t>The supplied workbook has reference arithmetic tests, not live application, accessibility, penetration, legal completeness or user acceptance testing. Complete those checks for the actual build.</t>
        </is>
      </c>
      <c r="D28" s="5" t="inlineStr">
        <is>
          <t>Do not market this draft as certified, validated or comprehensive assurance.</t>
        </is>
      </c>
      <c r="E28" s="5" t="inlineStr">
        <is>
          <t>Sign-off on scope, content, routing, calculation, report assembly, privacy/security, accessibility and customer terms.</t>
        </is>
      </c>
    </row>
    <row r="29" ht="56" customHeight="1">
      <c r="A29" s="6" t="inlineStr">
        <is>
          <t>R24</t>
        </is>
      </c>
      <c r="B29" s="6" t="inlineStr">
        <is>
          <t>Plain language / human voice</t>
        </is>
      </c>
      <c r="C29" s="6" t="inlineStr">
        <is>
          <t>Use specific observations and direct verbs. Explain legal terms in optional help. Retain intellectual precision without dense academic prose. Avoid generic praise or repeating "optimise", "enhance" and "best practice" in every paragraph.</t>
        </is>
      </c>
      <c r="D29" s="6" t="inlineStr">
        <is>
          <t>University-level quality comes from accurate distinctions and reasoning, not complicated syntax.</t>
        </is>
      </c>
      <c r="E29" s="6" t="inlineStr">
        <is>
          <t>Read the report aloud and ask a business leader to explain the first action in their own words.</t>
        </is>
      </c>
    </row>
    <row r="30" ht="42" customHeight="1">
      <c r="A30" s="5" t="inlineStr">
        <is>
          <t>R25</t>
        </is>
      </c>
      <c r="B30" s="5" t="inlineStr">
        <is>
          <t>Benchmark restraint</t>
        </is>
      </c>
      <c r="C30" s="5" t="inlineStr">
        <is>
          <t>Do not label a result better than similar businesses until a suitable, permissioned and representative comparison set exists. A pilot sample is not a defensible market benchmark.</t>
        </is>
      </c>
      <c r="D30" s="5" t="inlineStr">
        <is>
          <t>Use progress against the business's own documented actions instead.</t>
        </is>
      </c>
      <c r="E30" s="5" t="inlineStr">
        <is>
          <t>No percentile, risk probability or claimed savings without a justified method and supporting data.</t>
        </is>
      </c>
    </row>
    <row r="31" ht="56" customHeight="1">
      <c r="A31" s="6" t="inlineStr">
        <is>
          <t>R26</t>
        </is>
      </c>
      <c r="B31" s="6" t="inlineStr">
        <is>
          <t>Consistency prompts</t>
        </is>
      </c>
      <c r="C31" s="6" t="inlineStr">
        <is>
          <t>Use a small number of answer-consistency checks, such as a claimed complete pay check alongside unknown instrument coverage. Ask the respondent to confirm or clarify; do not automatically invent a breach or silently change marks.</t>
        </is>
      </c>
      <c r="D31" s="6" t="inlineStr">
        <is>
          <t>An apparent contradiction may reflect outsourced expertise or different role groups. Allow explanation at the process level without collecting employee details.</t>
        </is>
      </c>
      <c r="E31" s="6" t="inlineStr">
        <is>
          <t>Pilot the prompts for false alarms. Retain both the original and corrected answers with an explanation of any change.</t>
        </is>
      </c>
    </row>
    <row r="32" ht="136" customHeight="1">
      <c r="A32" s="6" t="inlineStr">
        <is>
          <t>V3-01</t>
        </is>
      </c>
      <c r="B32" s="6" t="inlineStr">
        <is>
          <t>Rule precedence</t>
        </is>
      </c>
      <c r="C32" s="6" t="inlineStr">
        <is>
          <t>Answer Outcomes supplies baseline risk and actions. Risk Register applies scoped context. Risk Method takes precedence over legacy generic practice-status labels.</t>
        </is>
      </c>
      <c r="D32" s="6" t="inlineStr">
        <is>
          <t>One authoritative risk rule per answer. Do not infer risk from the overall score.</t>
        </is>
      </c>
      <c r="E32" s="6" t="inlineStr">
        <is>
          <t>Every eligible answer resolves to one valid outcome.</t>
        </is>
      </c>
    </row>
    <row r="33" ht="136" customHeight="1">
      <c r="A33" s="6" t="inlineStr">
        <is>
          <t>V3-02</t>
        </is>
      </c>
      <c r="B33" s="6" t="inlineStr">
        <is>
          <t>Context burden</t>
        </is>
      </c>
      <c r="C33" s="6" t="inlineStr">
        <is>
          <t>Ask context once by topic or workstream, with only necessary follow-ups. Never repeat all eight prompts after every weak answer.</t>
        </is>
      </c>
      <c r="D33" s="6" t="inlineStr">
        <is>
          <t>A simple customer journey with a detailed backend.</t>
        </is>
      </c>
      <c r="E33" s="6" t="inlineStr">
        <is>
          <t>Pilot completion burden with owners and leaders.</t>
        </is>
      </c>
    </row>
    <row r="34" ht="136" customHeight="1">
      <c r="A34" s="6" t="inlineStr">
        <is>
          <t>V3-03</t>
        </is>
      </c>
      <c r="B34" s="6" t="inlineStr">
        <is>
          <t>No false precision</t>
        </is>
      </c>
      <c r="C34" s="6" t="inlineStr">
        <is>
          <t>Do not publish likelihood percentages, expected penalties, savings estimates or a residual-risk reduction derived only from the self-assessment.</t>
        </is>
      </c>
      <c r="D34" s="6" t="inlineStr">
        <is>
          <t>Risk labels are provisional concern indicators, not actuarial or legal conclusions.</t>
        </is>
      </c>
      <c r="E34" s="6" t="inlineStr">
        <is>
          <t>Review product copy and export labels.</t>
        </is>
      </c>
    </row>
    <row r="35" ht="136" customHeight="1">
      <c r="A35" s="6" t="inlineStr">
        <is>
          <t>V3-04</t>
        </is>
      </c>
      <c r="B35" s="6" t="inlineStr">
        <is>
          <t>Deadline priority</t>
        </is>
      </c>
      <c r="C35" s="6" t="inlineStr">
        <is>
          <t>Use the actual deadline or event supplied and confirmed for the matter. Suggested two/30/90-day targets do not override existing obligations.</t>
        </is>
      </c>
      <c r="D35" s="6" t="inlineStr">
        <is>
          <t>A deadline changes urgency without manufacturing a breach.</t>
        </is>
      </c>
      <c r="E35" s="6" t="inlineStr">
        <is>
          <t>Test imminent, unknown and already-passed deadlines.</t>
        </is>
      </c>
    </row>
    <row r="36" ht="136" customHeight="1">
      <c r="A36" s="6" t="inlineStr">
        <is>
          <t>V3-05</t>
        </is>
      </c>
      <c r="B36" s="6" t="inlineStr">
        <is>
          <t>Conflict with strong answer</t>
        </is>
      </c>
      <c r="C36" s="6" t="inlineStr">
        <is>
          <t>A current matter can override a response of 3. Ask for a scoped clarification; retain both answers and do not silently rewrite the maturity score.</t>
        </is>
      </c>
      <c r="D36" s="6" t="inlineStr">
        <is>
          <t>A reassuring average cannot hide a current issue.</t>
        </is>
      </c>
      <c r="E36" s="6" t="inlineStr">
        <is>
          <t>Test LIVE_HARM, LIVE_ISSUE and SYSTEMIC with response 3.</t>
        </is>
      </c>
    </row>
    <row r="37" ht="136" customHeight="1">
      <c r="A37" s="6" t="inlineStr">
        <is>
          <t>V3-06</t>
        </is>
      </c>
      <c r="B37" s="6" t="inlineStr">
        <is>
          <t>Report completeness</t>
        </is>
      </c>
      <c r="C37" s="6" t="inlineStr">
        <is>
          <t>The final product must display all Critical/High actions, all unknowns and the complete action register. Three leading workstreams are an overview, not a disclosure limit.</t>
        </is>
      </c>
      <c r="D37" s="6" t="inlineStr">
        <is>
          <t>Keep child findings and distinct obligations when grouping work.</t>
        </is>
      </c>
      <c r="E37" s="6" t="inlineStr">
        <is>
          <t>Test more than three urgent workstreams and multiple pay issues.</t>
        </is>
      </c>
    </row>
    <row r="38" ht="136" customHeight="1">
      <c r="A38" s="6" t="inlineStr">
        <is>
          <t>V3-07</t>
        </is>
      </c>
      <c r="B38" s="6" t="inlineStr">
        <is>
          <t>Completion evidence</t>
        </is>
      </c>
      <c r="C38" s="6" t="inlineStr">
        <is>
          <t>Store owner, agreed due date, completion evidence, reviewer, review date and effectiveness result. Retain baseline and reassessment versions.</t>
        </is>
      </c>
      <c r="D38" s="6" t="inlineStr">
        <is>
          <t>Risk is reassessed only after the control is actually checked, not merely when a task is ticked.</t>
        </is>
      </c>
      <c r="E38" s="6" t="inlineStr">
        <is>
          <t>Test a completed document with an ineffective process.</t>
        </is>
      </c>
    </row>
    <row r="39" ht="136" customHeight="1">
      <c r="A39" s="6" t="inlineStr">
        <is>
          <t>V3-08</t>
        </is>
      </c>
      <c r="B39" s="6" t="inlineStr">
        <is>
          <t>Data restraint</t>
        </is>
      </c>
      <c r="C39" s="6" t="inlineStr">
        <is>
          <t>Do not request names, diagnoses, allegations, identity documents or detailed payroll records in the general self-assessment. Explain storage, access and purpose before collection.</t>
        </is>
      </c>
      <c r="D39" s="6" t="inlineStr">
        <is>
          <t>Sensitive evidence belongs in an appropriately scoped and secured process.</t>
        </is>
      </c>
      <c r="E39" s="6" t="inlineStr">
        <is>
          <t>Privacy and security review of implementation required.</t>
        </is>
      </c>
    </row>
    <row r="40" ht="136" customHeight="1">
      <c r="A40" s="6" t="inlineStr">
        <is>
          <t>V3-09</t>
        </is>
      </c>
      <c r="B40" s="6" t="inlineStr">
        <is>
          <t>Source scope</t>
        </is>
      </c>
      <c r="C40" s="6" t="inlineStr">
        <is>
          <t>New legal topics reference S40-S43. Other source dates are inherited from v2 except S05 and S13, which were rechecked. All release content needs a final currency review.</t>
        </is>
      </c>
      <c r="D40" s="6" t="inlineStr">
        <is>
          <t>Design expansion is not a fresh legal audit of all 43 sources.</t>
        </is>
      </c>
      <c r="E40" s="6" t="inlineStr">
        <is>
          <t>Record source ownership and the release date.</t>
        </is>
      </c>
    </row>
    <row r="41" ht="136" customHeight="1">
      <c r="A41" s="6" t="inlineStr">
        <is>
          <t>V3-10</t>
        </is>
      </c>
      <c r="B41" s="6" t="inlineStr">
        <is>
          <t>Before payment</t>
        </is>
      </c>
      <c r="C41" s="6" t="inlineStr">
        <is>
          <t>Confirm that the tool covers the employing system and jurisdiction. Out-of-scope matters must be explained before payment, with an appropriate alternative.</t>
        </is>
      </c>
      <c r="D41" s="6" t="inlineStr">
        <is>
          <t>Do not sell a national-system legal report to an unsupported state-system employer.</t>
        </is>
      </c>
      <c r="E41" s="6" t="inlineStr">
        <is>
          <t>Test state and mixed-coverage scenarios.</t>
        </is>
      </c>
    </row>
    <row r="42" ht="136" customHeight="1">
      <c r="A42" s="6" t="inlineStr">
        <is>
          <t>V3-11</t>
        </is>
      </c>
      <c r="B42" s="6" t="inlineStr">
        <is>
          <t>Dependencies</t>
        </is>
      </c>
      <c r="C42" s="6" t="inlineStr">
        <is>
          <t>Prerequisites support sequencing, not delay. Start protective action and meet deadlines while missing prerequisite information is verified in parallel.</t>
        </is>
      </c>
      <c r="D42" s="6" t="inlineStr">
        <is>
          <t>Do not turn an action dependency into a reason to leave a current risk uncontrolled.</t>
        </is>
      </c>
      <c r="E42" s="6" t="inlineStr">
        <is>
          <t>Validate dependencies are acyclic and escalation overrides sequencing.</t>
        </is>
      </c>
    </row>
  </sheetData>
  <autoFilter ref="A5:E42"/>
  <mergeCells count="3">
    <mergeCell ref="A2:E2"/>
    <mergeCell ref="A1:E1"/>
    <mergeCell ref="A3:E3"/>
  </mergeCells>
  <pageMargins left="0.7" right="0.7" top="0.75" bottom="0.75" header="0.3" footer="0.3"/>
</worksheet>
</file>

<file path=xl/worksheets/sheet15.xml><?xml version="1.0" encoding="utf-8"?>
<worksheet xmlns="http://schemas.openxmlformats.org/spreadsheetml/2006/main">
  <sheetPr>
    <tabColor rgb="FF472C5B"/>
    <outlinePr summaryBelow="1" summaryRight="1"/>
    <pageSetUpPr/>
  </sheetPr>
  <dimension ref="A1:F48"/>
  <sheetViews>
    <sheetView showGridLines="0" workbookViewId="0">
      <pane xSplit="2" ySplit="5" topLeftCell="C6" activePane="bottomRight" state="frozen"/>
      <selection activeCell="A1" sqref="A1"/>
    </sheetView>
  </sheetViews>
  <sheetFormatPr baseColWidth="8" defaultRowHeight="15"/>
  <cols>
    <col width="15" customWidth="1" min="1" max="1"/>
    <col width="58" customWidth="1" min="2" max="2"/>
    <col width="105" customWidth="1" min="3" max="3"/>
    <col width="118" customWidth="1" min="4" max="4"/>
    <col width="20" customWidth="1" min="5" max="5"/>
    <col width="80" customWidth="1" min="6" max="6"/>
  </cols>
  <sheetData>
    <row r="1" ht="38" customHeight="1">
      <c r="A1" s="1" t="inlineStr">
        <is>
          <t>Primary-source register</t>
        </is>
      </c>
    </row>
    <row r="2" ht="34" customHeight="1">
      <c r="A2" s="2" t="inlineStr">
        <is>
          <t>Sources S40-S43 added and S05/S13 rechecked for this v3 expansion on 10 October 2026. Other links and review dates are carried forward from v2. Ratings and action targets are product-design decisions, not official risk scores.</t>
        </is>
      </c>
    </row>
    <row r="3" ht="22" customHeight="1">
      <c r="A3" s="3" t="inlineStr">
        <is>
          <t>DREAMSTONEHR | PROPOSED V3.0 | 10 OCTOBER 2026</t>
        </is>
      </c>
    </row>
    <row r="4"/>
    <row r="5" ht="34" customHeight="1">
      <c r="A5" s="4" t="inlineStr">
        <is>
          <t>Source ID</t>
        </is>
      </c>
      <c r="B5" s="4" t="inlineStr">
        <is>
          <t>Authority / resource</t>
        </is>
      </c>
      <c r="C5" s="4" t="inlineStr">
        <is>
          <t>Primary URL</t>
        </is>
      </c>
      <c r="D5" s="4" t="inlineStr">
        <is>
          <t>What this supports / limits</t>
        </is>
      </c>
      <c r="E5" s="4" t="inlineStr">
        <is>
          <t>Reviewed</t>
        </is>
      </c>
      <c r="F5" s="4" t="inlineStr">
        <is>
          <t>Maintenance trigger</t>
        </is>
      </c>
    </row>
    <row r="6" ht="42" customHeight="1">
      <c r="A6" s="8" t="inlineStr">
        <is>
          <t>S01</t>
        </is>
      </c>
      <c r="B6" s="8" t="inlineStr">
        <is>
          <t>ABS: Question structure</t>
        </is>
      </c>
      <c r="C6" s="8" t="inlineStr">
        <is>
          <t>https://www.abs.gov.au/statistics/standards/abs-forms-design-standards/2023/general-forms-design-principles-question-structure</t>
        </is>
      </c>
      <c r="D6" s="8" t="inlineStr">
        <is>
          <t>Question design, balanced language, explicit unknowns, filters and testing. Does not validate the proposed weights.</t>
        </is>
      </c>
      <c r="E6" s="61" t="n">
        <v>46305</v>
      </c>
      <c r="F6" s="5" t="inlineStr">
        <is>
          <t>Question clarity and pilot evidence, not a statutory change or endorsement of this instrument.</t>
        </is>
      </c>
    </row>
    <row r="7" ht="42" customHeight="1">
      <c r="A7" s="10" t="inlineStr">
        <is>
          <t>S02</t>
        </is>
      </c>
      <c r="B7" s="10" t="inlineStr">
        <is>
          <t>FWO: Small business employer</t>
        </is>
      </c>
      <c r="C7" s="10" t="inlineStr">
        <is>
          <t>https://www.fairwork.gov.au/taxonomy/term/527</t>
        </is>
      </c>
      <c r="D7" s="10" t="inlineStr">
        <is>
          <t>Fewer than 15 employees. Include associated entities and regular and systematic casuals. Exactly 15 is not small.</t>
        </is>
      </c>
      <c r="E7" s="62" t="n">
        <v>46305</v>
      </c>
      <c r="F7" s="6" t="inlineStr">
        <is>
          <t>Recheck before release and when the relevant rule, instrument or jurisdiction changes.</t>
        </is>
      </c>
    </row>
    <row r="8" ht="42" customHeight="1">
      <c r="A8" s="8" t="inlineStr">
        <is>
          <t>S03</t>
        </is>
      </c>
      <c r="B8" s="8" t="inlineStr">
        <is>
          <t>FWO: Becoming a permanent employee</t>
        </is>
      </c>
      <c r="C8" s="8" t="inlineStr">
        <is>
          <t>https://www.fairwork.gov.au/starting-employment/types-of-employees/casual-employees/becoming-a-permanent-employee</t>
        </is>
      </c>
      <c r="D8" s="8" t="inlineStr">
        <is>
          <t>Employee choice pathway; eligible casuals generally need 6 months, or 12 months with a small business. Consultation and written response rules apply.</t>
        </is>
      </c>
      <c r="E8" s="61" t="n">
        <v>46305</v>
      </c>
      <c r="F8" s="5" t="inlineStr">
        <is>
          <t>Recheck before release and when the relevant rule, instrument or jurisdiction changes.</t>
        </is>
      </c>
    </row>
    <row r="9" ht="42" customHeight="1">
      <c r="A9" s="10" t="inlineStr">
        <is>
          <t>S04</t>
        </is>
      </c>
      <c r="B9" s="10" t="inlineStr">
        <is>
          <t>FWO: Casual Employment Information Statement</t>
        </is>
      </c>
      <c r="C9" s="10" t="inlineStr">
        <is>
          <t>https://www.fairwork.gov.au/employment-conditions/information-statements/casual-employment-information-statement</t>
        </is>
      </c>
      <c r="D9" s="10" t="inlineStr">
        <is>
          <t>Provide current CEIS at commencement and prescribed later intervals; small-business rules differ.</t>
        </is>
      </c>
      <c r="E9" s="62" t="n">
        <v>46305</v>
      </c>
      <c r="F9" s="6" t="inlineStr">
        <is>
          <t>Recheck before release and when the relevant rule, instrument or jurisdiction changes.</t>
        </is>
      </c>
    </row>
    <row r="10" ht="42" customHeight="1">
      <c r="A10" s="8" t="inlineStr">
        <is>
          <t>S05</t>
        </is>
      </c>
      <c r="B10" s="8" t="inlineStr">
        <is>
          <t>ATO: Payment deadlines for Payday Super</t>
        </is>
      </c>
      <c r="C10" s="8" t="inlineStr">
        <is>
          <t>https://www.ato.gov.au/businesses-and-organisations/super-for-employers/paying-super-on-payday/payment-deadlines-for-payday-super</t>
        </is>
      </c>
      <c r="D10" s="8" t="inlineStr">
        <is>
          <t>From 1 July 2026, contributions generally must reach the fund within 7 business days after payday; some extensions apply. Current rule, not future readiness.</t>
        </is>
      </c>
      <c r="E10" s="61" t="n">
        <v>46305</v>
      </c>
      <c r="F10" s="5" t="inlineStr">
        <is>
          <t>Current Payday Super implementation: check ATO guidance and exception treatment, not historical quarterly rules.</t>
        </is>
      </c>
    </row>
    <row r="11" ht="42" customHeight="1">
      <c r="A11" s="10" t="inlineStr">
        <is>
          <t>S06</t>
        </is>
      </c>
      <c r="B11" s="10" t="inlineStr">
        <is>
          <t>FWO: Annualised wages and salaries</t>
        </is>
      </c>
      <c r="C11" s="10" t="inlineStr">
        <is>
          <t>https://www.fairwork.gov.au/pay-and-wages/minimum-wages/annualised-salaries</t>
        </is>
      </c>
      <c r="D11" s="10" t="inlineStr">
        <is>
          <t>Distinguish award/agreement annualised wage arrangements from contractual offsetting; obligations depend on the applicable arrangement.</t>
        </is>
      </c>
      <c r="E11" s="62" t="n">
        <v>46305</v>
      </c>
      <c r="F11" s="6" t="inlineStr">
        <is>
          <t>Recheck before release and when the relevant rule, instrument or jurisdiction changes.</t>
        </is>
      </c>
    </row>
    <row r="12" ht="42" customHeight="1">
      <c r="A12" s="8" t="inlineStr">
        <is>
          <t>S07</t>
        </is>
      </c>
      <c r="B12" s="8" t="inlineStr">
        <is>
          <t>FWO: Offsetting and record-keeping for salaried employees</t>
        </is>
      </c>
      <c r="C12" s="8" t="inlineStr">
        <is>
          <t>https://www.fairwork.gov.au/newsroom/news/offsetting-and-record-keeping-salaried-employees</t>
        </is>
      </c>
      <c r="D12" s="8" t="inlineStr">
        <is>
          <t>Court-informed guidance. Annual salary alone does not establish compliance or remove time-record obligations. Proceedings described as ongoing; recheck before release.</t>
        </is>
      </c>
      <c r="E12" s="61" t="n">
        <v>46305</v>
      </c>
      <c r="F12" s="5" t="inlineStr">
        <is>
          <t>Court proceedings/guidance described as ongoing: monitor outcome and review salary-offset content before release.</t>
        </is>
      </c>
    </row>
    <row r="13" ht="42" customHeight="1">
      <c r="A13" s="10" t="inlineStr">
        <is>
          <t>S08</t>
        </is>
      </c>
      <c r="B13" s="10" t="inlineStr">
        <is>
          <t>FWO: Deducting pay</t>
        </is>
      </c>
      <c r="C13" s="10" t="inlineStr">
        <is>
          <t>https://www.fairwork.gov.au/pay-and-wages/deductions-and-related-issues/deducting-pay</t>
        </is>
      </c>
      <c r="D13" s="10" t="inlineStr">
        <is>
          <t>Written consent alone is not a universal authority; examine lawful basis, purpose and reasonableness.</t>
        </is>
      </c>
      <c r="E13" s="62" t="n">
        <v>46305</v>
      </c>
      <c r="F13" s="6" t="inlineStr">
        <is>
          <t>Recheck before release and when the relevant rule, instrument or jurisdiction changes.</t>
        </is>
      </c>
    </row>
    <row r="14" ht="42" customHeight="1">
      <c r="A14" s="8" t="inlineStr">
        <is>
          <t>S09</t>
        </is>
      </c>
      <c r="B14" s="8" t="inlineStr">
        <is>
          <t>FWO: Fixed term contract employees</t>
        </is>
      </c>
      <c r="C14" s="8" t="inlineStr">
        <is>
          <t>https://www.fairwork.gov.au/starting-employment/types-of-employees/fixed-term-contract-employees</t>
        </is>
      </c>
      <c r="D14" s="8" t="inlineStr">
        <is>
          <t>Limits, exceptions and FTCIS obligations. Some exceptions are time-limited: recheck on commencement or renewal, particularly around 1 November 2026.</t>
        </is>
      </c>
      <c r="E14" s="61" t="n">
        <v>46305</v>
      </c>
      <c r="F14" s="5" t="inlineStr">
        <is>
          <t>Time-limited fixed-term exceptions: recheck before entry/renewal, including the 1 November 2026 change point.</t>
        </is>
      </c>
    </row>
    <row r="15" ht="42" customHeight="1">
      <c r="A15" s="10" t="inlineStr">
        <is>
          <t>S10</t>
        </is>
      </c>
      <c r="B15" s="10" t="inlineStr">
        <is>
          <t>AHRC: Positive duty guidelines</t>
        </is>
      </c>
      <c r="C15" s="10" t="inlineStr">
        <is>
          <t>https://humanrights.gov.au/resource-hub/resources-for-organisations-businesses/positive-duty-pdfs/guidelines-for-complying-with-the-positive-duty-under-the-sex-discrimination-act-1984-cth</t>
        </is>
      </c>
      <c r="D15" s="10" t="inlineStr">
        <is>
          <t>Seven standards; reasonable and proportionate prevention of specified sex-related unlawful conduct. Distinct from general psychosocial WHS duties.</t>
        </is>
      </c>
      <c r="E15" s="62" t="n">
        <v>46305</v>
      </c>
      <c r="F15" s="6" t="inlineStr">
        <is>
          <t>Recheck before release and when the relevant rule, instrument or jurisdiction changes.</t>
        </is>
      </c>
    </row>
    <row r="16" ht="42" customHeight="1">
      <c r="A16" s="8" t="inlineStr">
        <is>
          <t>S11</t>
        </is>
      </c>
      <c r="B16" s="8" t="inlineStr">
        <is>
          <t>SWA: Identifying, assessing, controlling and reviewing psychosocial risks</t>
        </is>
      </c>
      <c r="C16" s="8" t="inlineStr">
        <is>
          <t>https://www.safeworkaustralia.gov.au/safety-topic/managing-health-and-safety/mental-health/managing-risks/identifying-assessing-controlling-and-reviewing</t>
        </is>
      </c>
      <c r="D16" s="8" t="inlineStr">
        <is>
          <t>Work design, behaviour and environment; actual risk controls and review. National guidance, not a substitute for applicable jurisdictional law.</t>
        </is>
      </c>
      <c r="E16" s="61" t="n">
        <v>46305</v>
      </c>
      <c r="F16" s="5" t="inlineStr">
        <is>
          <t>Recheck before release and when the relevant rule, instrument or jurisdiction changes.</t>
        </is>
      </c>
    </row>
    <row r="17" ht="42" customHeight="1">
      <c r="A17" s="10" t="inlineStr">
        <is>
          <t>S12</t>
        </is>
      </c>
      <c r="B17" s="10" t="inlineStr">
        <is>
          <t>SWA: Differences between WHS and wellbeing</t>
        </is>
      </c>
      <c r="C17" s="10" t="inlineStr">
        <is>
          <t>https://www.safeworkaustralia.gov.au/safety-topic/managing-health-and-safety/mental-health/managing-risks/differences-between-whs-and-wellbeing</t>
        </is>
      </c>
      <c r="D17" s="10" t="inlineStr">
        <is>
          <t>Wellbeing initiatives are not substitutes for prevention of work-related harm.</t>
        </is>
      </c>
      <c r="E17" s="62" t="n">
        <v>46305</v>
      </c>
      <c r="F17" s="6" t="inlineStr">
        <is>
          <t>Recheck before release and when the relevant rule, instrument or jurisdiction changes.</t>
        </is>
      </c>
    </row>
    <row r="18" ht="42" customHeight="1">
      <c r="A18" s="8" t="inlineStr">
        <is>
          <t>S13</t>
        </is>
      </c>
      <c r="B18" s="8" t="inlineStr">
        <is>
          <t>SWA: Managing risks</t>
        </is>
      </c>
      <c r="C18" s="8" t="inlineStr">
        <is>
          <t>https://www.safeworkaustralia.gov.au/safety-topic/managing-health-and-safety/identify-assess-and-control-hazards/managing-risks</t>
        </is>
      </c>
      <c r="D18" s="8" t="inlineStr">
        <is>
          <t>Identify, assess, control and review; consult workers and representatives. Validate state/territory obligations separately.</t>
        </is>
      </c>
      <c r="E18" s="61" t="n">
        <v>46305</v>
      </c>
      <c r="F18" s="5" t="inlineStr">
        <is>
          <t>Recheck before release and when the relevant rule, instrument or jurisdiction changes.</t>
        </is>
      </c>
    </row>
    <row r="19" ht="42" customHeight="1">
      <c r="A19" s="10" t="inlineStr">
        <is>
          <t>S14</t>
        </is>
      </c>
      <c r="B19" s="10" t="inlineStr">
        <is>
          <t>FWO: Record-keeping and pay slips</t>
        </is>
      </c>
      <c r="C19" s="10" t="inlineStr">
        <is>
          <t>https://www.fairwork.gov.au/tools-and-resources/fact-sheets/rights-and-obligations/record-keeping-pay-slips</t>
        </is>
      </c>
      <c r="D19" s="10" t="inlineStr">
        <is>
          <t>Required employment records generally retained 7 years; payslips within one working day of payday. Do not apply 7 years indiscriminately to every document.</t>
        </is>
      </c>
      <c r="E19" s="62" t="n">
        <v>46305</v>
      </c>
      <c r="F19" s="6" t="inlineStr">
        <is>
          <t>Recheck before release and when the relevant rule, instrument or jurisdiction changes.</t>
        </is>
      </c>
    </row>
    <row r="20" ht="42" customHeight="1">
      <c r="A20" s="8" t="inlineStr">
        <is>
          <t>S15</t>
        </is>
      </c>
      <c r="B20" s="8" t="inlineStr">
        <is>
          <t>OAIC: Employee records exemption</t>
        </is>
      </c>
      <c r="C20" s="8" t="inlineStr">
        <is>
          <t>https://www.oaic.gov.au/privacy/privacy-guidance-for-organisations-and-government-agencies/organisations/employee-records-exemption</t>
        </is>
      </c>
      <c r="D20" s="8" t="inlineStr">
        <is>
          <t>Limited exemption for directly related employer handling; not a blanket exemption for applicant information or external HR service providers.</t>
        </is>
      </c>
      <c r="E20" s="61" t="n">
        <v>46305</v>
      </c>
      <c r="F20" s="5" t="inlineStr">
        <is>
          <t>Recheck before release and when the relevant rule, instrument or jurisdiction changes.</t>
        </is>
      </c>
    </row>
    <row r="21" ht="42" customHeight="1">
      <c r="A21" s="10" t="inlineStr">
        <is>
          <t>S16</t>
        </is>
      </c>
      <c r="B21" s="10" t="inlineStr">
        <is>
          <t>OAIC: Small business</t>
        </is>
      </c>
      <c r="C21" s="10" t="inlineStr">
        <is>
          <t>https://www.oaic.gov.au/privacy/privacy-guidance-for-organisations-and-government-agencies/organisations/small-business</t>
        </is>
      </c>
      <c r="D21" s="10" t="inlineStr">
        <is>
          <t>Privacy Act coverage is not a headcount test; turnover and exceptions matter. Protect information as good practice regardless.</t>
        </is>
      </c>
      <c r="E21" s="62" t="n">
        <v>46305</v>
      </c>
      <c r="F21" s="6" t="inlineStr">
        <is>
          <t>Recheck before release and when the relevant rule, instrument or jurisdiction changes.</t>
        </is>
      </c>
    </row>
    <row r="22" ht="42" customHeight="1">
      <c r="A22" s="8" t="inlineStr">
        <is>
          <t>S17</t>
        </is>
      </c>
      <c r="B22" s="8" t="inlineStr">
        <is>
          <t>OAIC: AI and automated decision-making transparency</t>
        </is>
      </c>
      <c r="C22" s="8" t="inlineStr">
        <is>
          <t>https://www.oaic.gov.au/news/media-centre/new-resources-on-transparency-for-use-of-ai-and-automated-decision-making</t>
        </is>
      </c>
      <c r="D22" s="8" t="inlineStr">
        <is>
          <t>APP privacy-policy disclosures commence 10 December 2026 for covered significant decisions. Do not describe all AI use as unlawful without employee notification.</t>
        </is>
      </c>
      <c r="E22" s="61" t="n">
        <v>46305</v>
      </c>
      <c r="F22" s="5" t="inlineStr">
        <is>
          <t>Upcoming: 10 December 2026. Separate current oversight from the new APP privacy-policy disclosure obligation; reassess coverage.</t>
        </is>
      </c>
    </row>
    <row r="23" ht="42" customHeight="1">
      <c r="A23" s="10" t="inlineStr">
        <is>
          <t>S18</t>
        </is>
      </c>
      <c r="B23" s="10" t="inlineStr">
        <is>
          <t>WGEA: Who needs to report</t>
        </is>
      </c>
      <c r="C23" s="10" t="inlineStr">
        <is>
          <t>https://www.wgea.gov.au/reporting/reporting-guide/eligibility</t>
        </is>
      </c>
      <c r="D23" s="10" t="inlineStr">
        <is>
          <t>Relevant employer and group tests; generally 100 employees, with ongoing obligations for some previous reporters at 80-99. Not the Fair Work small-business count.</t>
        </is>
      </c>
      <c r="E23" s="62" t="n">
        <v>46305</v>
      </c>
      <c r="F23" s="6" t="inlineStr">
        <is>
          <t>Recheck before release and when the relevant rule, instrument or jurisdiction changes.</t>
        </is>
      </c>
    </row>
    <row r="24" ht="42" customHeight="1">
      <c r="A24" s="8" t="inlineStr">
        <is>
          <t>S19</t>
        </is>
      </c>
      <c r="B24" s="8" t="inlineStr">
        <is>
          <t>WGEA: Corporate structures</t>
        </is>
      </c>
      <c r="C24" s="8" t="inlineStr">
        <is>
          <t>https://www.wgea.gov.au/reporting/reporting-guide/corporate-structures</t>
        </is>
      </c>
      <c r="D24" s="8" t="inlineStr">
        <is>
          <t>Group reporting may include smaller employing subsidiaries. Check organisation type and prior reporting.</t>
        </is>
      </c>
      <c r="E24" s="61" t="n">
        <v>46305</v>
      </c>
      <c r="F24" s="5" t="inlineStr">
        <is>
          <t>Recheck before release and when the relevant rule, instrument or jurisdiction changes.</t>
        </is>
      </c>
    </row>
    <row r="25" ht="42" customHeight="1">
      <c r="A25" s="10" t="inlineStr">
        <is>
          <t>S20</t>
        </is>
      </c>
      <c r="B25" s="10" t="inlineStr">
        <is>
          <t>FWO: Right to disconnect and casual changes for small businesses</t>
        </is>
      </c>
      <c r="C25" s="10" t="inlineStr">
        <is>
          <t>https://www.fairwork.gov.au/newsroom/news/start-right-disconnect-and-casual-changes-small-businesses</t>
        </is>
      </c>
      <c r="D25" s="10" t="inlineStr">
        <is>
          <t>Right to disconnect also applies to small-business employees from 26 August 2025; refusal must not be unreasonable.</t>
        </is>
      </c>
      <c r="E25" s="62" t="n">
        <v>46305</v>
      </c>
      <c r="F25" s="6" t="inlineStr">
        <is>
          <t>Recheck before release and when the relevant rule, instrument or jurisdiction changes.</t>
        </is>
      </c>
    </row>
    <row r="26" ht="42" customHeight="1">
      <c r="A26" s="8" t="inlineStr">
        <is>
          <t>S21</t>
        </is>
      </c>
      <c r="B26" s="8" t="inlineStr">
        <is>
          <t>FWO: Family and domestic violence leave</t>
        </is>
      </c>
      <c r="C26" s="8" t="inlineStr">
        <is>
          <t>https://www.fairwork.gov.au/tools-and-resources/fact-sheets/minimum-workplace-entitlements/family-and-domestic-violence-leave</t>
        </is>
      </c>
      <c r="D26" s="8" t="inlineStr">
        <is>
          <t>10 days paid leave including casuals; correct payment, privacy and payslip handling require distinct checks.</t>
        </is>
      </c>
      <c r="E26" s="61" t="n">
        <v>46305</v>
      </c>
      <c r="F26" s="5" t="inlineStr">
        <is>
          <t>Recheck before release and when the relevant rule, instrument or jurisdiction changes.</t>
        </is>
      </c>
    </row>
    <row r="27" ht="42" customHeight="1">
      <c r="A27" s="10" t="inlineStr">
        <is>
          <t>S22</t>
        </is>
      </c>
      <c r="B27" s="10" t="inlineStr">
        <is>
          <t>FWO: Flexible working arrangement requests</t>
        </is>
      </c>
      <c r="C27" s="10" t="inlineStr">
        <is>
          <t>https://www.fairwork.gov.au/tools-and-resources/fact-sheets/minimum-workplace-entitlements/requests-for-flexible-working-arrangements</t>
        </is>
      </c>
      <c r="D27" s="10" t="inlineStr">
        <is>
          <t>For eligible requests, discuss, consider alternatives and consequences, respond in writing within 21 days; refusal only on reasonable business grounds.</t>
        </is>
      </c>
      <c r="E27" s="62" t="n">
        <v>46305</v>
      </c>
      <c r="F27" s="6" t="inlineStr">
        <is>
          <t>Recheck before release and when the relevant rule, instrument or jurisdiction changes.</t>
        </is>
      </c>
    </row>
    <row r="28" ht="42" customHeight="1">
      <c r="A28" s="8" t="inlineStr">
        <is>
          <t>S23</t>
        </is>
      </c>
      <c r="B28" s="8" t="inlineStr">
        <is>
          <t>FWO: Whole of relationship test</t>
        </is>
      </c>
      <c r="C28" s="8" t="inlineStr">
        <is>
          <t>https://www.fairwork.gov.au/find-help-for/independent-contractors/whole-of-relationship-test</t>
        </is>
      </c>
      <c r="D28" s="8" t="inlineStr">
        <is>
          <t>Relevant test depends on entity and circumstances. An ABN and contractor label do not settle employment status.</t>
        </is>
      </c>
      <c r="E28" s="61" t="n">
        <v>46305</v>
      </c>
      <c r="F28" s="5" t="inlineStr">
        <is>
          <t>Recheck before release and when the relevant rule, instrument or jurisdiction changes.</t>
        </is>
      </c>
    </row>
    <row r="29" ht="42" customHeight="1">
      <c r="A29" s="10" t="inlineStr">
        <is>
          <t>S24</t>
        </is>
      </c>
      <c r="B29" s="10" t="inlineStr">
        <is>
          <t>ATO: Super for independent contractors</t>
        </is>
      </c>
      <c r="C29" s="10" t="inlineStr">
        <is>
          <t>https://www.ato.gov.au/businesses-and-organisations/super-for-employers/work-out-if-you-have-to-pay-super/super-for-independent-contractors</t>
        </is>
      </c>
      <c r="D29" s="10" t="inlineStr">
        <is>
          <t>Separate super assessment for eligible labour-based contracts; employment-status assessment alone is insufficient.</t>
        </is>
      </c>
      <c r="E29" s="62" t="n">
        <v>46305</v>
      </c>
      <c r="F29" s="6" t="inlineStr">
        <is>
          <t>Recheck before release and when the relevant rule, instrument or jurisdiction changes.</t>
        </is>
      </c>
    </row>
    <row r="30" ht="42" customHeight="1">
      <c r="A30" s="8" t="inlineStr">
        <is>
          <t>S25</t>
        </is>
      </c>
      <c r="B30" s="8" t="inlineStr">
        <is>
          <t>FWO: Consultation and cooperation</t>
        </is>
      </c>
      <c r="C30" s="8" t="inlineStr">
        <is>
          <t>https://www.fairwork.gov.au/tools-and-resources/best-practice-guides/consultation-and-cooperation-in-the-workplace</t>
        </is>
      </c>
      <c r="D30" s="8" t="inlineStr">
        <is>
          <t>Consultation duties for major change and roster/hours changes; consent provisions may also apply. Do not equate consultation with negotiation.</t>
        </is>
      </c>
      <c r="E30" s="61" t="n">
        <v>46305</v>
      </c>
      <c r="F30" s="5" t="inlineStr">
        <is>
          <t>Recheck before release and when the relevant rule, instrument or jurisdiction changes.</t>
        </is>
      </c>
    </row>
    <row r="31" ht="42" customHeight="1">
      <c r="A31" s="10" t="inlineStr">
        <is>
          <t>S26</t>
        </is>
      </c>
      <c r="B31" s="10" t="inlineStr">
        <is>
          <t>FWO: Ending employment</t>
        </is>
      </c>
      <c r="C31" s="10" t="inlineStr">
        <is>
          <t>https://www.fairwork.gov.au/tools-and-resources/fact-sheets/minimum-workplace-entitlements/ending-employment</t>
        </is>
      </c>
      <c r="D31" s="10" t="inlineStr">
        <is>
          <t>Check reason, procedure, notice and entitlements; small-business code and general protections are distinct. Seek advice for live matters.</t>
        </is>
      </c>
      <c r="E31" s="62" t="n">
        <v>46305</v>
      </c>
      <c r="F31" s="6" t="inlineStr">
        <is>
          <t>Recheck before release and when the relevant rule, instrument or jurisdiction changes.</t>
        </is>
      </c>
    </row>
    <row r="32" ht="42" customHeight="1">
      <c r="A32" s="8" t="inlineStr">
        <is>
          <t>S27</t>
        </is>
      </c>
      <c r="B32" s="8" t="inlineStr">
        <is>
          <t>FWO: Managing underperformance</t>
        </is>
      </c>
      <c r="C32" s="8" t="inlineStr">
        <is>
          <t>https://www.fairwork.gov.au/sites/default/files/migration/711/managing-underperformance-best-practice-guide.pdf</t>
        </is>
      </c>
      <c r="D32" s="8" t="inlineStr">
        <is>
          <t>Regular feedback, clear expectations, support and fair handling; a formal annual appraisal is not the only workable process.</t>
        </is>
      </c>
      <c r="E32" s="61" t="n">
        <v>46305</v>
      </c>
      <c r="F32" s="5" t="inlineStr">
        <is>
          <t>Recheck before release and when the relevant rule, instrument or jurisdiction changes.</t>
        </is>
      </c>
    </row>
    <row r="33" ht="42" customHeight="1">
      <c r="A33" s="10" t="inlineStr">
        <is>
          <t>S28</t>
        </is>
      </c>
      <c r="B33" s="10" t="inlineStr">
        <is>
          <t>FWO: Cashing out annual leave</t>
        </is>
      </c>
      <c r="C33" s="10" t="inlineStr">
        <is>
          <t>https://www.fairwork.gov.au/leave/annual-leave/cashing-out-annual-leave</t>
        </is>
      </c>
      <c r="D33" s="10" t="inlineStr">
        <is>
          <t>Permission, limits, genuine agreement and correct payment depend on instrument. Do not hard-code one award rule for every user.</t>
        </is>
      </c>
      <c r="E33" s="62" t="n">
        <v>46305</v>
      </c>
      <c r="F33" s="6" t="inlineStr">
        <is>
          <t>Recheck before release and when the relevant rule, instrument or jurisdiction changes.</t>
        </is>
      </c>
    </row>
    <row r="34" ht="42" customHeight="1">
      <c r="A34" s="8" t="inlineStr">
        <is>
          <t>S29</t>
        </is>
      </c>
      <c r="B34" s="8" t="inlineStr">
        <is>
          <t>FWO: Annual leave during shutdowns</t>
        </is>
      </c>
      <c r="C34" s="8" t="inlineStr">
        <is>
          <t>https://www.fairwork.gov.au/leave/annual-leave/directing-an-employee-to-take-annual-leave/direction-to-take-annual-leave-during-a-shut-down</t>
        </is>
      </c>
      <c r="D34" s="8" t="inlineStr">
        <is>
          <t>Check applicable award/agreement and reasonable directions; insufficient leave needs a lawful arrangement.</t>
        </is>
      </c>
      <c r="E34" s="61" t="n">
        <v>46305</v>
      </c>
      <c r="F34" s="5" t="inlineStr">
        <is>
          <t>Recheck before release and when the relevant rule, instrument or jurisdiction changes.</t>
        </is>
      </c>
    </row>
    <row r="35" ht="42" customHeight="1">
      <c r="A35" s="10" t="inlineStr">
        <is>
          <t>S30</t>
        </is>
      </c>
      <c r="B35" s="10" t="inlineStr">
        <is>
          <t>FWO: Individual flexibility arrangements</t>
        </is>
      </c>
      <c r="C35" s="10" t="inlineStr">
        <is>
          <t>https://www.fairwork.gov.au/employment-conditions/flexibility-in-the-workplace/individual-flexibility-arrangements</t>
        </is>
      </c>
      <c r="D35" s="10" t="inlineStr">
        <is>
          <t>Genuine agreement, permitted terms, written documentation and better off overall assessment; not the same as a flexible-work request.</t>
        </is>
      </c>
      <c r="E35" s="62" t="n">
        <v>46305</v>
      </c>
      <c r="F35" s="6" t="inlineStr">
        <is>
          <t>Recheck before release and when the relevant rule, instrument or jurisdiction changes.</t>
        </is>
      </c>
    </row>
    <row r="36" ht="42" customHeight="1">
      <c r="A36" s="8" t="inlineStr">
        <is>
          <t>S31</t>
        </is>
      </c>
      <c r="B36" s="8" t="inlineStr">
        <is>
          <t>NSW: Community services portable long service leave employer obligations</t>
        </is>
      </c>
      <c r="C36" s="8" t="inlineStr">
        <is>
          <t>https://www.nsw.gov.au/employment/rights-responsibilities/portable-long-service/csi-long-service-leave-scheme/employer-obligations</t>
        </is>
      </c>
      <c r="D36" s="8" t="inlineStr">
        <is>
          <t>Example of state/industry obligations: scheme began 1 July 2025; does not replace ordinary NSW long service leave obligations. Other schemes require their own review.</t>
        </is>
      </c>
      <c r="E36" s="61" t="n">
        <v>46305</v>
      </c>
      <c r="F36" s="5" t="inlineStr">
        <is>
          <t>Recheck before release and when the relevant rule, instrument or jurisdiction changes.</t>
        </is>
      </c>
    </row>
    <row r="37" ht="42" customHeight="1">
      <c r="A37" s="10" t="inlineStr">
        <is>
          <t>S32</t>
        </is>
      </c>
      <c r="B37" s="10" t="inlineStr">
        <is>
          <t>Home Affairs: VEVO</t>
        </is>
      </c>
      <c r="C37" s="10" t="inlineStr">
        <is>
          <t>https://immi.homeaffairs.gov.au/visa-conditions-subsite/Pages/Check-conditions-online-vevo.aspx</t>
        </is>
      </c>
      <c r="D37" s="10" t="inlineStr">
        <is>
          <t>Consent-based visa checks; VEVO does not verify Australian citizenship. Use a consistent right-to-work process, not nationality assumptions.</t>
        </is>
      </c>
      <c r="E37" s="62" t="n">
        <v>46305</v>
      </c>
      <c r="F37" s="6" t="inlineStr">
        <is>
          <t>Recheck before release and when the relevant rule, instrument or jurisdiction changes.</t>
        </is>
      </c>
    </row>
    <row r="38" ht="42" customHeight="1">
      <c r="A38" s="8" t="inlineStr">
        <is>
          <t>S33</t>
        </is>
      </c>
      <c r="B38" s="8" t="inlineStr">
        <is>
          <t>FWO: Apprentices and trainees</t>
        </is>
      </c>
      <c r="C38" s="8" t="inlineStr">
        <is>
          <t>https://www.fairwork.gov.au/pay-and-wages/minimum-wages/apprentice-and-trainee-pay-rates</t>
        </is>
      </c>
      <c r="D38" s="8" t="inlineStr">
        <is>
          <t>Special rates require appropriate training arrangements; check progression and conditions.</t>
        </is>
      </c>
      <c r="E38" s="61" t="n">
        <v>46305</v>
      </c>
      <c r="F38" s="5" t="inlineStr">
        <is>
          <t>Recheck before release and when the relevant rule, instrument or jurisdiction changes.</t>
        </is>
      </c>
    </row>
    <row r="39" ht="42" customHeight="1">
      <c r="A39" s="10" t="inlineStr">
        <is>
          <t>S34</t>
        </is>
      </c>
      <c r="B39" s="10" t="inlineStr">
        <is>
          <t>FWO: Junior rates</t>
        </is>
      </c>
      <c r="C39" s="10" t="inlineStr">
        <is>
          <t>https://www.fairwork.gov.au/pay-and-wages/minimum-wages/junior-pay-rates</t>
        </is>
      </c>
      <c r="D39" s="10" t="inlineStr">
        <is>
          <t>Age and duties can affect rates. Award-specific changes require currency checks rather than fixed rates in this tool.</t>
        </is>
      </c>
      <c r="E39" s="62" t="n">
        <v>46305</v>
      </c>
      <c r="F39" s="6" t="inlineStr">
        <is>
          <t>Recheck before release and when the relevant rule, instrument or jurisdiction changes.</t>
        </is>
      </c>
    </row>
    <row r="40" ht="42" customHeight="1">
      <c r="A40" s="8" t="inlineStr">
        <is>
          <t>S35</t>
        </is>
      </c>
      <c r="B40" s="8" t="inlineStr">
        <is>
          <t>WA Government: Which system of employment law applies</t>
        </is>
      </c>
      <c r="C40" s="8" t="inlineStr">
        <is>
          <t>https://www.wa.gov.au/organisation/private-sector-labour-relations/which-system-of-employment-law-applies</t>
        </is>
      </c>
      <c r="D40" s="8" t="inlineStr">
        <is>
          <t>National versus state system depends on legal entity and circumstances; identify before selling national-system legal feedback.</t>
        </is>
      </c>
      <c r="E40" s="61" t="n">
        <v>46305</v>
      </c>
      <c r="F40" s="5" t="inlineStr">
        <is>
          <t>Recheck before release and when the relevant rule, instrument or jurisdiction changes.</t>
        </is>
      </c>
    </row>
    <row r="41" ht="42" customHeight="1">
      <c r="A41" s="10" t="inlineStr">
        <is>
          <t>S36</t>
        </is>
      </c>
      <c r="B41" s="10" t="inlineStr">
        <is>
          <t>FWO: WA sole traders with employees in other states</t>
        </is>
      </c>
      <c r="C41" s="10" t="inlineStr">
        <is>
          <t>https://library.fairwork.gov.au/viewer/?krn=K600619</t>
        </is>
      </c>
      <c r="D41" s="10" t="inlineStr">
        <is>
          <t>Multi-state arrangements can have different system coverage for different employees. Do not route on headquarters alone.</t>
        </is>
      </c>
      <c r="E41" s="62" t="n">
        <v>46305</v>
      </c>
      <c r="F41" s="6" t="inlineStr">
        <is>
          <t>Recheck before release and when the relevant rule, instrument or jurisdiction changes.</t>
        </is>
      </c>
    </row>
    <row r="42" ht="42" customHeight="1">
      <c r="A42" s="8" t="inlineStr">
        <is>
          <t>S37</t>
        </is>
      </c>
      <c r="B42" s="8" t="inlineStr">
        <is>
          <t>FWC: What is an enterprise agreement?</t>
        </is>
      </c>
      <c r="C42" s="8" t="inlineStr">
        <is>
          <t>https://www.fwc.gov.au/what-enterprise-agreement</t>
        </is>
      </c>
      <c r="D42" s="8" t="inlineStr">
        <is>
          <t>An agreement continues after its nominal expiry date until replaced or terminated. Do not switch payroll automatically to an award.</t>
        </is>
      </c>
      <c r="E42" s="61" t="n">
        <v>46305</v>
      </c>
      <c r="F42" s="5" t="inlineStr">
        <is>
          <t>Recheck before release and when the relevant rule, instrument or jurisdiction changes.</t>
        </is>
      </c>
    </row>
    <row r="43" ht="42" customHeight="1">
      <c r="A43" s="10" t="inlineStr">
        <is>
          <t>S38</t>
        </is>
      </c>
      <c r="B43" s="10" t="inlineStr">
        <is>
          <t>SWA: Workers compensation</t>
        </is>
      </c>
      <c r="C43" s="10" t="inlineStr">
        <is>
          <t>https://www.safeworkaustralia.gov.au/workers-compensation</t>
        </is>
      </c>
      <c r="D43" s="10" t="inlineStr">
        <is>
          <t>Overview and links to the responsible scheme authorities. Coverage and claims duties require the relevant jurisdiction; SWA does not administer claims.</t>
        </is>
      </c>
      <c r="E43" s="62" t="n">
        <v>46305</v>
      </c>
      <c r="F43" s="6" t="inlineStr">
        <is>
          <t>Recheck before release and when the relevant rule, instrument or jurisdiction changes.</t>
        </is>
      </c>
    </row>
    <row r="44" ht="42" customHeight="1">
      <c r="A44" s="8" t="inlineStr">
        <is>
          <t>S39</t>
        </is>
      </c>
      <c r="B44" s="8" t="inlineStr">
        <is>
          <t>FWO: National Employment Standards</t>
        </is>
      </c>
      <c r="C44" s="8" t="inlineStr">
        <is>
          <t>https://www.fairwork.gov.au/employment-conditions/national-employment-standards</t>
        </is>
      </c>
      <c r="D44" s="8" t="inlineStr">
        <is>
          <t>National-system minimum entitlements, including different application to casuals. Check eligibility, employment pattern and the applicable leave/payment rule.</t>
        </is>
      </c>
      <c r="E44" s="61" t="n">
        <v>46305</v>
      </c>
      <c r="F44" s="5" t="inlineStr">
        <is>
          <t>Recheck before release and when the relevant rule, instrument or jurisdiction changes.</t>
        </is>
      </c>
    </row>
    <row r="45" ht="118" customHeight="1">
      <c r="A45" s="8" t="inlineStr">
        <is>
          <t>S40</t>
        </is>
      </c>
      <c r="B45" s="8" t="inlineStr">
        <is>
          <t>FWO: I think I have underpaid my employee</t>
        </is>
      </c>
      <c r="C45" s="8" t="inlineStr">
        <is>
          <t>https://www.fairwork.gov.au/workplace-problems/common-workplace-problems/i-think-ive-underpaid-my-employee</t>
        </is>
      </c>
      <c r="D45" s="8" t="inlineStr">
        <is>
          <t>Check the amount and affected period, discuss and correct the shortfall, check related obligations and repair the cause. Used for B23; risk labels are design judgements.</t>
        </is>
      </c>
      <c r="E45" s="61" t="n">
        <v>46305</v>
      </c>
      <c r="F45" s="5" t="inlineStr">
        <is>
          <t>Pay remediation guidance or practice changes.</t>
        </is>
      </c>
    </row>
    <row r="46" ht="118" customHeight="1">
      <c r="A46" s="8" t="inlineStr">
        <is>
          <t>S41</t>
        </is>
      </c>
      <c r="B46" s="8" t="inlineStr">
        <is>
          <t>AHRC: Disability discrimination and the workplace</t>
        </is>
      </c>
      <c r="C46" s="8" t="inlineStr">
        <is>
          <t>https://humanrights.gov.au/know-your-rights/rights-of-individuals/disability-rights/disability-discrimination-and-the-workplace</t>
        </is>
      </c>
      <c r="D46" s="8" t="inlineStr">
        <is>
          <t>Consider inherent requirements and workplace adjustments with the person. Unjustifiable hardship requires specific consideration. Used for B24; not a medical assessment.</t>
        </is>
      </c>
      <c r="E46" s="61" t="n">
        <v>46305</v>
      </c>
      <c r="F46" s="5" t="inlineStr">
        <is>
          <t>Disability law or guidance changes; live cases need individual advice.</t>
        </is>
      </c>
    </row>
    <row r="47" ht="118" customHeight="1">
      <c r="A47" s="8" t="inlineStr">
        <is>
          <t>S42</t>
        </is>
      </c>
      <c r="B47" s="8" t="inlineStr">
        <is>
          <t>SWA: Labour hire WHS duties</t>
        </is>
      </c>
      <c r="C47" s="8" t="inlineStr">
        <is>
          <t>https://www.safeworkaustralia.gov.au/safety-topic/managing-health-and-safety/labour-hire/whs-duties</t>
        </is>
      </c>
      <c r="D47" s="8" t="inlineStr">
        <is>
          <t>Host and labour-hire duties cannot simply be transferred by contract. Coordinate controls and consult. Model-law guidance; confirm the applicable jurisdiction.</t>
        </is>
      </c>
      <c r="E47" s="61" t="n">
        <v>46305</v>
      </c>
      <c r="F47" s="5" t="inlineStr">
        <is>
          <t>Shared-work arrangements or state/territory requirements change.</t>
        </is>
      </c>
    </row>
    <row r="48" ht="118" customHeight="1">
      <c r="A48" s="8" t="inlineStr">
        <is>
          <t>S43</t>
        </is>
      </c>
      <c r="B48" s="8" t="inlineStr">
        <is>
          <t>FWO: Right to disconnect</t>
        </is>
      </c>
      <c r="C48" s="8" t="inlineStr">
        <is>
          <t>https://www.fairwork.gov.au/employment-conditions/right-to-disconnect</t>
        </is>
      </c>
      <c r="D48" s="8" t="inlineStr">
        <is>
          <t>An employee can refuse to monitor, read or respond outside working hours unless the refusal is unreasonable. B19 wording corrected to avoid reversing this test.</t>
        </is>
      </c>
      <c r="E48" s="61" t="n">
        <v>46305</v>
      </c>
      <c r="F48" s="5" t="inlineStr">
        <is>
          <t>Changes to legislation, awards, agreements or guidance.</t>
        </is>
      </c>
    </row>
  </sheetData>
  <autoFilter ref="A5:F48"/>
  <mergeCells count="3">
    <mergeCell ref="A3:F3"/>
    <mergeCell ref="A2:F2"/>
    <mergeCell ref="A1:F1"/>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 xmlns:r="http://schemas.openxmlformats.org/officeDocument/2006/relationships" ref="C17" r:id="rId12"/>
    <hyperlink xmlns:r="http://schemas.openxmlformats.org/officeDocument/2006/relationships" ref="C18"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 xmlns:r="http://schemas.openxmlformats.org/officeDocument/2006/relationships" ref="C25" r:id="rId20"/>
    <hyperlink xmlns:r="http://schemas.openxmlformats.org/officeDocument/2006/relationships" ref="C26" r:id="rId21"/>
    <hyperlink xmlns:r="http://schemas.openxmlformats.org/officeDocument/2006/relationships" ref="C27" r:id="rId22"/>
    <hyperlink xmlns:r="http://schemas.openxmlformats.org/officeDocument/2006/relationships" ref="C28" r:id="rId23"/>
    <hyperlink xmlns:r="http://schemas.openxmlformats.org/officeDocument/2006/relationships" ref="C29" r:id="rId24"/>
    <hyperlink xmlns:r="http://schemas.openxmlformats.org/officeDocument/2006/relationships" ref="C30" r:id="rId25"/>
    <hyperlink xmlns:r="http://schemas.openxmlformats.org/officeDocument/2006/relationships" ref="C31" r:id="rId26"/>
    <hyperlink xmlns:r="http://schemas.openxmlformats.org/officeDocument/2006/relationships" ref="C32" r:id="rId27"/>
    <hyperlink xmlns:r="http://schemas.openxmlformats.org/officeDocument/2006/relationships" ref="C33" r:id="rId28"/>
    <hyperlink xmlns:r="http://schemas.openxmlformats.org/officeDocument/2006/relationships" ref="C34" r:id="rId29"/>
    <hyperlink xmlns:r="http://schemas.openxmlformats.org/officeDocument/2006/relationships" ref="C35" r:id="rId30"/>
    <hyperlink xmlns:r="http://schemas.openxmlformats.org/officeDocument/2006/relationships" ref="C36" r:id="rId31"/>
    <hyperlink xmlns:r="http://schemas.openxmlformats.org/officeDocument/2006/relationships" ref="C37" r:id="rId32"/>
    <hyperlink xmlns:r="http://schemas.openxmlformats.org/officeDocument/2006/relationships" ref="C38" r:id="rId33"/>
    <hyperlink xmlns:r="http://schemas.openxmlformats.org/officeDocument/2006/relationships" ref="C39" r:id="rId34"/>
    <hyperlink xmlns:r="http://schemas.openxmlformats.org/officeDocument/2006/relationships" ref="C40" r:id="rId35"/>
    <hyperlink xmlns:r="http://schemas.openxmlformats.org/officeDocument/2006/relationships" ref="C41" r:id="rId36"/>
    <hyperlink xmlns:r="http://schemas.openxmlformats.org/officeDocument/2006/relationships" ref="C42" r:id="rId37"/>
    <hyperlink xmlns:r="http://schemas.openxmlformats.org/officeDocument/2006/relationships" ref="C43" r:id="rId38"/>
    <hyperlink xmlns:r="http://schemas.openxmlformats.org/officeDocument/2006/relationships" ref="C44" r:id="rId39"/>
  </hyperlinks>
  <pageMargins left="0.7" right="0.7" top="0.75" bottom="0.75" header="0.3" footer="0.3"/>
</worksheet>
</file>

<file path=xl/worksheets/sheet16.xml><?xml version="1.0" encoding="utf-8"?>
<worksheet xmlns="http://schemas.openxmlformats.org/spreadsheetml/2006/main">
  <sheetPr>
    <tabColor rgb="FF472C5B"/>
    <outlinePr summaryBelow="1" summaryRight="1"/>
    <pageSetUpPr/>
  </sheetPr>
  <dimension ref="A1:G78"/>
  <sheetViews>
    <sheetView showGridLines="0" workbookViewId="0">
      <pane xSplit="2" ySplit="5" topLeftCell="C6" activePane="bottomRight" state="frozen"/>
      <selection activeCell="A1" sqref="A1"/>
    </sheetView>
  </sheetViews>
  <sheetFormatPr baseColWidth="8" defaultRowHeight="15"/>
  <cols>
    <col width="14" customWidth="1" min="1" max="1"/>
    <col width="34" customWidth="1" min="2" max="2"/>
    <col width="107" customWidth="1" min="3" max="3"/>
    <col width="78" customWidth="1" min="4" max="4"/>
    <col width="85" customWidth="1" min="5" max="5"/>
    <col width="15" customWidth="1" min="6" max="6"/>
    <col width="83" customWidth="1" min="7" max="7"/>
  </cols>
  <sheetData>
    <row r="1" ht="38" customHeight="1">
      <c r="A1" s="1" t="inlineStr">
        <is>
          <t>Executed reference tests and release checks</t>
        </is>
      </c>
    </row>
    <row r="2" ht="34" customHeight="1">
      <c r="A2" s="2" t="inlineStr">
        <is>
          <t>V2 results are retained as historical records. V3 rows are populated by the current test script. Reference logic and formula checks do not validate the future app or replace a legal/user pilot.</t>
        </is>
      </c>
    </row>
    <row r="3" ht="22" customHeight="1">
      <c r="A3" s="3" t="inlineStr">
        <is>
          <t>DREAMSTONEHR | PROPOSED V3.0 | 10 OCTOBER 2026</t>
        </is>
      </c>
    </row>
    <row r="4"/>
    <row r="5" ht="34" customHeight="1">
      <c r="A5" s="4" t="inlineStr">
        <is>
          <t>Test ID</t>
        </is>
      </c>
      <c r="B5" s="4" t="inlineStr">
        <is>
          <t>Test</t>
        </is>
      </c>
      <c r="C5" s="4" t="inlineStr">
        <is>
          <t>Scenario / input</t>
        </is>
      </c>
      <c r="D5" s="4" t="inlineStr">
        <is>
          <t>Expected result</t>
        </is>
      </c>
      <c r="E5" s="4" t="inlineStr">
        <is>
          <t>Observed result</t>
        </is>
      </c>
      <c r="F5" s="4" t="inlineStr">
        <is>
          <t>Status</t>
        </is>
      </c>
      <c r="G5" s="4" t="inlineStr">
        <is>
          <t>Scope / limitation</t>
        </is>
      </c>
    </row>
    <row r="6" ht="34" customHeight="1">
      <c r="A6" s="5" t="inlineStr">
        <is>
          <t>T01</t>
        </is>
      </c>
      <c r="B6" s="5" t="inlineStr">
        <is>
          <t>All established</t>
        </is>
      </c>
      <c r="C6" s="5" t="inlineStr">
        <is>
          <t>All 66 applicable; every response 3.</t>
        </is>
      </c>
      <c r="D6" s="5" t="inlineStr">
        <is>
          <t>100%; no priority flags</t>
        </is>
      </c>
      <c r="E6" s="5" t="inlineStr">
        <is>
          <t>100.00%; 0 flags</t>
        </is>
      </c>
      <c r="F6" s="5" t="inlineStr">
        <is>
          <t>V2 historical PASS</t>
        </is>
      </c>
      <c r="G6" s="5" t="inlineStr">
        <is>
          <t>Carried forward from v2. Not rerun as a v3 assertion; see new V3 tests appended below.</t>
        </is>
      </c>
    </row>
    <row r="7" ht="34" customHeight="1">
      <c r="A7" s="6" t="inlineStr">
        <is>
          <t>T02</t>
        </is>
      </c>
      <c r="B7" s="6" t="inlineStr">
        <is>
          <t>All absent</t>
        </is>
      </c>
      <c r="C7" s="6" t="inlineStr">
        <is>
          <t>44 core applicable; every response 0.</t>
        </is>
      </c>
      <c r="D7" s="6" t="inlineStr">
        <is>
          <t>0%; priority flags remain visible</t>
        </is>
      </c>
      <c r="E7" s="6" t="inlineStr">
        <is>
          <t>0.00%; 15 flags</t>
        </is>
      </c>
      <c r="F7" s="6" t="inlineStr">
        <is>
          <t>V2 historical PASS</t>
        </is>
      </c>
      <c r="G7" s="6" t="inlineStr">
        <is>
          <t>Carried forward from v2. Not rerun as a v3 assertion; see new V3 tests appended below.</t>
        </is>
      </c>
    </row>
    <row r="8" ht="34" customHeight="1">
      <c r="A8" s="5" t="inlineStr">
        <is>
          <t>T03</t>
        </is>
      </c>
      <c r="B8" s="5" t="inlineStr">
        <is>
          <t>All unknown</t>
        </is>
      </c>
      <c r="C8" s="5" t="inlineStr">
        <is>
          <t>All core responses DK.</t>
        </is>
      </c>
      <c r="D8" s="5" t="inlineStr">
        <is>
          <t>No published score; information needs confirmation</t>
        </is>
      </c>
      <c r="E8" s="5" t="inlineStr">
        <is>
          <t>Information needs confirmation</t>
        </is>
      </c>
      <c r="F8" s="5" t="inlineStr">
        <is>
          <t>V2 historical PASS</t>
        </is>
      </c>
      <c r="G8" s="5" t="inlineStr">
        <is>
          <t>Carried forward from v2. Not rerun as a v3 assertion; see new V3 tests appended below.</t>
        </is>
      </c>
    </row>
    <row r="9" ht="42" customHeight="1">
      <c r="A9" s="6" t="inlineStr">
        <is>
          <t>T04</t>
        </is>
      </c>
      <c r="B9" s="6" t="inlineStr">
        <is>
          <t>High average cannot hide a material gap</t>
        </is>
      </c>
      <c r="C9" s="6" t="inlineStr">
        <is>
          <t>All core 3 except PAY02=0.</t>
        </is>
      </c>
      <c r="D9" s="6" t="inlineStr">
        <is>
          <t>Working score above 70%; priority review, not unqualified high result</t>
        </is>
      </c>
      <c r="E9" s="6" t="inlineStr">
        <is>
          <t>96.82%; Priority review required</t>
        </is>
      </c>
      <c r="F9" s="6" t="inlineStr">
        <is>
          <t>V2 historical PASS</t>
        </is>
      </c>
      <c r="G9" s="6" t="inlineStr">
        <is>
          <t>Carried forward from v2. Not rerun as a v3 assertion; see new V3 tests appended below.</t>
        </is>
      </c>
    </row>
    <row r="10" ht="42" customHeight="1">
      <c r="A10" s="5" t="inlineStr">
        <is>
          <t>T05</t>
        </is>
      </c>
      <c r="B10" s="5" t="inlineStr">
        <is>
          <t>Unknown is not an established breach</t>
        </is>
      </c>
      <c r="C10" s="5" t="inlineStr">
        <is>
          <t>PAY01=DK; other core responses 3.</t>
        </is>
      </c>
      <c r="D10" s="5" t="inlineStr">
        <is>
          <t>PAY01 Verify priority, not Priority action</t>
        </is>
      </c>
      <c r="E10" s="5" t="inlineStr">
        <is>
          <t>[('PAY01', 'Verify priority')]</t>
        </is>
      </c>
      <c r="F10" s="5" t="inlineStr">
        <is>
          <t>V2 historical PASS</t>
        </is>
      </c>
      <c r="G10" s="5" t="inlineStr">
        <is>
          <t>Carried forward from v2. Not rerun as a v3 assertion; see new V3 tests appended below.</t>
        </is>
      </c>
    </row>
    <row r="11" ht="34" customHeight="1">
      <c r="A11" s="6" t="inlineStr">
        <is>
          <t>T06</t>
        </is>
      </c>
      <c r="B11" s="6" t="inlineStr">
        <is>
          <t>Blank blocks final result</t>
        </is>
      </c>
      <c r="C11" s="6" t="inlineStr">
        <is>
          <t>One eligible core question is blank.</t>
        </is>
      </c>
      <c r="D11" s="6" t="inlineStr">
        <is>
          <t>Incomplete; no published score</t>
        </is>
      </c>
      <c r="E11" s="6" t="inlineStr">
        <is>
          <t>Incomplete</t>
        </is>
      </c>
      <c r="F11" s="6" t="inlineStr">
        <is>
          <t>V2 historical PASS</t>
        </is>
      </c>
      <c r="G11" s="6" t="inlineStr">
        <is>
          <t>Carried forward from v2. Not rerun as a v3 assertion; see new V3 tests appended below.</t>
        </is>
      </c>
    </row>
    <row r="12" ht="34" customHeight="1">
      <c r="A12" s="5" t="inlineStr">
        <is>
          <t>T07</t>
        </is>
      </c>
      <c r="B12" s="5" t="inlineStr">
        <is>
          <t>Confirmed non-applicability</t>
        </is>
      </c>
      <c r="C12" s="5" t="inlineStr">
        <is>
          <t>All conditional routes confirmed no.</t>
        </is>
      </c>
      <c r="D12" s="5" t="inlineStr">
        <is>
          <t>44 eligible core questions; 100%</t>
        </is>
      </c>
      <c r="E12" s="5" t="inlineStr">
        <is>
          <t>44 questions; 100.00%</t>
        </is>
      </c>
      <c r="F12" s="5" t="inlineStr">
        <is>
          <t>V2 historical PASS</t>
        </is>
      </c>
      <c r="G12" s="5" t="inlineStr">
        <is>
          <t>Carried forward from v2. Not rerun as a v3 assertion; see new V3 tests appended below.</t>
        </is>
      </c>
    </row>
    <row r="13" ht="42" customHeight="1">
      <c r="A13" s="6" t="inlineStr">
        <is>
          <t>T08</t>
        </is>
      </c>
      <c r="B13" s="6" t="inlineStr">
        <is>
          <t>Unknown applicability is retained</t>
        </is>
      </c>
      <c r="C13" s="6" t="inlineStr">
        <is>
          <t>Casual profile answer unknown.</t>
        </is>
      </c>
      <c r="D13" s="6" t="inlineStr">
        <is>
          <t>B02 and B03 remain eligible</t>
        </is>
      </c>
      <c r="E13" s="6" t="inlineStr">
        <is>
          <t>['B02', 'B03']</t>
        </is>
      </c>
      <c r="F13" s="6" t="inlineStr">
        <is>
          <t>V2 historical PASS</t>
        </is>
      </c>
      <c r="G13" s="6" t="inlineStr">
        <is>
          <t>Carried forward from v2. Not rerun as a v3 assertion; see new V3 tests appended below.</t>
        </is>
      </c>
    </row>
    <row r="14" ht="34" customHeight="1">
      <c r="A14" s="5" t="inlineStr">
        <is>
          <t>T09</t>
        </is>
      </c>
      <c r="B14" s="5" t="inlineStr">
        <is>
          <t>Continuous band boundary</t>
        </is>
      </c>
      <c r="C14" s="5" t="inlineStr">
        <is>
          <t>Raw score 39.999; band before rounding.</t>
        </is>
      </c>
      <c r="D14" s="5" t="inlineStr">
        <is>
          <t>Foundations need attention</t>
        </is>
      </c>
      <c r="E14" s="5" t="inlineStr">
        <is>
          <t>Foundations need attention</t>
        </is>
      </c>
      <c r="F14" s="5" t="inlineStr">
        <is>
          <t>V2 historical PASS</t>
        </is>
      </c>
      <c r="G14" s="5" t="inlineStr">
        <is>
          <t>Carried forward from v2. Not rerun as a v3 assertion; see new V3 tests appended below.</t>
        </is>
      </c>
    </row>
    <row r="15" ht="34" customHeight="1">
      <c r="A15" s="6" t="inlineStr">
        <is>
          <t>T10</t>
        </is>
      </c>
      <c r="B15" s="6" t="inlineStr">
        <is>
          <t>Continuous band boundary</t>
        </is>
      </c>
      <c r="C15" s="6" t="inlineStr">
        <is>
          <t>Raw score 40; band before rounding.</t>
        </is>
      </c>
      <c r="D15" s="6" t="inlineStr">
        <is>
          <t>Developing / inconsistent</t>
        </is>
      </c>
      <c r="E15" s="6" t="inlineStr">
        <is>
          <t>Developing / inconsistent</t>
        </is>
      </c>
      <c r="F15" s="6" t="inlineStr">
        <is>
          <t>V2 historical PASS</t>
        </is>
      </c>
      <c r="G15" s="6" t="inlineStr">
        <is>
          <t>Carried forward from v2. Not rerun as a v3 assertion; see new V3 tests appended below.</t>
        </is>
      </c>
    </row>
    <row r="16" ht="34" customHeight="1">
      <c r="A16" s="5" t="inlineStr">
        <is>
          <t>T11</t>
        </is>
      </c>
      <c r="B16" s="5" t="inlineStr">
        <is>
          <t>Continuous band boundary</t>
        </is>
      </c>
      <c r="C16" s="5" t="inlineStr">
        <is>
          <t>Raw score 69.999; band before rounding.</t>
        </is>
      </c>
      <c r="D16" s="5" t="inlineStr">
        <is>
          <t>Developing / inconsistent</t>
        </is>
      </c>
      <c r="E16" s="5" t="inlineStr">
        <is>
          <t>Developing / inconsistent</t>
        </is>
      </c>
      <c r="F16" s="5" t="inlineStr">
        <is>
          <t>V2 historical PASS</t>
        </is>
      </c>
      <c r="G16" s="5" t="inlineStr">
        <is>
          <t>Carried forward from v2. Not rerun as a v3 assertion; see new V3 tests appended below.</t>
        </is>
      </c>
    </row>
    <row r="17" ht="34" customHeight="1">
      <c r="A17" s="6" t="inlineStr">
        <is>
          <t>T12</t>
        </is>
      </c>
      <c r="B17" s="6" t="inlineStr">
        <is>
          <t>Continuous band boundary</t>
        </is>
      </c>
      <c r="C17" s="6" t="inlineStr">
        <is>
          <t>Raw score 70; band before rounding.</t>
        </is>
      </c>
      <c r="D17" s="6" t="inlineStr">
        <is>
          <t>Established reported practice</t>
        </is>
      </c>
      <c r="E17" s="6" t="inlineStr">
        <is>
          <t>Established reported practice</t>
        </is>
      </c>
      <c r="F17" s="6" t="inlineStr">
        <is>
          <t>V2 historical PASS</t>
        </is>
      </c>
      <c r="G17" s="6" t="inlineStr">
        <is>
          <t>Carried forward from v2. Not rerun as a v3 assertion; see new V3 tests appended below.</t>
        </is>
      </c>
    </row>
    <row r="18" ht="34" customHeight="1">
      <c r="A18" s="5" t="inlineStr">
        <is>
          <t>T13</t>
        </is>
      </c>
      <c r="B18" s="5" t="inlineStr">
        <is>
          <t>Continuous band boundary</t>
        </is>
      </c>
      <c r="C18" s="5" t="inlineStr">
        <is>
          <t>Raw score 100; band before rounding.</t>
        </is>
      </c>
      <c r="D18" s="5" t="inlineStr">
        <is>
          <t>Established reported practice</t>
        </is>
      </c>
      <c r="E18" s="5" t="inlineStr">
        <is>
          <t>Established reported practice</t>
        </is>
      </c>
      <c r="F18" s="5" t="inlineStr">
        <is>
          <t>V2 historical PASS</t>
        </is>
      </c>
      <c r="G18" s="5" t="inlineStr">
        <is>
          <t>Carried forward from v2. Not rerun as a v3 assertion; see new V3 tests appended below.</t>
        </is>
      </c>
    </row>
    <row r="19" ht="34" customHeight="1">
      <c r="A19" s="6" t="inlineStr">
        <is>
          <t>T14</t>
        </is>
      </c>
      <c r="B19" s="6" t="inlineStr">
        <is>
          <t>All questions excluded</t>
        </is>
      </c>
      <c r="C19" s="6" t="inlineStr">
        <is>
          <t>Engineering edge case only; eligibility exclusions audited.</t>
        </is>
      </c>
      <c r="D19" s="6" t="inlineStr">
        <is>
          <t>Not assessed; no division by zero</t>
        </is>
      </c>
      <c r="E19" s="6" t="inlineStr">
        <is>
          <t>Not assessed</t>
        </is>
      </c>
      <c r="F19" s="6" t="inlineStr">
        <is>
          <t>V2 historical PASS</t>
        </is>
      </c>
      <c r="G19" s="6" t="inlineStr">
        <is>
          <t>Carried forward from v2. Not rerun as a v3 assertion; see new V3 tests appended below.</t>
        </is>
      </c>
    </row>
    <row r="20" ht="34" customHeight="1">
      <c r="A20" s="5" t="inlineStr">
        <is>
          <t>T15</t>
        </is>
      </c>
      <c r="B20" s="5" t="inlineStr">
        <is>
          <t>Category with no denominator</t>
        </is>
      </c>
      <c r="C20" s="5" t="inlineStr">
        <is>
          <t>Exclude recruitment for engine test only.</t>
        </is>
      </c>
      <c r="D20" s="5" t="inlineStr">
        <is>
          <t>REC not assessed; remaining domain weights re-normalised to 100%</t>
        </is>
      </c>
      <c r="E20" s="5" t="inlineStr">
        <is>
          <t>REC=None; overall=100.00%</t>
        </is>
      </c>
      <c r="F20" s="5" t="inlineStr">
        <is>
          <t>V2 historical PASS</t>
        </is>
      </c>
      <c r="G20" s="5" t="inlineStr">
        <is>
          <t>Carried forward from v2. Not rerun as a v3 assertion; see new V3 tests appended below.</t>
        </is>
      </c>
    </row>
    <row r="21" ht="42" customHeight="1">
      <c r="A21" s="6" t="inlineStr">
        <is>
          <t>T16</t>
        </is>
      </c>
      <c r="B21" s="6" t="inlineStr">
        <is>
          <t>Size neutrality</t>
        </is>
      </c>
      <c r="C21" s="6" t="inlineStr">
        <is>
          <t>Same controls and applicability in 5-person and 200-person examples. Size changes evidence prompts, not marks.</t>
        </is>
      </c>
      <c r="D21" s="6" t="inlineStr">
        <is>
          <t>Identical score</t>
        </is>
      </c>
      <c r="E21" s="6" t="inlineStr">
        <is>
          <t>5 staff 100.00%; 200 staff 100.00%</t>
        </is>
      </c>
      <c r="F21" s="6" t="inlineStr">
        <is>
          <t>V2 historical PASS</t>
        </is>
      </c>
      <c r="G21" s="6" t="inlineStr">
        <is>
          <t>Carried forward from v2. Not rerun as a v3 assertion; see new V3 tests appended below.</t>
        </is>
      </c>
    </row>
    <row r="22" ht="34" customHeight="1">
      <c r="A22" s="5" t="inlineStr">
        <is>
          <t>T17</t>
        </is>
      </c>
      <c r="B22" s="5" t="inlineStr">
        <is>
          <t>Small-business threshold</t>
        </is>
      </c>
      <c r="C22" s="5" t="inlineStr">
        <is>
          <t>Confirmed relevant Fair Work employee count=5.</t>
        </is>
      </c>
      <c r="D22" s="5" t="inlineStr">
        <is>
          <t>Small</t>
        </is>
      </c>
      <c r="E22" s="5" t="inlineStr">
        <is>
          <t>Small</t>
        </is>
      </c>
      <c r="F22" s="5" t="inlineStr">
        <is>
          <t>V2 historical PASS</t>
        </is>
      </c>
      <c r="G22" s="5" t="inlineStr">
        <is>
          <t>Carried forward from v2. Not rerun as a v3 assertion; see new V3 tests appended below.</t>
        </is>
      </c>
    </row>
    <row r="23" ht="34" customHeight="1">
      <c r="A23" s="6" t="inlineStr">
        <is>
          <t>T18</t>
        </is>
      </c>
      <c r="B23" s="6" t="inlineStr">
        <is>
          <t>Small-business threshold</t>
        </is>
      </c>
      <c r="C23" s="6" t="inlineStr">
        <is>
          <t>Confirmed relevant Fair Work employee count=14.</t>
        </is>
      </c>
      <c r="D23" s="6" t="inlineStr">
        <is>
          <t>Small</t>
        </is>
      </c>
      <c r="E23" s="6" t="inlineStr">
        <is>
          <t>Small</t>
        </is>
      </c>
      <c r="F23" s="6" t="inlineStr">
        <is>
          <t>V2 historical PASS</t>
        </is>
      </c>
      <c r="G23" s="6" t="inlineStr">
        <is>
          <t>Carried forward from v2. Not rerun as a v3 assertion; see new V3 tests appended below.</t>
        </is>
      </c>
    </row>
    <row r="24" ht="34" customHeight="1">
      <c r="A24" s="5" t="inlineStr">
        <is>
          <t>T19</t>
        </is>
      </c>
      <c r="B24" s="5" t="inlineStr">
        <is>
          <t>Small-business threshold</t>
        </is>
      </c>
      <c r="C24" s="5" t="inlineStr">
        <is>
          <t>Confirmed relevant Fair Work employee count=15.</t>
        </is>
      </c>
      <c r="D24" s="5" t="inlineStr">
        <is>
          <t>Not small</t>
        </is>
      </c>
      <c r="E24" s="5" t="inlineStr">
        <is>
          <t>Not small</t>
        </is>
      </c>
      <c r="F24" s="5" t="inlineStr">
        <is>
          <t>V2 historical PASS</t>
        </is>
      </c>
      <c r="G24" s="5" t="inlineStr">
        <is>
          <t>Carried forward from v2. Not rerun as a v3 assertion; see new V3 tests appended below.</t>
        </is>
      </c>
    </row>
    <row r="25" ht="34" customHeight="1">
      <c r="A25" s="6" t="inlineStr">
        <is>
          <t>T20</t>
        </is>
      </c>
      <c r="B25" s="6" t="inlineStr">
        <is>
          <t>Small-business threshold</t>
        </is>
      </c>
      <c r="C25" s="6" t="inlineStr">
        <is>
          <t>Confirmed relevant Fair Work employee count=200.</t>
        </is>
      </c>
      <c r="D25" s="6" t="inlineStr">
        <is>
          <t>Not small</t>
        </is>
      </c>
      <c r="E25" s="6" t="inlineStr">
        <is>
          <t>Not small</t>
        </is>
      </c>
      <c r="F25" s="6" t="inlineStr">
        <is>
          <t>V2 historical PASS</t>
        </is>
      </c>
      <c r="G25" s="6" t="inlineStr">
        <is>
          <t>Carried forward from v2. Not rerun as a v3 assertion; see new V3 tests appended below.</t>
        </is>
      </c>
    </row>
    <row r="26" ht="42" customHeight="1">
      <c r="A26" s="5" t="inlineStr">
        <is>
          <t>T21</t>
        </is>
      </c>
      <c r="B26" s="5" t="inlineStr">
        <is>
          <t>Larger-structure branch assesses a real control</t>
        </is>
      </c>
      <c r="C26" s="5" t="inlineStr">
        <is>
          <t>Multiple managers enables B18; reported inconsistency receives 0.</t>
        </is>
      </c>
      <c r="D26" s="5" t="inlineStr">
        <is>
          <t>Branch affects its own domain; no penalty merely for employing 200.</t>
        </is>
      </c>
      <c r="E26" s="5" t="inlineStr">
        <is>
          <t>PER=83.33%</t>
        </is>
      </c>
      <c r="F26" s="5" t="inlineStr">
        <is>
          <t>V2 historical PASS</t>
        </is>
      </c>
      <c r="G26" s="5" t="inlineStr">
        <is>
          <t>Carried forward from v2. Not rerun as a v3 assertion; see new V3 tests appended below.</t>
        </is>
      </c>
    </row>
    <row r="27" ht="34" customHeight="1">
      <c r="A27" s="6" t="inlineStr">
        <is>
          <t>T22</t>
        </is>
      </c>
      <c r="B27" s="6" t="inlineStr">
        <is>
          <t>Invalid response rejected</t>
        </is>
      </c>
      <c r="C27" s="6" t="inlineStr">
        <is>
          <t>PAY01=4 outside the 0-3 scale.</t>
        </is>
      </c>
      <c r="D27" s="6" t="inlineStr">
        <is>
          <t>Validation error</t>
        </is>
      </c>
      <c r="E27" s="6" t="inlineStr">
        <is>
          <t>Validation error</t>
        </is>
      </c>
      <c r="F27" s="6" t="inlineStr">
        <is>
          <t>V2 historical PASS</t>
        </is>
      </c>
      <c r="G27" s="6" t="inlineStr">
        <is>
          <t>Carried forward from v2. Not rerun as a v3 assertion; see new V3 tests appended below.</t>
        </is>
      </c>
    </row>
    <row r="28" ht="42" customHeight="1">
      <c r="A28" s="5" t="inlineStr">
        <is>
          <t>T23</t>
        </is>
      </c>
      <c r="B28" s="5" t="inlineStr">
        <is>
          <t>Original small-business distortion</t>
        </is>
      </c>
      <c r="C28" s="5" t="inlineStr">
        <is>
          <t>Q38=3, Q46=3, Q40 larger-business option=2; maximum possible denominator=13.</t>
        </is>
      </c>
      <c r="D28" s="5" t="inlineStr">
        <is>
          <t>61.538% maximum for the larger-business path</t>
        </is>
      </c>
      <c r="E28" s="5" t="inlineStr">
        <is>
          <t>61.538%</t>
        </is>
      </c>
      <c r="F28" s="5" t="inlineStr">
        <is>
          <t>V2 historical PASS</t>
        </is>
      </c>
      <c r="G28" s="5" t="inlineStr">
        <is>
          <t>Carried forward from v2. Not rerun as a v3 assertion; see new V3 tests appended below.</t>
        </is>
      </c>
    </row>
    <row r="29" ht="42" customHeight="1">
      <c r="A29" s="6" t="inlineStr">
        <is>
          <t>T24</t>
        </is>
      </c>
      <c r="B29" s="6" t="inlineStr">
        <is>
          <t>Exactly 25% uncertainty</t>
        </is>
      </c>
      <c r="C29" s="6" t="inlineStr">
        <is>
          <t>PAY and EXT domains unknown: weights 18 + 7 of 100.</t>
        </is>
      </c>
      <c r="D29" s="6" t="inlineStr">
        <is>
          <t>Published score remains qualified; the strict suppression trigger is above 25%.</t>
        </is>
      </c>
      <c r="E29" s="6" t="inlineStr">
        <is>
          <t>Unknown=25.00%; published=75.0</t>
        </is>
      </c>
      <c r="F29" s="6" t="inlineStr">
        <is>
          <t>V2 historical PASS</t>
        </is>
      </c>
      <c r="G29" s="6" t="inlineStr">
        <is>
          <t>Carried forward from v2. Not rerun as a v3 assertion; see new V3 tests appended below.</t>
        </is>
      </c>
    </row>
    <row r="30" ht="34" customHeight="1">
      <c r="A30" s="5" t="inlineStr">
        <is>
          <t>T25</t>
        </is>
      </c>
      <c r="B30" s="5" t="inlineStr">
        <is>
          <t>Above 25% uncertainty</t>
        </is>
      </c>
      <c r="C30" s="5" t="inlineStr">
        <is>
          <t>Add one unknown recruitment answer to the preceding case.</t>
        </is>
      </c>
      <c r="D30" s="5" t="inlineStr">
        <is>
          <t>No published score; information needs confirmation.</t>
        </is>
      </c>
      <c r="E30" s="5" t="inlineStr">
        <is>
          <t>Unknown=27.40%; Information needs confirmation</t>
        </is>
      </c>
      <c r="F30" s="5" t="inlineStr">
        <is>
          <t>V2 historical PASS</t>
        </is>
      </c>
      <c r="G30" s="5" t="inlineStr">
        <is>
          <t>Carried forward from v2. Not rerun as a v3 assertion; see new V3 tests appended below.</t>
        </is>
      </c>
    </row>
    <row r="31" ht="34" customHeight="1">
      <c r="A31" s="6" t="inlineStr">
        <is>
          <t>T26</t>
        </is>
      </c>
      <c r="B31" s="6" t="inlineStr">
        <is>
          <t>Uniform response level</t>
        </is>
      </c>
      <c r="C31" s="6" t="inlineStr">
        <is>
          <t>All 66 applicable responses are 1.</t>
        </is>
      </c>
      <c r="D31" s="6" t="inlineStr">
        <is>
          <t>33.333% regardless of question counts or category weights.</t>
        </is>
      </c>
      <c r="E31" s="6" t="inlineStr">
        <is>
          <t>33.333%</t>
        </is>
      </c>
      <c r="F31" s="6" t="inlineStr">
        <is>
          <t>V2 historical PASS</t>
        </is>
      </c>
      <c r="G31" s="6" t="inlineStr">
        <is>
          <t>Carried forward from v2. Not rerun as a v3 assertion; see new V3 tests appended below.</t>
        </is>
      </c>
    </row>
    <row r="32" ht="34" customHeight="1">
      <c r="A32" s="5" t="inlineStr">
        <is>
          <t>RELEASE</t>
        </is>
      </c>
      <c r="B32" s="5" t="inlineStr">
        <is>
          <t>Pilot comprehension</t>
        </is>
      </c>
      <c r="C32" s="5" t="inlineStr">
        <is>
          <t>Owners/leaders interpret questions and answers as intended.</t>
        </is>
      </c>
      <c r="D32" s="5" t="inlineStr">
        <is>
          <t>Release approval required</t>
        </is>
      </c>
      <c r="E32" s="5" t="inlineStr">
        <is>
          <t>Not yet performed with real users.</t>
        </is>
      </c>
      <c r="F32" s="5" t="inlineStr">
        <is>
          <t>OPEN</t>
        </is>
      </c>
      <c r="G32" s="5" t="inlineStr">
        <is>
          <t>Not completed by the reference-engine unit tests.</t>
        </is>
      </c>
    </row>
    <row r="33" ht="34" customHeight="1">
      <c r="A33" s="6" t="inlineStr">
        <is>
          <t>RELEASE</t>
        </is>
      </c>
      <c r="B33" s="6" t="inlineStr">
        <is>
          <t>Legal release review</t>
        </is>
      </c>
      <c r="C33" s="6" t="inlineStr">
        <is>
          <t>Confirm state/industry/instrument branches and current rules for the agreed product scope.</t>
        </is>
      </c>
      <c r="D33" s="6" t="inlineStr">
        <is>
          <t>Release approval required</t>
        </is>
      </c>
      <c r="E33" s="6" t="inlineStr">
        <is>
          <t>Not a complete state-by-state legal audit.</t>
        </is>
      </c>
      <c r="F33" s="6" t="inlineStr">
        <is>
          <t>OPEN</t>
        </is>
      </c>
      <c r="G33" s="6" t="inlineStr">
        <is>
          <t>Not completed by the reference-engine unit tests.</t>
        </is>
      </c>
    </row>
    <row r="34" ht="34" customHeight="1">
      <c r="A34" s="5" t="inlineStr">
        <is>
          <t>RELEASE</t>
        </is>
      </c>
      <c r="B34" s="5" t="inlineStr">
        <is>
          <t>App routing / persistence</t>
        </is>
      </c>
      <c r="C34" s="5" t="inlineStr">
        <is>
          <t>Implement profile clarifiers, route transitions, saved answers and exclusions.</t>
        </is>
      </c>
      <c r="D34" s="5" t="inlineStr">
        <is>
          <t>Release approval required</t>
        </is>
      </c>
      <c r="E34" s="5" t="inlineStr">
        <is>
          <t>Workbook demonstrates arithmetic, not a deployed questionnaire.</t>
        </is>
      </c>
      <c r="F34" s="5" t="inlineStr">
        <is>
          <t>OPEN</t>
        </is>
      </c>
      <c r="G34" s="5" t="inlineStr">
        <is>
          <t>Not completed by the reference-engine unit tests.</t>
        </is>
      </c>
    </row>
    <row r="35" ht="34" customHeight="1">
      <c r="A35" s="6" t="inlineStr">
        <is>
          <t>RELEASE</t>
        </is>
      </c>
      <c r="B35" s="6" t="inlineStr">
        <is>
          <t>Security / accessibility</t>
        </is>
      </c>
      <c r="C35" s="6" t="inlineStr">
        <is>
          <t>Test the actual hosting, access, retention, report format and assistive-technology experience.</t>
        </is>
      </c>
      <c r="D35" s="6" t="inlineStr">
        <is>
          <t>Release approval required</t>
        </is>
      </c>
      <c r="E35" s="6" t="inlineStr">
        <is>
          <t>No platform has been security or accessibility tested here.</t>
        </is>
      </c>
      <c r="F35" s="6" t="inlineStr">
        <is>
          <t>OPEN</t>
        </is>
      </c>
      <c r="G35" s="6" t="inlineStr">
        <is>
          <t>Not completed by the reference-engine unit tests.</t>
        </is>
      </c>
    </row>
    <row r="36" ht="34" customHeight="1">
      <c r="A36" s="5" t="inlineStr">
        <is>
          <t>RELEASE</t>
        </is>
      </c>
      <c r="B36" s="5" t="inlineStr">
        <is>
          <t>Commercial value</t>
        </is>
      </c>
      <c r="C36" s="5" t="inlineStr">
        <is>
          <t>Customers can explain and start the first action without another purchase.</t>
        </is>
      </c>
      <c r="D36" s="5" t="inlineStr">
        <is>
          <t>Release approval required</t>
        </is>
      </c>
      <c r="E36" s="5" t="inlineStr">
        <is>
          <t>Requires user feedback and observed action, not just a polished report.</t>
        </is>
      </c>
      <c r="F36" s="5" t="inlineStr">
        <is>
          <t>OPEN</t>
        </is>
      </c>
      <c r="G36" s="5" t="inlineStr">
        <is>
          <t>Not completed by the reference-engine unit tests.</t>
        </is>
      </c>
    </row>
    <row r="37" ht="80" customHeight="1">
      <c r="A37" s="5" t="inlineStr">
        <is>
          <t>V3-T01</t>
        </is>
      </c>
      <c r="B37" s="5" t="inlineStr">
        <is>
          <t>Question / answer coverage</t>
        </is>
      </c>
      <c r="C37" s="5" t="inlineStr">
        <is>
          <t>(69, 345, 345)</t>
        </is>
      </c>
      <c r="D37" s="5" t="inlineStr">
        <is>
          <t>(69, 345, 345)</t>
        </is>
      </c>
      <c r="E37" s="5" t="inlineStr">
        <is>
          <t>(69, 345, 345)</t>
        </is>
      </c>
      <c r="F37" s="5" t="inlineStr">
        <is>
          <t>PASS</t>
        </is>
      </c>
      <c r="G37" s="5" t="inlineStr">
        <is>
          <t>V3 reference/content check</t>
        </is>
      </c>
    </row>
    <row r="38" ht="80" customHeight="1">
      <c r="A38" s="5" t="inlineStr">
        <is>
          <t>V3-T02</t>
        </is>
      </c>
      <c r="B38" s="5" t="inlineStr">
        <is>
          <t>Core / conditional count</t>
        </is>
      </c>
      <c r="C38" s="5" t="inlineStr">
        <is>
          <t>(44, 25)</t>
        </is>
      </c>
      <c r="D38" s="5" t="inlineStr">
        <is>
          <t>(44, 25)</t>
        </is>
      </c>
      <c r="E38" s="5" t="inlineStr">
        <is>
          <t>(44, 25)</t>
        </is>
      </c>
      <c r="F38" s="5" t="inlineStr">
        <is>
          <t>PASS</t>
        </is>
      </c>
      <c r="G38" s="5" t="inlineStr">
        <is>
          <t>V3 reference/content check</t>
        </is>
      </c>
    </row>
    <row r="39" ht="80" customHeight="1">
      <c r="A39" s="5" t="inlineStr">
        <is>
          <t>V3-T03</t>
        </is>
      </c>
      <c r="B39" s="5" t="inlineStr">
        <is>
          <t>Every question has four scores and DK</t>
        </is>
      </c>
      <c r="C39" s="5" t="inlineStr">
        <is>
          <t>True</t>
        </is>
      </c>
      <c r="D39" s="5" t="inlineStr">
        <is>
          <t>True</t>
        </is>
      </c>
      <c r="E39" s="5" t="inlineStr">
        <is>
          <t>True</t>
        </is>
      </c>
      <c r="F39" s="5" t="inlineStr">
        <is>
          <t>PASS</t>
        </is>
      </c>
      <c r="G39" s="5" t="inlineStr">
        <is>
          <t>V3 reference/content check</t>
        </is>
      </c>
    </row>
    <row r="40" ht="80" customHeight="1">
      <c r="A40" s="5" t="inlineStr">
        <is>
          <t>V3-T04</t>
        </is>
      </c>
      <c r="B40" s="5" t="inlineStr">
        <is>
          <t>Every outcome has findings, why, steps, evidence and sources</t>
        </is>
      </c>
      <c r="C40" s="5" t="inlineStr">
        <is>
          <t>0</t>
        </is>
      </c>
      <c r="D40" s="5" t="inlineStr">
        <is>
          <t>0</t>
        </is>
      </c>
      <c r="E40" s="5" t="inlineStr">
        <is>
          <t>0</t>
        </is>
      </c>
      <c r="F40" s="5" t="inlineStr">
        <is>
          <t>PASS</t>
        </is>
      </c>
      <c r="G40" s="5" t="inlineStr">
        <is>
          <t>V3 reference/content check</t>
        </is>
      </c>
    </row>
    <row r="41" ht="80" customHeight="1">
      <c r="A41" s="5" t="inlineStr">
        <is>
          <t>V3-T05</t>
        </is>
      </c>
      <c r="B41" s="5" t="inlineStr">
        <is>
          <t>All unknown risk ranks are zero</t>
        </is>
      </c>
      <c r="C41" s="5" t="inlineStr">
        <is>
          <t>True</t>
        </is>
      </c>
      <c r="D41" s="5" t="inlineStr">
        <is>
          <t>True</t>
        </is>
      </c>
      <c r="E41" s="5" t="inlineStr">
        <is>
          <t>True</t>
        </is>
      </c>
      <c r="F41" s="5" t="inlineStr">
        <is>
          <t>PASS</t>
        </is>
      </c>
      <c r="G41" s="5" t="inlineStr">
        <is>
          <t>V3 reference/content check</t>
        </is>
      </c>
    </row>
    <row r="42" ht="80" customHeight="1">
      <c r="A42" s="5" t="inlineStr">
        <is>
          <t>V3-T06</t>
        </is>
      </c>
      <c r="B42" s="5" t="inlineStr">
        <is>
          <t>All established answers are maintenance, not forced remediation</t>
        </is>
      </c>
      <c r="C42" s="5" t="inlineStr">
        <is>
          <t>True</t>
        </is>
      </c>
      <c r="D42" s="5" t="inlineStr">
        <is>
          <t>True</t>
        </is>
      </c>
      <c r="E42" s="5" t="inlineStr">
        <is>
          <t>True</t>
        </is>
      </c>
      <c r="F42" s="5" t="inlineStr">
        <is>
          <t>PASS</t>
        </is>
      </c>
      <c r="G42" s="5" t="inlineStr">
        <is>
          <t>V3 reference/content check</t>
        </is>
      </c>
    </row>
    <row r="43" ht="80" customHeight="1">
      <c r="A43" s="5" t="inlineStr">
        <is>
          <t>V3-T07</t>
        </is>
      </c>
      <c r="B43" s="5" t="inlineStr">
        <is>
          <t>Known-answer risk does not increase as the answer improves</t>
        </is>
      </c>
      <c r="C43" s="5" t="inlineStr">
        <is>
          <t>True</t>
        </is>
      </c>
      <c r="D43" s="5" t="inlineStr">
        <is>
          <t>True</t>
        </is>
      </c>
      <c r="E43" s="5" t="inlineStr">
        <is>
          <t>True</t>
        </is>
      </c>
      <c r="F43" s="5" t="inlineStr">
        <is>
          <t>PASS</t>
        </is>
      </c>
      <c r="G43" s="5" t="inlineStr">
        <is>
          <t>V3 reference/content check</t>
        </is>
      </c>
    </row>
    <row r="44" ht="80" customHeight="1">
      <c r="A44" s="5" t="inlineStr">
        <is>
          <t>V3-T08</t>
        </is>
      </c>
      <c r="B44" s="5" t="inlineStr">
        <is>
          <t>Unresolved salary basis remains High</t>
        </is>
      </c>
      <c r="C44" s="5" t="inlineStr">
        <is>
          <t>3</t>
        </is>
      </c>
      <c r="D44" s="5" t="inlineStr">
        <is>
          <t>3</t>
        </is>
      </c>
      <c r="E44" s="5" t="inlineStr">
        <is>
          <t>3</t>
        </is>
      </c>
      <c r="F44" s="5" t="inlineStr">
        <is>
          <t>PASS</t>
        </is>
      </c>
      <c r="G44" s="5" t="inlineStr">
        <is>
          <t>V3 reference/content check</t>
        </is>
      </c>
    </row>
    <row r="45" ht="80" customHeight="1">
      <c r="A45" s="5" t="inlineStr">
        <is>
          <t>V3-T09</t>
        </is>
      </c>
      <c r="B45" s="5" t="inlineStr">
        <is>
          <t>Unknown super is unverified risk and High verification</t>
        </is>
      </c>
      <c r="C45" s="5" t="inlineStr">
        <is>
          <t>(0, 3)</t>
        </is>
      </c>
      <c r="D45" s="5" t="inlineStr">
        <is>
          <t>(0, 3)</t>
        </is>
      </c>
      <c r="E45" s="5" t="inlineStr">
        <is>
          <t>(0, 3)</t>
        </is>
      </c>
      <c r="F45" s="5" t="inlineStr">
        <is>
          <t>PASS</t>
        </is>
      </c>
      <c r="G45" s="5" t="inlineStr">
        <is>
          <t>V3 reference/content check</t>
        </is>
      </c>
    </row>
    <row r="46" ht="80" customHeight="1">
      <c r="A46" s="5" t="inlineStr">
        <is>
          <t>V3-T10</t>
        </is>
      </c>
      <c r="B46" s="5" t="inlineStr">
        <is>
          <t>Prerequisite graph references exist and are acyclic</t>
        </is>
      </c>
      <c r="C46" s="5" t="inlineStr">
        <is>
          <t>True</t>
        </is>
      </c>
      <c r="D46" s="5" t="inlineStr">
        <is>
          <t>True</t>
        </is>
      </c>
      <c r="E46" s="5" t="inlineStr">
        <is>
          <t>True</t>
        </is>
      </c>
      <c r="F46" s="5" t="inlineStr">
        <is>
          <t>PASS</t>
        </is>
      </c>
      <c r="G46" s="5" t="inlineStr">
        <is>
          <t>V3 reference/content check</t>
        </is>
      </c>
    </row>
    <row r="47" ht="80" customHeight="1">
      <c r="A47" s="5" t="inlineStr">
        <is>
          <t>V3-T11</t>
        </is>
      </c>
      <c r="B47" s="5" t="inlineStr">
        <is>
          <t>Cached baseline formula errors</t>
        </is>
      </c>
      <c r="C47" s="5" t="inlineStr">
        <is>
          <t>[]</t>
        </is>
      </c>
      <c r="D47" s="5" t="inlineStr">
        <is>
          <t>[]</t>
        </is>
      </c>
      <c r="E47" s="5" t="inlineStr">
        <is>
          <t>[]</t>
        </is>
      </c>
      <c r="F47" s="5" t="inlineStr">
        <is>
          <t>PASS</t>
        </is>
      </c>
      <c r="G47" s="5" t="inlineStr">
        <is>
          <t>V3 full-workbook recalculation</t>
        </is>
      </c>
    </row>
    <row r="48" ht="80" customHeight="1">
      <c r="A48" s="5" t="inlineStr">
        <is>
          <t>V3-T12</t>
        </is>
      </c>
      <c r="B48" s="5" t="inlineStr">
        <is>
          <t>Baseline high-priority count</t>
        </is>
      </c>
      <c r="C48" s="5" t="inlineStr">
        <is>
          <t>4</t>
        </is>
      </c>
      <c r="D48" s="5" t="inlineStr">
        <is>
          <t>4</t>
        </is>
      </c>
      <c r="E48" s="5" t="inlineStr">
        <is>
          <t>4</t>
        </is>
      </c>
      <c r="F48" s="5" t="inlineStr">
        <is>
          <t>PASS</t>
        </is>
      </c>
      <c r="G48" s="5" t="inlineStr">
        <is>
          <t>V3 Excel-formula result</t>
        </is>
      </c>
    </row>
    <row r="49" ht="80" customHeight="1">
      <c r="A49" s="5" t="inlineStr">
        <is>
          <t>V3-T13</t>
        </is>
      </c>
      <c r="B49" s="5" t="inlineStr">
        <is>
          <t>Zero answer is not treated as a blank</t>
        </is>
      </c>
      <c r="C49" s="5" t="inlineStr">
        <is>
          <t>('PSY04_0', 3, 3)</t>
        </is>
      </c>
      <c r="D49" s="5" t="inlineStr">
        <is>
          <t>('PSY04_0', 3, 3)</t>
        </is>
      </c>
      <c r="E49" s="5" t="inlineStr">
        <is>
          <t>('PSY04_0', 3, 3)</t>
        </is>
      </c>
      <c r="F49" s="5" t="inlineStr">
        <is>
          <t>PASS</t>
        </is>
      </c>
      <c r="G49" s="5" t="inlineStr">
        <is>
          <t>V3 Excel-formula result</t>
        </is>
      </c>
    </row>
    <row r="50" ht="80" customHeight="1">
      <c r="A50" s="5" t="inlineStr">
        <is>
          <t>V3-T14</t>
        </is>
      </c>
      <c r="B50" s="5" t="inlineStr">
        <is>
          <t>Domain weights and question totals</t>
        </is>
      </c>
      <c r="C50" s="5" t="inlineStr">
        <is>
          <t>(100, 44, 25)</t>
        </is>
      </c>
      <c r="D50" s="5" t="inlineStr">
        <is>
          <t>(100, 44, 25)</t>
        </is>
      </c>
      <c r="E50" s="5" t="inlineStr">
        <is>
          <t>(100, 44, 25)</t>
        </is>
      </c>
      <c r="F50" s="5" t="inlineStr">
        <is>
          <t>PASS</t>
        </is>
      </c>
      <c r="G50" s="5" t="inlineStr">
        <is>
          <t>V3 Excel-formula result</t>
        </is>
      </c>
    </row>
    <row r="51" ht="80" customHeight="1">
      <c r="A51" s="5" t="inlineStr">
        <is>
          <t>V3-T15</t>
        </is>
      </c>
      <c r="B51" s="5" t="inlineStr">
        <is>
          <t>All 69 established produces 100</t>
        </is>
      </c>
      <c r="C51" s="5" t="inlineStr">
        <is>
          <t>100</t>
        </is>
      </c>
      <c r="D51" s="5" t="inlineStr">
        <is>
          <t>100</t>
        </is>
      </c>
      <c r="E51" s="5" t="inlineStr">
        <is>
          <t>100</t>
        </is>
      </c>
      <c r="F51" s="5" t="inlineStr">
        <is>
          <t>PASS</t>
        </is>
      </c>
      <c r="G51" s="5" t="inlineStr">
        <is>
          <t>Executed workbook scenario</t>
        </is>
      </c>
    </row>
    <row r="52" ht="80" customHeight="1">
      <c r="A52" s="5" t="inlineStr">
        <is>
          <t>V3-T16</t>
        </is>
      </c>
      <c r="B52" s="5" t="inlineStr">
        <is>
          <t>All established without live context has no High priorities</t>
        </is>
      </c>
      <c r="C52" s="5" t="inlineStr">
        <is>
          <t>0</t>
        </is>
      </c>
      <c r="D52" s="5" t="inlineStr">
        <is>
          <t>0</t>
        </is>
      </c>
      <c r="E52" s="5" t="inlineStr">
        <is>
          <t>0</t>
        </is>
      </c>
      <c r="F52" s="5" t="inlineStr">
        <is>
          <t>PASS</t>
        </is>
      </c>
      <c r="G52" s="5" t="inlineStr">
        <is>
          <t>Executed workbook scenario</t>
        </is>
      </c>
    </row>
    <row r="53" ht="80" customHeight="1">
      <c r="A53" s="5" t="inlineStr">
        <is>
          <t>V3-T17</t>
        </is>
      </c>
      <c r="B53" s="5" t="inlineStr">
        <is>
          <t>All established scenario formula errors</t>
        </is>
      </c>
      <c r="C53" s="5" t="inlineStr">
        <is>
          <t>[]</t>
        </is>
      </c>
      <c r="D53" s="5" t="inlineStr">
        <is>
          <t>[]</t>
        </is>
      </c>
      <c r="E53" s="5" t="inlineStr">
        <is>
          <t>[]</t>
        </is>
      </c>
      <c r="F53" s="5" t="inlineStr">
        <is>
          <t>PASS</t>
        </is>
      </c>
      <c r="G53" s="5" t="inlineStr">
        <is>
          <t>Executed workbook scenario</t>
        </is>
      </c>
    </row>
    <row r="54" ht="80" customHeight="1">
      <c r="A54" s="5" t="inlineStr">
        <is>
          <t>V3-T18</t>
        </is>
      </c>
      <c r="B54" s="5" t="inlineStr">
        <is>
          <t>All unknown suppresses the published number</t>
        </is>
      </c>
      <c r="C54" s="5" t="inlineStr">
        <is>
          <t>None</t>
        </is>
      </c>
      <c r="D54" s="5" t="inlineStr">
        <is>
          <t>None</t>
        </is>
      </c>
      <c r="E54" s="5" t="inlineStr">
        <is>
          <t>None</t>
        </is>
      </c>
      <c r="F54" s="5" t="inlineStr">
        <is>
          <t>PASS</t>
        </is>
      </c>
      <c r="G54" s="5" t="inlineStr">
        <is>
          <t>Executed workbook scenario</t>
        </is>
      </c>
    </row>
    <row r="55" ht="80" customHeight="1">
      <c r="A55" s="5" t="inlineStr">
        <is>
          <t>V3-T19</t>
        </is>
      </c>
      <c r="B55" s="5" t="inlineStr">
        <is>
          <t>All unknown remains an information-confirmation headline</t>
        </is>
      </c>
      <c r="C55" s="5" t="inlineStr">
        <is>
          <t>Information needs confirmation</t>
        </is>
      </c>
      <c r="D55" s="5" t="inlineStr">
        <is>
          <t>Information needs confirmation</t>
        </is>
      </c>
      <c r="E55" s="5" t="inlineStr">
        <is>
          <t>Information needs confirmation</t>
        </is>
      </c>
      <c r="F55" s="5" t="inlineStr">
        <is>
          <t>PASS</t>
        </is>
      </c>
      <c r="G55" s="5" t="inlineStr">
        <is>
          <t>Executed workbook scenario</t>
        </is>
      </c>
    </row>
    <row r="56" ht="80" customHeight="1">
      <c r="A56" s="5" t="inlineStr">
        <is>
          <t>V3-T20</t>
        </is>
      </c>
      <c r="B56" s="5" t="inlineStr">
        <is>
          <t>All unknown provisional risk ranks stay unverified</t>
        </is>
      </c>
      <c r="C56" s="5" t="inlineStr">
        <is>
          <t>True</t>
        </is>
      </c>
      <c r="D56" s="5" t="inlineStr">
        <is>
          <t>True</t>
        </is>
      </c>
      <c r="E56" s="5" t="inlineStr">
        <is>
          <t>True</t>
        </is>
      </c>
      <c r="F56" s="5" t="inlineStr">
        <is>
          <t>PASS</t>
        </is>
      </c>
      <c r="G56" s="5" t="inlineStr">
        <is>
          <t>Executed workbook scenario</t>
        </is>
      </c>
    </row>
    <row r="57" ht="80" customHeight="1">
      <c r="A57" s="5" t="inlineStr">
        <is>
          <t>V3-T21</t>
        </is>
      </c>
      <c r="B57" s="5" t="inlineStr">
        <is>
          <t>All zero remains a valid published score of zero</t>
        </is>
      </c>
      <c r="C57" s="5" t="inlineStr">
        <is>
          <t>0</t>
        </is>
      </c>
      <c r="D57" s="5" t="inlineStr">
        <is>
          <t>0</t>
        </is>
      </c>
      <c r="E57" s="5" t="inlineStr">
        <is>
          <t>0</t>
        </is>
      </c>
      <c r="F57" s="5" t="inlineStr">
        <is>
          <t>PASS</t>
        </is>
      </c>
      <c r="G57" s="5" t="inlineStr">
        <is>
          <t>Executed workbook scenario</t>
        </is>
      </c>
    </row>
    <row r="58" ht="80" customHeight="1">
      <c r="A58" s="5" t="inlineStr">
        <is>
          <t>V3-T22</t>
        </is>
      </c>
      <c r="B58" s="5" t="inlineStr">
        <is>
          <t>All zero is not a missing-response scenario</t>
        </is>
      </c>
      <c r="C58" s="5" t="inlineStr">
        <is>
          <t>0</t>
        </is>
      </c>
      <c r="D58" s="5" t="inlineStr">
        <is>
          <t>0</t>
        </is>
      </c>
      <c r="E58" s="5" t="inlineStr">
        <is>
          <t>0</t>
        </is>
      </c>
      <c r="F58" s="5" t="inlineStr">
        <is>
          <t>PASS</t>
        </is>
      </c>
      <c r="G58" s="5" t="inlineStr">
        <is>
          <t>Executed workbook scenario</t>
        </is>
      </c>
    </row>
    <row r="59" ht="80" customHeight="1">
      <c r="A59" s="5" t="inlineStr">
        <is>
          <t>V3-T23</t>
        </is>
      </c>
      <c r="B59" s="5" t="inlineStr">
        <is>
          <t>All zero uses High not automatic Critical</t>
        </is>
      </c>
      <c r="C59" s="5" t="inlineStr">
        <is>
          <t>0</t>
        </is>
      </c>
      <c r="D59" s="5" t="inlineStr">
        <is>
          <t>0</t>
        </is>
      </c>
      <c r="E59" s="5" t="inlineStr">
        <is>
          <t>0</t>
        </is>
      </c>
      <c r="F59" s="5" t="inlineStr">
        <is>
          <t>PASS</t>
        </is>
      </c>
      <c r="G59" s="5" t="inlineStr">
        <is>
          <t>Executed workbook scenario</t>
        </is>
      </c>
    </row>
    <row r="60" ht="80" customHeight="1">
      <c r="A60" s="5" t="inlineStr">
        <is>
          <t>V3-T24</t>
        </is>
      </c>
      <c r="B60" s="5" t="inlineStr">
        <is>
          <t>PAY01 / NONE context risk and priority</t>
        </is>
      </c>
      <c r="C60" s="5" t="inlineStr">
        <is>
          <t>(3, 3)</t>
        </is>
      </c>
      <c r="D60" s="5" t="inlineStr">
        <is>
          <t>(3, 3)</t>
        </is>
      </c>
      <c r="E60" s="5" t="inlineStr">
        <is>
          <t>(3, 3)</t>
        </is>
      </c>
      <c r="F60" s="5" t="inlineStr">
        <is>
          <t>PASS</t>
        </is>
      </c>
      <c r="G60" s="5" t="inlineStr">
        <is>
          <t>Executed workbook scenario</t>
        </is>
      </c>
    </row>
    <row r="61" ht="80" customHeight="1">
      <c r="A61" s="5" t="inlineStr">
        <is>
          <t>V3-T25</t>
        </is>
      </c>
      <c r="B61" s="5" t="inlineStr">
        <is>
          <t>PAY02 / NONE context risk and priority</t>
        </is>
      </c>
      <c r="C61" s="5" t="inlineStr">
        <is>
          <t>(0, 3)</t>
        </is>
      </c>
      <c r="D61" s="5" t="inlineStr">
        <is>
          <t>(0, 3)</t>
        </is>
      </c>
      <c r="E61" s="5" t="inlineStr">
        <is>
          <t>(0, 3)</t>
        </is>
      </c>
      <c r="F61" s="5" t="inlineStr">
        <is>
          <t>PASS</t>
        </is>
      </c>
      <c r="G61" s="5" t="inlineStr">
        <is>
          <t>Executed workbook scenario</t>
        </is>
      </c>
    </row>
    <row r="62" ht="80" customHeight="1">
      <c r="A62" s="5" t="inlineStr">
        <is>
          <t>V3-T26</t>
        </is>
      </c>
      <c r="B62" s="5" t="inlineStr">
        <is>
          <t>PAY03 / LIVE_HARM context risk and priority</t>
        </is>
      </c>
      <c r="C62" s="5" t="inlineStr">
        <is>
          <t>(4, 4)</t>
        </is>
      </c>
      <c r="D62" s="5" t="inlineStr">
        <is>
          <t>(4, 4)</t>
        </is>
      </c>
      <c r="E62" s="5" t="inlineStr">
        <is>
          <t>(4, 4)</t>
        </is>
      </c>
      <c r="F62" s="5" t="inlineStr">
        <is>
          <t>PASS</t>
        </is>
      </c>
      <c r="G62" s="5" t="inlineStr">
        <is>
          <t>Executed workbook scenario</t>
        </is>
      </c>
    </row>
    <row r="63" ht="80" customHeight="1">
      <c r="A63" s="5" t="inlineStr">
        <is>
          <t>V3-T27</t>
        </is>
      </c>
      <c r="B63" s="5" t="inlineStr">
        <is>
          <t>PAY04 / LIVE_ISSUE context risk and priority</t>
        </is>
      </c>
      <c r="C63" s="5" t="inlineStr">
        <is>
          <t>(3, 3)</t>
        </is>
      </c>
      <c r="D63" s="5" t="inlineStr">
        <is>
          <t>(3, 3)</t>
        </is>
      </c>
      <c r="E63" s="5" t="inlineStr">
        <is>
          <t>(3, 3)</t>
        </is>
      </c>
      <c r="F63" s="5" t="inlineStr">
        <is>
          <t>PASS</t>
        </is>
      </c>
      <c r="G63" s="5" t="inlineStr">
        <is>
          <t>Executed workbook scenario</t>
        </is>
      </c>
    </row>
    <row r="64" ht="80" customHeight="1">
      <c r="A64" s="5" t="inlineStr">
        <is>
          <t>V3-T28</t>
        </is>
      </c>
      <c r="B64" s="5" t="inlineStr">
        <is>
          <t>PAY05 / DEADLINE context risk and priority</t>
        </is>
      </c>
      <c r="C64" s="5" t="inlineStr">
        <is>
          <t>(1, 3)</t>
        </is>
      </c>
      <c r="D64" s="5" t="inlineStr">
        <is>
          <t>(1, 3)</t>
        </is>
      </c>
      <c r="E64" s="5" t="inlineStr">
        <is>
          <t>(1, 3)</t>
        </is>
      </c>
      <c r="F64" s="5" t="inlineStr">
        <is>
          <t>PASS</t>
        </is>
      </c>
      <c r="G64" s="5" t="inlineStr">
        <is>
          <t>Executed workbook scenario</t>
        </is>
      </c>
    </row>
    <row r="65" ht="80" customHeight="1">
      <c r="A65" s="5" t="inlineStr">
        <is>
          <t>V3-T29</t>
        </is>
      </c>
      <c r="B65" s="5" t="inlineStr">
        <is>
          <t>PAY06 / SYSTEMIC context risk and priority</t>
        </is>
      </c>
      <c r="C65" s="5" t="inlineStr">
        <is>
          <t>(0, 3)</t>
        </is>
      </c>
      <c r="D65" s="5" t="inlineStr">
        <is>
          <t>(0, 3)</t>
        </is>
      </c>
      <c r="E65" s="5" t="inlineStr">
        <is>
          <t>(0, 3)</t>
        </is>
      </c>
      <c r="F65" s="5" t="inlineStr">
        <is>
          <t>PASS</t>
        </is>
      </c>
      <c r="G65" s="5" t="inlineStr">
        <is>
          <t>Executed workbook scenario</t>
        </is>
      </c>
    </row>
    <row r="66" ht="80" customHeight="1">
      <c r="A66" s="5" t="inlineStr">
        <is>
          <t>V3-T30</t>
        </is>
      </c>
      <c r="B66" s="5" t="inlineStr">
        <is>
          <t>CON01 / SYSTEMIC context risk and priority</t>
        </is>
      </c>
      <c r="C66" s="5" t="inlineStr">
        <is>
          <t>(0, 3)</t>
        </is>
      </c>
      <c r="D66" s="5" t="inlineStr">
        <is>
          <t>(0, 3)</t>
        </is>
      </c>
      <c r="E66" s="5" t="inlineStr">
        <is>
          <t>(0, 3)</t>
        </is>
      </c>
      <c r="F66" s="5" t="inlineStr">
        <is>
          <t>PASS</t>
        </is>
      </c>
      <c r="G66" s="5" t="inlineStr">
        <is>
          <t>Executed workbook scenario</t>
        </is>
      </c>
    </row>
    <row r="67" ht="80" customHeight="1">
      <c r="A67" s="5" t="inlineStr">
        <is>
          <t>V3-T31</t>
        </is>
      </c>
      <c r="B67" s="5" t="inlineStr">
        <is>
          <t>CON02 / SYSTEMIC context risk and priority</t>
        </is>
      </c>
      <c r="C67" s="5" t="inlineStr">
        <is>
          <t>(3, 3)</t>
        </is>
      </c>
      <c r="D67" s="5" t="inlineStr">
        <is>
          <t>(3, 3)</t>
        </is>
      </c>
      <c r="E67" s="5" t="inlineStr">
        <is>
          <t>(3, 3)</t>
        </is>
      </c>
      <c r="F67" s="5" t="inlineStr">
        <is>
          <t>PASS</t>
        </is>
      </c>
      <c r="G67" s="5" t="inlineStr">
        <is>
          <t>Executed workbook scenario</t>
        </is>
      </c>
    </row>
    <row r="68" ht="80" customHeight="1">
      <c r="A68" s="5" t="inlineStr">
        <is>
          <t>V3-T32</t>
        </is>
      </c>
      <c r="B68" s="5" t="inlineStr">
        <is>
          <t>CON03 / MATTER_UNCLEAR context risk and priority</t>
        </is>
      </c>
      <c r="C68" s="5" t="inlineStr">
        <is>
          <t>(2, 3)</t>
        </is>
      </c>
      <c r="D68" s="5" t="inlineStr">
        <is>
          <t>(2, 3)</t>
        </is>
      </c>
      <c r="E68" s="5" t="inlineStr">
        <is>
          <t>(2, 3)</t>
        </is>
      </c>
      <c r="F68" s="5" t="inlineStr">
        <is>
          <t>PASS</t>
        </is>
      </c>
      <c r="G68" s="5" t="inlineStr">
        <is>
          <t>Executed workbook scenario</t>
        </is>
      </c>
    </row>
    <row r="69" ht="80" customHeight="1">
      <c r="A69" s="5" t="inlineStr">
        <is>
          <t>V3-T33</t>
        </is>
      </c>
      <c r="B69" s="5" t="inlineStr">
        <is>
          <t>ONB01 / NONE context risk and priority</t>
        </is>
      </c>
      <c r="C69" s="5" t="inlineStr">
        <is>
          <t>(0, 0)</t>
        </is>
      </c>
      <c r="D69" s="5" t="inlineStr">
        <is>
          <t>(0, 0)</t>
        </is>
      </c>
      <c r="E69" s="5" t="inlineStr">
        <is>
          <t>(0, 0)</t>
        </is>
      </c>
      <c r="F69" s="5" t="inlineStr">
        <is>
          <t>PASS</t>
        </is>
      </c>
      <c r="G69" s="5" t="inlineStr">
        <is>
          <t>Executed workbook scenario</t>
        </is>
      </c>
    </row>
    <row r="70" ht="80" customHeight="1">
      <c r="A70" s="5" t="inlineStr">
        <is>
          <t>V3-T34</t>
        </is>
      </c>
      <c r="B70" s="5" t="inlineStr">
        <is>
          <t>REC01 input guard</t>
        </is>
      </c>
      <c r="C70" s="5" t="inlineStr">
        <is>
          <t>Missing or invalid answer</t>
        </is>
      </c>
      <c r="D70" s="5" t="inlineStr">
        <is>
          <t>Missing or invalid answer</t>
        </is>
      </c>
      <c r="E70" s="5" t="inlineStr">
        <is>
          <t>Missing or invalid answer</t>
        </is>
      </c>
      <c r="F70" s="5" t="inlineStr">
        <is>
          <t>PASS</t>
        </is>
      </c>
      <c r="G70" s="5" t="inlineStr">
        <is>
          <t>Executed workbook scenario</t>
        </is>
      </c>
    </row>
    <row r="71" ht="80" customHeight="1">
      <c r="A71" s="5" t="inlineStr">
        <is>
          <t>V3-T35</t>
        </is>
      </c>
      <c r="B71" s="5" t="inlineStr">
        <is>
          <t>REC02 input guard</t>
        </is>
      </c>
      <c r="C71" s="5" t="inlineStr">
        <is>
          <t>Missing or invalid answer</t>
        </is>
      </c>
      <c r="D71" s="5" t="inlineStr">
        <is>
          <t>Missing or invalid answer</t>
        </is>
      </c>
      <c r="E71" s="5" t="inlineStr">
        <is>
          <t>Missing or invalid answer</t>
        </is>
      </c>
      <c r="F71" s="5" t="inlineStr">
        <is>
          <t>PASS</t>
        </is>
      </c>
      <c r="G71" s="5" t="inlineStr">
        <is>
          <t>Executed workbook scenario</t>
        </is>
      </c>
    </row>
    <row r="72" ht="80" customHeight="1">
      <c r="A72" s="5" t="inlineStr">
        <is>
          <t>V3-T36</t>
        </is>
      </c>
      <c r="B72" s="5" t="inlineStr">
        <is>
          <t>ONB02 input guard</t>
        </is>
      </c>
      <c r="C72" s="5" t="inlineStr">
        <is>
          <t>Override needs reason and scope</t>
        </is>
      </c>
      <c r="D72" s="5" t="inlineStr">
        <is>
          <t>Override needs reason and scope</t>
        </is>
      </c>
      <c r="E72" s="5" t="inlineStr">
        <is>
          <t>Override needs reason and scope</t>
        </is>
      </c>
      <c r="F72" s="5" t="inlineStr">
        <is>
          <t>PASS</t>
        </is>
      </c>
      <c r="G72" s="5" t="inlineStr">
        <is>
          <t>Executed workbook scenario</t>
        </is>
      </c>
    </row>
    <row r="73" ht="80" customHeight="1">
      <c r="A73" s="5" t="inlineStr">
        <is>
          <t>V3-T37</t>
        </is>
      </c>
      <c r="B73" s="5" t="inlineStr">
        <is>
          <t>ONB03 input guard</t>
        </is>
      </c>
      <c r="C73" s="5" t="inlineStr">
        <is>
          <t>Invalid context code</t>
        </is>
      </c>
      <c r="D73" s="5" t="inlineStr">
        <is>
          <t>Invalid context code</t>
        </is>
      </c>
      <c r="E73" s="5" t="inlineStr">
        <is>
          <t>Invalid context code</t>
        </is>
      </c>
      <c r="F73" s="5" t="inlineStr">
        <is>
          <t>PASS</t>
        </is>
      </c>
      <c r="G73" s="5" t="inlineStr">
        <is>
          <t>Executed workbook scenario</t>
        </is>
      </c>
    </row>
    <row r="74" ht="80" customHeight="1">
      <c r="A74" s="5" t="inlineStr">
        <is>
          <t>V3-T38</t>
        </is>
      </c>
      <c r="B74" s="5" t="inlineStr">
        <is>
          <t>WHS01 input guard</t>
        </is>
      </c>
      <c r="C74" s="5" t="inlineStr">
        <is>
          <t>Context conflicts with exclusion</t>
        </is>
      </c>
      <c r="D74" s="5" t="inlineStr">
        <is>
          <t>Context conflicts with exclusion</t>
        </is>
      </c>
      <c r="E74" s="5" t="inlineStr">
        <is>
          <t>Context conflicts with exclusion</t>
        </is>
      </c>
      <c r="F74" s="5" t="inlineStr">
        <is>
          <t>PASS</t>
        </is>
      </c>
      <c r="G74" s="5" t="inlineStr">
        <is>
          <t>Executed workbook scenario</t>
        </is>
      </c>
    </row>
    <row r="75" ht="80" customHeight="1">
      <c r="A75" s="5" t="inlineStr">
        <is>
          <t>V3-T39</t>
        </is>
      </c>
      <c r="B75" s="5" t="inlineStr">
        <is>
          <t>Input errors block a completed result</t>
        </is>
      </c>
      <c r="C75" s="5" t="inlineStr">
        <is>
          <t>Incomplete / check inputs</t>
        </is>
      </c>
      <c r="D75" s="5" t="inlineStr">
        <is>
          <t>Incomplete / check inputs</t>
        </is>
      </c>
      <c r="E75" s="5" t="inlineStr">
        <is>
          <t>Incomplete / check inputs</t>
        </is>
      </c>
      <c r="F75" s="5" t="inlineStr">
        <is>
          <t>PASS</t>
        </is>
      </c>
      <c r="G75" s="5" t="inlineStr">
        <is>
          <t>Executed workbook scenario</t>
        </is>
      </c>
    </row>
    <row r="76" ht="80" customHeight="1">
      <c r="A76" s="5" t="inlineStr">
        <is>
          <t>V3-T40</t>
        </is>
      </c>
      <c r="B76" s="5" t="inlineStr">
        <is>
          <t>Serious-harm notice is not hidden by incomplete inputs</t>
        </is>
      </c>
      <c r="C76" s="5" t="inlineStr">
        <is>
          <t>True</t>
        </is>
      </c>
      <c r="D76" s="5" t="inlineStr">
        <is>
          <t>True</t>
        </is>
      </c>
      <c r="E76" s="5" t="inlineStr">
        <is>
          <t>True</t>
        </is>
      </c>
      <c r="F76" s="5" t="inlineStr">
        <is>
          <t>PASS</t>
        </is>
      </c>
      <c r="G76" s="5" t="inlineStr">
        <is>
          <t>Executed workbook scenario</t>
        </is>
      </c>
    </row>
    <row r="77" ht="80" customHeight="1">
      <c r="A77" s="5" t="inlineStr">
        <is>
          <t>V3-T41</t>
        </is>
      </c>
      <c r="B77" s="5" t="inlineStr">
        <is>
          <t>Mixed-context scenario formula errors</t>
        </is>
      </c>
      <c r="C77" s="5" t="inlineStr">
        <is>
          <t>[]</t>
        </is>
      </c>
      <c r="D77" s="5" t="inlineStr">
        <is>
          <t>[]</t>
        </is>
      </c>
      <c r="E77" s="5" t="inlineStr">
        <is>
          <t>[]</t>
        </is>
      </c>
      <c r="F77" s="5" t="inlineStr">
        <is>
          <t>PASS</t>
        </is>
      </c>
      <c r="G77" s="5" t="inlineStr">
        <is>
          <t>Executed workbook scenario</t>
        </is>
      </c>
    </row>
    <row r="78" ht="80" customHeight="1">
      <c r="A78" s="5" t="inlineStr">
        <is>
          <t>V3-T42</t>
        </is>
      </c>
      <c r="B78" s="5" t="inlineStr">
        <is>
          <t>Full baseline formula calculation recorded</t>
        </is>
      </c>
      <c r="C78" s="5" t="inlineStr">
        <is>
          <t>True</t>
        </is>
      </c>
      <c r="D78" s="5" t="inlineStr">
        <is>
          <t>True</t>
        </is>
      </c>
      <c r="E78" s="5" t="inlineStr">
        <is>
          <t>True</t>
        </is>
      </c>
      <c r="F78" s="5" t="inlineStr">
        <is>
          <t>PASS</t>
        </is>
      </c>
      <c r="G78" s="5" t="inlineStr">
        <is>
          <t>Executed workbook calculation: 2762 formulas</t>
        </is>
      </c>
    </row>
  </sheetData>
  <autoFilter ref="A5:G78"/>
  <mergeCells count="3">
    <mergeCell ref="A3:G3"/>
    <mergeCell ref="A2:G2"/>
    <mergeCell ref="A1:G1"/>
  </mergeCells>
  <conditionalFormatting sqref="F6:F36">
    <cfRule type="expression" priority="1" dxfId="0">
      <formula>F6="PASS"</formula>
    </cfRule>
    <cfRule type="expression" priority="2" dxfId="1">
      <formula>F6="OPEN"</formula>
    </cfRule>
  </conditionalFormatting>
  <pageMargins left="0.7" right="0.7" top="0.75" bottom="0.75" header="0.3" footer="0.3"/>
</worksheet>
</file>

<file path=xl/worksheets/sheet17.xml><?xml version="1.0" encoding="utf-8"?>
<worksheet xmlns="http://schemas.openxmlformats.org/spreadsheetml/2006/main">
  <sheetPr>
    <tabColor rgb="FF472C5B"/>
    <outlinePr summaryBelow="1" summaryRight="1"/>
    <pageSetUpPr/>
  </sheetPr>
  <dimension ref="A1:K70"/>
  <sheetViews>
    <sheetView showGridLines="0" workbookViewId="0">
      <pane xSplit="2" ySplit="5" topLeftCell="C6" activePane="bottomRight" state="frozen"/>
      <selection activeCell="A1" sqref="A1"/>
    </sheetView>
  </sheetViews>
  <sheetFormatPr baseColWidth="8" defaultRowHeight="15"/>
  <cols>
    <col width="12" customWidth="1" min="1" max="1"/>
    <col width="30" customWidth="1" min="2" max="2"/>
    <col width="75" customWidth="1" min="3" max="3"/>
    <col width="17" customWidth="1" min="4" max="4"/>
    <col width="17" customWidth="1" min="5" max="5"/>
    <col width="24" customWidth="1" min="6" max="6"/>
    <col width="88" customWidth="1" min="7" max="7"/>
    <col width="84" customWidth="1" min="8" max="8"/>
    <col width="29" customWidth="1" min="9" max="9"/>
    <col width="24" customWidth="1" min="10" max="10"/>
    <col width="75" customWidth="1" min="11" max="11"/>
  </cols>
  <sheetData>
    <row r="1" ht="38" customHeight="1">
      <c r="A1" s="1" t="inlineStr">
        <is>
          <t>Review of every original question</t>
        </is>
      </c>
    </row>
    <row r="2" ht="34" customHeight="1">
      <c r="A2" s="2" t="inlineStr">
        <is>
          <t>Source-derived findings are separated from the proposed change. Exact original options and weights are available in Original Options. All revised links refer to stable v2 question IDs.</t>
        </is>
      </c>
    </row>
    <row r="3" ht="22" customHeight="1">
      <c r="A3" s="3" t="inlineStr">
        <is>
          <t>DREAMSTONEHR | PROPOSED V2.0 | REVIEWED 10 OCTOBER 2026</t>
        </is>
      </c>
    </row>
    <row r="4"/>
    <row r="5" ht="34" customHeight="1">
      <c r="A5" s="4" t="inlineStr">
        <is>
          <t>Original ID</t>
        </is>
      </c>
      <c r="B5" s="4" t="inlineStr">
        <is>
          <t>Original category</t>
        </is>
      </c>
      <c r="C5" s="4" t="inlineStr">
        <is>
          <t>Original question</t>
        </is>
      </c>
      <c r="D5" s="4" t="inlineStr">
        <is>
          <t>Type</t>
        </is>
      </c>
      <c r="E5" s="4" t="inlineStr">
        <is>
          <t>Current maximum</t>
        </is>
      </c>
      <c r="F5" s="4" t="inlineStr">
        <is>
          <t>Disposition</t>
        </is>
      </c>
      <c r="G5" s="4" t="inlineStr">
        <is>
          <t>Problem or limitation in current design</t>
        </is>
      </c>
      <c r="H5" s="4" t="inlineStr">
        <is>
          <t>Proposed change</t>
        </is>
      </c>
      <c r="I5" s="4" t="inlineStr">
        <is>
          <t>Revised IDs</t>
        </is>
      </c>
      <c r="J5" s="4" t="inlineStr">
        <is>
          <t>Source IDs</t>
        </is>
      </c>
      <c r="K5" s="4" t="inlineStr">
        <is>
          <t>Primary source URLs</t>
        </is>
      </c>
    </row>
    <row r="6" ht="70" customHeight="1">
      <c r="A6" s="8" t="inlineStr">
        <is>
          <t>Q01</t>
        </is>
      </c>
      <c r="B6" s="8" t="inlineStr">
        <is>
          <t>Pay &amp; Entitlements</t>
        </is>
      </c>
      <c r="C6" s="8" t="inlineStr">
        <is>
          <t>How familiar are you with the Fair Work Act and Modern Awards?</t>
        </is>
      </c>
      <c r="D6" s="8" t="inlineStr">
        <is>
          <t>scale</t>
        </is>
      </c>
      <c r="E6" s="9">
        <f>MAX('Original Options'!J6:J6)</f>
        <v>10</v>
      </c>
      <c r="F6" s="5" t="inlineStr">
        <is>
          <t>Replace</t>
        </is>
      </c>
      <c r="G6" s="5" t="inlineStr">
        <is>
          <t>Familiarity is not a demonstrated payroll control. A confident respondent can obtain a high score without checking anything.</t>
        </is>
      </c>
      <c r="H6" s="5" t="inlineStr">
        <is>
          <t>Ask how coverage and classifications were established; test the process rather than legal vocabulary.</t>
        </is>
      </c>
      <c r="I6" s="5" t="inlineStr">
        <is>
          <t>PAY01</t>
        </is>
      </c>
      <c r="J6" s="5" t="inlineStr">
        <is>
          <t>S06;S14</t>
        </is>
      </c>
      <c r="K6" s="5" t="inlineStr">
        <is>
          <t>https://www.fairwork.gov.au/pay-and-wages/minimum-wages/annualised-salaries
https://www.fairwork.gov.au/tools-and-resources/fact-sheets/rights-and-obligations/record-keeping-pay-slips</t>
        </is>
      </c>
    </row>
    <row r="7" ht="154" customHeight="1">
      <c r="A7" s="10" t="inlineStr">
        <is>
          <t>Q02</t>
        </is>
      </c>
      <c r="B7" s="10" t="inlineStr">
        <is>
          <t>Pay &amp; Entitlements</t>
        </is>
      </c>
      <c r="C7" s="10" t="inlineStr">
        <is>
          <t>How comfortable are you with the National Employment Standards and how they apply to your employees?</t>
        </is>
      </c>
      <c r="D7" s="10" t="inlineStr">
        <is>
          <t>scale</t>
        </is>
      </c>
      <c r="E7" s="11">
        <f>MAX('Original Options'!J7:J7)</f>
        <v>10</v>
      </c>
      <c r="F7" s="6" t="inlineStr">
        <is>
          <t>Replace / redistribute</t>
        </is>
      </c>
      <c r="G7" s="6" t="inlineStr">
        <is>
          <t>A single confidence rating cannot establish understanding of multiple NES entitlements.</t>
        </is>
      </c>
      <c r="H7" s="6" t="inlineStr">
        <is>
          <t>Assess actual leave handling, safe FDV leave administration and eligible flexibility requests.</t>
        </is>
      </c>
      <c r="I7" s="6" t="inlineStr">
        <is>
          <t>PAY03</t>
        </is>
      </c>
      <c r="J7" s="6" t="inlineStr">
        <is>
          <t>S14;S21;S28;S31;S39</t>
        </is>
      </c>
      <c r="K7" s="6"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row>
    <row r="8" ht="70" customHeight="1">
      <c r="A8" s="8" t="inlineStr">
        <is>
          <t>Q03</t>
        </is>
      </c>
      <c r="B8" s="8" t="inlineStr">
        <is>
          <t>Pay &amp; Entitlements</t>
        </is>
      </c>
      <c r="C8" s="8" t="inlineStr">
        <is>
          <t>How confident are you that each of your employees is covered by the correct Modern Award, including the correct Award classification and level? (Keeping in mind that different Modern Awards may apply to different occupations within the same business).</t>
        </is>
      </c>
      <c r="D8" s="8" t="inlineStr">
        <is>
          <t>scale</t>
        </is>
      </c>
      <c r="E8" s="9">
        <f>MAX('Original Options'!J8:J8)</f>
        <v>10</v>
      </c>
      <c r="F8" s="5" t="inlineStr">
        <is>
          <t>Replace</t>
        </is>
      </c>
      <c r="G8" s="5" t="inlineStr">
        <is>
          <t>Self-rated confidence does not establish correct award coverage or classification.</t>
        </is>
      </c>
      <c r="H8" s="5" t="inlineStr">
        <is>
          <t>Seek the basis of the mapping and a review trigger, including role changes.</t>
        </is>
      </c>
      <c r="I8" s="5" t="inlineStr">
        <is>
          <t>PAY01</t>
        </is>
      </c>
      <c r="J8" s="5" t="inlineStr">
        <is>
          <t>S06;S14</t>
        </is>
      </c>
      <c r="K8" s="5" t="inlineStr">
        <is>
          <t>https://www.fairwork.gov.au/pay-and-wages/minimum-wages/annualised-salaries
https://www.fairwork.gov.au/tools-and-resources/fact-sheets/rights-and-obligations/record-keeping-pay-slips</t>
        </is>
      </c>
    </row>
    <row r="9" ht="98" customHeight="1">
      <c r="A9" s="10" t="inlineStr">
        <is>
          <t>Q04</t>
        </is>
      </c>
      <c r="B9" s="10" t="inlineStr">
        <is>
          <t>Pay &amp; Entitlements</t>
        </is>
      </c>
      <c r="C9" s="10" t="inlineStr">
        <is>
          <t>Are you aware that if you pay above the Award, other conditions and entitlements within the Award are still applicable?</t>
        </is>
      </c>
      <c r="D9" s="10" t="inlineStr">
        <is>
          <t>option</t>
        </is>
      </c>
      <c r="E9" s="11">
        <f>MAX('Original Options'!J9:J11)</f>
        <v>10</v>
      </c>
      <c r="F9" s="6" t="inlineStr">
        <is>
          <t>Replace / branch</t>
        </is>
      </c>
      <c r="G9" s="6" t="inlineStr">
        <is>
          <t>Awareness that above-award pay may be insufficient is not evidence that the actual arrangement works.</t>
        </is>
      </c>
      <c r="H9" s="6" t="inlineStr">
        <is>
          <t>Use a core pay-check question and a conditional salary/flat-rate review.</t>
        </is>
      </c>
      <c r="I9" s="6" t="inlineStr">
        <is>
          <t>PAY02;B01</t>
        </is>
      </c>
      <c r="J9" s="6" t="inlineStr">
        <is>
          <t>S06;S07;S14</t>
        </is>
      </c>
      <c r="K9" s="6" t="inlineStr">
        <is>
          <t>https://www.fairwork.gov.au/pay-and-wages/minimum-wages/annualised-salaries
https://www.fairwork.gov.au/newsroom/news/offsetting-and-record-keeping-salaried-employees
https://www.fairwork.gov.au/tools-and-resources/fact-sheets/rights-and-obligations/record-keeping-pay-slips</t>
        </is>
      </c>
    </row>
    <row r="10" ht="98" customHeight="1">
      <c r="A10" s="8" t="inlineStr">
        <is>
          <t>Q05</t>
        </is>
      </c>
      <c r="B10" s="8" t="inlineStr">
        <is>
          <t>Pay &amp; Entitlements</t>
        </is>
      </c>
      <c r="C10" s="8" t="inlineStr">
        <is>
          <t>Each Award will determine minimum rates of pay, penalty rates, hours of work, overtime, meal breaks, and other statutory entitlements. How confident are you that you are paying in line with the Award requirements for these statutory entitlements?</t>
        </is>
      </c>
      <c r="D10" s="8" t="inlineStr">
        <is>
          <t>option</t>
        </is>
      </c>
      <c r="E10" s="9">
        <f>MAX('Original Options'!J12:J15)</f>
        <v>10</v>
      </c>
      <c r="F10" s="5" t="inlineStr">
        <is>
          <t>Replace</t>
        </is>
      </c>
      <c r="G10" s="5" t="inlineStr">
        <is>
          <t>The maximum score rewards claimed certainty rather than a current minimum-entitlement check.</t>
        </is>
      </c>
      <c r="H10" s="5" t="inlineStr">
        <is>
          <t>Ask about the actual work, current rules, pay period and the handling of discrepancies.</t>
        </is>
      </c>
      <c r="I10" s="5" t="inlineStr">
        <is>
          <t>PAY02</t>
        </is>
      </c>
      <c r="J10" s="5" t="inlineStr">
        <is>
          <t>S06;S07;S14</t>
        </is>
      </c>
      <c r="K10" s="5" t="inlineStr">
        <is>
          <t>https://www.fairwork.gov.au/pay-and-wages/minimum-wages/annualised-salaries
https://www.fairwork.gov.au/newsroom/news/offsetting-and-record-keeping-salaried-employees
https://www.fairwork.gov.au/tools-and-resources/fact-sheets/rights-and-obligations/record-keeping-pay-slips</t>
        </is>
      </c>
    </row>
    <row r="11" ht="70" customHeight="1">
      <c r="A11" s="10" t="inlineStr">
        <is>
          <t>Q06</t>
        </is>
      </c>
      <c r="B11" s="10" t="inlineStr">
        <is>
          <t>Pay &amp; Entitlements</t>
        </is>
      </c>
      <c r="C11" s="10" t="inlineStr">
        <is>
          <t>How would you rate your compliance with Modern Award allowances?</t>
        </is>
      </c>
      <c r="D11" s="10" t="inlineStr">
        <is>
          <t>option</t>
        </is>
      </c>
      <c r="E11" s="11">
        <f>MAX('Original Options'!J16:J20)</f>
        <v>10</v>
      </c>
      <c r="F11" s="6" t="inlineStr">
        <is>
          <t>Replace / branch</t>
        </is>
      </c>
      <c r="G11" s="6" t="inlineStr">
        <is>
          <t>A flat-rate assumption receives partial credit although no legal basis is established. Several choices describe confidence or a desire for help.</t>
        </is>
      </c>
      <c r="H11" s="6" t="inlineStr">
        <is>
          <t>Ask whether allowance triggers are mapped and checked; separately assess salary offsetting.</t>
        </is>
      </c>
      <c r="I11" s="6" t="inlineStr">
        <is>
          <t>B01;B07</t>
        </is>
      </c>
      <c r="J11" s="6" t="inlineStr">
        <is>
          <t>S06;S07</t>
        </is>
      </c>
      <c r="K11" s="6" t="inlineStr">
        <is>
          <t>https://www.fairwork.gov.au/pay-and-wages/minimum-wages/annualised-salaries
https://www.fairwork.gov.au/newsroom/news/offsetting-and-record-keeping-salaried-employees</t>
        </is>
      </c>
    </row>
    <row r="12" ht="98" customHeight="1">
      <c r="A12" s="8" t="inlineStr">
        <is>
          <t>Q07</t>
        </is>
      </c>
      <c r="B12" s="8" t="inlineStr">
        <is>
          <t>Pay &amp; Entitlements</t>
        </is>
      </c>
      <c r="C12" s="8" t="inlineStr">
        <is>
          <t>How well do you believe you understand the differences between full time, part time and casual employment, including probation, leave, and termination requirements?</t>
        </is>
      </c>
      <c r="D12" s="8" t="inlineStr">
        <is>
          <t>scale</t>
        </is>
      </c>
      <c r="E12" s="9">
        <f>MAX('Original Options'!J21:J21)</f>
        <v>10</v>
      </c>
      <c r="F12" s="5" t="inlineStr">
        <is>
          <t>Replace / branch</t>
        </is>
      </c>
      <c r="G12" s="5" t="inlineStr">
        <is>
          <t>Employment type, probation, leave and termination are bundled into one broad slider.</t>
        </is>
      </c>
      <c r="H12" s="5" t="inlineStr">
        <is>
          <t>Separate engagement type from early performance review and pre-termination checks.</t>
        </is>
      </c>
      <c r="I12" s="5" t="inlineStr">
        <is>
          <t>CON02</t>
        </is>
      </c>
      <c r="J12" s="5" t="inlineStr">
        <is>
          <t>S03;S09;S23</t>
        </is>
      </c>
      <c r="K12" s="5" t="inlineStr">
        <is>
          <t>https://www.fairwork.gov.au/starting-employment/types-of-employees/casual-employees/becoming-a-permanent-employee
https://www.fairwork.gov.au/starting-employment/types-of-employees/fixed-term-contract-employees
https://www.fairwork.gov.au/find-help-for/independent-contractors/whole-of-relationship-test</t>
        </is>
      </c>
    </row>
    <row r="13" ht="56" customHeight="1">
      <c r="A13" s="10" t="inlineStr">
        <is>
          <t>Q08</t>
        </is>
      </c>
      <c r="B13" s="10" t="inlineStr">
        <is>
          <t>Pay &amp; Entitlements</t>
        </is>
      </c>
      <c r="C13" s="10" t="inlineStr">
        <is>
          <t>Are you aware of your obligations regarding casual employees' rights to request permanent employment (casual conversion) under the new legislation?</t>
        </is>
      </c>
      <c r="D13" s="10" t="inlineStr">
        <is>
          <t>option</t>
        </is>
      </c>
      <c r="E13" s="11">
        <f>MAX('Original Options'!J22:J25)</f>
        <v>10</v>
      </c>
      <c r="F13" s="6" t="inlineStr">
        <is>
          <t>Rewrite: current law</t>
        </is>
      </c>
      <c r="G13" s="6" t="inlineStr">
        <is>
          <t>The question uses casual conversion terminology and combines no casuals with an exemption as a maximum-scoring answer.</t>
        </is>
      </c>
      <c r="H13" s="6" t="inlineStr">
        <is>
          <t>Branch on actual casual use and apply the employee choice pathway, including the correct small-business timing.</t>
        </is>
      </c>
      <c r="I13" s="6" t="inlineStr">
        <is>
          <t>B02</t>
        </is>
      </c>
      <c r="J13" s="6" t="inlineStr">
        <is>
          <t>S02;S03</t>
        </is>
      </c>
      <c r="K13" s="6" t="inlineStr">
        <is>
          <t>https://www.fairwork.gov.au/taxonomy/term/527
https://www.fairwork.gov.au/starting-employment/types-of-employees/casual-employees/becoming-a-permanent-employee</t>
        </is>
      </c>
    </row>
    <row r="14" ht="84" customHeight="1">
      <c r="A14" s="8" t="inlineStr">
        <is>
          <t>Q09</t>
        </is>
      </c>
      <c r="B14" s="8" t="inlineStr">
        <is>
          <t>Pay &amp; Entitlements</t>
        </is>
      </c>
      <c r="C14" s="8"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D14" s="8" t="inlineStr">
        <is>
          <t>option</t>
        </is>
      </c>
      <c r="E14" s="9">
        <f>SUM('Original Options'!J26:J31)</f>
        <v>11</v>
      </c>
      <c r="F14" s="5" t="inlineStr">
        <is>
          <t>Replace</t>
        </is>
      </c>
      <c r="G14" s="5" t="inlineStr">
        <is>
          <t>Multiple-select choices can be contradictory. A maximum of six duties is an arbitrary formatting preference, not an HR control.</t>
        </is>
      </c>
      <c r="H14" s="5" t="inlineStr">
        <is>
          <t>Assess role outcomes, responsibilities, required capability and relevant requirements without prescribing document length.</t>
        </is>
      </c>
      <c r="I14" s="5" t="inlineStr">
        <is>
          <t>REC01</t>
        </is>
      </c>
      <c r="J14" s="5" t="inlineStr">
        <is>
          <t>S01;S27</t>
        </is>
      </c>
      <c r="K14" s="5" t="inlineStr">
        <is>
          <t>https://www.abs.gov.au/statistics/standards/abs-forms-design-standards/2023/general-forms-design-principles-question-structure
https://www.fairwork.gov.au/sites/default/files/migration/711/managing-underperformance-best-practice-guide.pdf</t>
        </is>
      </c>
    </row>
    <row r="15" ht="70" customHeight="1">
      <c r="A15" s="10" t="inlineStr">
        <is>
          <t>Q10</t>
        </is>
      </c>
      <c r="B15" s="10" t="inlineStr">
        <is>
          <t>Recruitment &amp; Talent</t>
        </is>
      </c>
      <c r="C15" s="10" t="inlineStr">
        <is>
          <t>Are you comfortable that your job advertisements appropriately reflect role requirements, and relate directly to the Position Description?</t>
        </is>
      </c>
      <c r="D15" s="10" t="inlineStr">
        <is>
          <t>binary</t>
        </is>
      </c>
      <c r="E15" s="11">
        <f>MAX('Original Options'!J32:J33)</f>
        <v>2</v>
      </c>
      <c r="F15" s="6" t="inlineStr">
        <is>
          <t>Merge</t>
        </is>
      </c>
      <c r="G15" s="6" t="inlineStr">
        <is>
          <t>A yes/no advert-to-PD check is narrow and overlaps role clarity and candidate expectations.</t>
        </is>
      </c>
      <c r="H15" s="6" t="inlineStr">
        <is>
          <t>Merge into a realistic, consistent recruitment experience and role definition.</t>
        </is>
      </c>
      <c r="I15" s="6" t="inlineStr">
        <is>
          <t>REC01;REC03</t>
        </is>
      </c>
      <c r="J15" s="6" t="inlineStr">
        <is>
          <t>S01;S27</t>
        </is>
      </c>
      <c r="K15" s="6" t="inlineStr">
        <is>
          <t>https://www.abs.gov.au/statistics/standards/abs-forms-design-standards/2023/general-forms-design-principles-question-structure
https://www.fairwork.gov.au/sites/default/files/migration/711/managing-underperformance-best-practice-guide.pdf</t>
        </is>
      </c>
    </row>
    <row r="16" ht="70" customHeight="1">
      <c r="A16" s="8" t="inlineStr">
        <is>
          <t>Q11</t>
        </is>
      </c>
      <c r="B16" s="8" t="inlineStr">
        <is>
          <t>Recruitment &amp; Talent</t>
        </is>
      </c>
      <c r="C16" s="8" t="inlineStr">
        <is>
          <t>How would you rate your organisation's recruitment and interview practices?</t>
        </is>
      </c>
      <c r="D16" s="8" t="inlineStr">
        <is>
          <t>scale</t>
        </is>
      </c>
      <c r="E16" s="9">
        <f>MAX('Original Options'!J34:J34)</f>
        <v>10</v>
      </c>
      <c r="F16" s="5" t="inlineStr">
        <is>
          <t>Replace</t>
        </is>
      </c>
      <c r="G16" s="5" t="inlineStr">
        <is>
          <t>Acceptance rates and broad claims of fairness do not establish decision quality and are affected by market conditions.</t>
        </is>
      </c>
      <c r="H16" s="5" t="inlineStr">
        <is>
          <t>Assess comparable role-related criteria, appropriate adjustments and recorded evidence.</t>
        </is>
      </c>
      <c r="I16" s="5" t="inlineStr">
        <is>
          <t>REC02</t>
        </is>
      </c>
      <c r="J16" s="5" t="inlineStr">
        <is>
          <t>S01;S15</t>
        </is>
      </c>
      <c r="K16" s="5" t="inlineStr">
        <is>
          <t>https://www.abs.gov.au/statistics/standards/abs-forms-design-standards/2023/general-forms-design-principles-question-structure
https://www.oaic.gov.au/privacy/privacy-guidance-for-organisations-and-government-agencies/organisations/employee-records-exemption</t>
        </is>
      </c>
    </row>
    <row r="17" ht="126" customHeight="1">
      <c r="A17" s="10" t="inlineStr">
        <is>
          <t>Q12</t>
        </is>
      </c>
      <c r="B17" s="10" t="inlineStr">
        <is>
          <t>Pay &amp; Entitlements</t>
        </is>
      </c>
      <c r="C17" s="10"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D17" s="10" t="inlineStr">
        <is>
          <t>option</t>
        </is>
      </c>
      <c r="E17" s="11">
        <f>SUM('Original Options'!J35:J42)</f>
        <v>16</v>
      </c>
      <c r="F17" s="6" t="inlineStr">
        <is>
          <t>Rebuild</t>
        </is>
      </c>
      <c r="G17" s="6" t="inlineStr">
        <is>
          <t>Eight equal-weight ticks combine fairness, communication etiquette, references and a broad FOI statement. A rejection phone call is not equivalent to fair selection.</t>
        </is>
      </c>
      <c r="H17" s="6" t="inlineStr">
        <is>
          <t>Use a concise selection-control question and realistic candidate communication. Handle applicant data under the actual privacy framework, not a blanket FOI assumption.</t>
        </is>
      </c>
      <c r="I17" s="6" t="inlineStr">
        <is>
          <t>REC02;REC03;DAT02</t>
        </is>
      </c>
      <c r="J17" s="6" t="inlineStr">
        <is>
          <t>S01;S15;S16;S17</t>
        </is>
      </c>
      <c r="K17" s="6" t="inlineStr">
        <is>
          <t>https://www.abs.gov.au/statistics/standards/abs-forms-design-standards/2023/general-forms-design-principles-question-structure
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row>
    <row r="18" ht="70" customHeight="1">
      <c r="A18" s="8" t="inlineStr">
        <is>
          <t>Q13</t>
        </is>
      </c>
      <c r="B18" s="8" t="inlineStr">
        <is>
          <t>Employment Contracts</t>
        </is>
      </c>
      <c r="C18" s="8" t="inlineStr">
        <is>
          <t>Are all staff issued with an Employment Agreement / Contract?</t>
        </is>
      </c>
      <c r="D18" s="8" t="inlineStr">
        <is>
          <t>binary</t>
        </is>
      </c>
      <c r="E18" s="9">
        <f>MAX('Original Options'!J43:J44)</f>
        <v>5</v>
      </c>
      <c r="F18" s="5" t="inlineStr">
        <is>
          <t>Develop</t>
        </is>
      </c>
      <c r="G18" s="5" t="inlineStr">
        <is>
          <t>Issuing contracts does not establish current, appropriate or agreed terms.</t>
        </is>
      </c>
      <c r="H18" s="5" t="inlineStr">
        <is>
          <t>Ask whether current arrangements are accurately reflected and changes are recorded.</t>
        </is>
      </c>
      <c r="I18" s="5" t="inlineStr">
        <is>
          <t>CON01</t>
        </is>
      </c>
      <c r="J18" s="5" t="inlineStr">
        <is>
          <t>S06;S09</t>
        </is>
      </c>
      <c r="K18" s="5" t="inlineStr">
        <is>
          <t>https://www.fairwork.gov.au/pay-and-wages/minimum-wages/annualised-salaries
https://www.fairwork.gov.au/starting-employment/types-of-employees/fixed-term-contract-employees</t>
        </is>
      </c>
    </row>
    <row r="19" ht="126" customHeight="1">
      <c r="A19" s="10" t="inlineStr">
        <is>
          <t>Q14</t>
        </is>
      </c>
      <c r="B19" s="10" t="inlineStr">
        <is>
          <t>Pay &amp; Entitlements</t>
        </is>
      </c>
      <c r="C19" s="10" t="inlineStr">
        <is>
          <t>Do your Employment Agreements contain any or all of the below (please check all that apply):</t>
        </is>
      </c>
      <c r="D19" s="10" t="inlineStr">
        <is>
          <t>option</t>
        </is>
      </c>
      <c r="E19" s="11">
        <f>SUM('Original Options'!J45:J56)</f>
        <v>24</v>
      </c>
      <c r="F19" s="6" t="inlineStr">
        <is>
          <t>Rebuild / branch</t>
        </is>
      </c>
      <c r="G19" s="6" t="inlineStr">
        <is>
          <t>Twelve clause-presence checks reward quantity. Some clauses, including restraints and role-specific credentials, are not appropriate for every role.</t>
        </is>
      </c>
      <c r="H19" s="6" t="inlineStr">
        <is>
          <t>Assess fit and currency of terms. Route fixed terms, contractors and regulated credentials separately; obtain specialist review for clause quality.</t>
        </is>
      </c>
      <c r="I19" s="6" t="inlineStr">
        <is>
          <t>CON01;B13</t>
        </is>
      </c>
      <c r="J19" s="6" t="inlineStr">
        <is>
          <t>S06;S09;S13;S32</t>
        </is>
      </c>
      <c r="K19" s="6" t="inlineStr">
        <is>
          <t>https://www.fairwork.gov.au/pay-and-wages/minimum-wages/annualised-salaries
https://www.fairwork.gov.au/starting-employment/types-of-employees/fixed-term-contract-employees
https://www.safeworkaustralia.gov.au/safety-topic/managing-health-and-safety/identify-assess-and-control-hazards/managing-risks
https://immi.homeaffairs.gov.au/visa-conditions-subsite/Pages/Check-conditions-online-vevo.aspx</t>
        </is>
      </c>
    </row>
    <row r="20" ht="98" customHeight="1">
      <c r="A20" s="8" t="inlineStr">
        <is>
          <t>Q15</t>
        </is>
      </c>
      <c r="B20" s="8" t="inlineStr">
        <is>
          <t>Pay &amp; Entitlements</t>
        </is>
      </c>
      <c r="C20" s="8" t="inlineStr">
        <is>
          <t>Do you issue the Fair Work Information Statement to new staff?</t>
        </is>
      </c>
      <c r="D20" s="8" t="inlineStr">
        <is>
          <t>binary</t>
        </is>
      </c>
      <c r="E20" s="9">
        <f>MAX('Original Options'!J57:J58)</f>
        <v>3</v>
      </c>
      <c r="F20" s="5" t="inlineStr">
        <is>
          <t>Retain topic / relocate</t>
        </is>
      </c>
      <c r="G20" s="5" t="inlineStr">
        <is>
          <t>The information statement is important but belongs in onboarding and needs delivery/version control.</t>
        </is>
      </c>
      <c r="H20" s="5" t="inlineStr">
        <is>
          <t>Use current required statements and evidence of delivery rather than assuming a contract pack contains them.</t>
        </is>
      </c>
      <c r="I20" s="5" t="inlineStr">
        <is>
          <t>ONB02</t>
        </is>
      </c>
      <c r="J20" s="5" t="inlineStr">
        <is>
          <t>S04;S09;S14</t>
        </is>
      </c>
      <c r="K20" s="5" t="inlineStr">
        <is>
          <t>https://www.fairwork.gov.au/employment-conditions/information-statements/casual-employment-information-statement
https://www.fairwork.gov.au/starting-employment/types-of-employees/fixed-term-contract-employees
https://www.fairwork.gov.au/tools-and-resources/fact-sheets/rights-and-obligations/record-keeping-pay-slips</t>
        </is>
      </c>
    </row>
    <row r="21" ht="42" customHeight="1">
      <c r="A21" s="10" t="inlineStr">
        <is>
          <t>Q16</t>
        </is>
      </c>
      <c r="B21" s="10" t="inlineStr">
        <is>
          <t>Pay &amp; Entitlements</t>
        </is>
      </c>
      <c r="C21" s="10" t="inlineStr">
        <is>
          <t>Do you issue the Casual Employment Information Statement to casual staff?</t>
        </is>
      </c>
      <c r="D21" s="10" t="inlineStr">
        <is>
          <t>binary</t>
        </is>
      </c>
      <c r="E21" s="11">
        <f>MAX('Original Options'!J59:J60)</f>
        <v>3</v>
      </c>
      <c r="F21" s="6" t="inlineStr">
        <is>
          <t>Rewrite / branch</t>
        </is>
      </c>
      <c r="G21" s="6" t="inlineStr">
        <is>
          <t>A single yes/no CEIS check omits later issue requirements and cannot fairly score businesses without casuals.</t>
        </is>
      </c>
      <c r="H21" s="6" t="inlineStr">
        <is>
          <t>Use a casual branch with prescribed later issue intervals and responsibility for reminders.</t>
        </is>
      </c>
      <c r="I21" s="6" t="inlineStr">
        <is>
          <t>B03</t>
        </is>
      </c>
      <c r="J21" s="6" t="inlineStr">
        <is>
          <t>S04</t>
        </is>
      </c>
      <c r="K21" s="6" t="inlineStr">
        <is>
          <t>https://www.fairwork.gov.au/employment-conditions/information-statements/casual-employment-information-statement</t>
        </is>
      </c>
    </row>
    <row r="22" ht="84" customHeight="1">
      <c r="A22" s="8" t="inlineStr">
        <is>
          <t>Q17</t>
        </is>
      </c>
      <c r="B22" s="8" t="inlineStr">
        <is>
          <t>Pay &amp; Entitlements</t>
        </is>
      </c>
      <c r="C22" s="8" t="inlineStr">
        <is>
          <t>Do you know the difference between an employee and a contractor, and understand the implications of 'sham contracting'?</t>
        </is>
      </c>
      <c r="D22" s="8" t="inlineStr">
        <is>
          <t>binary</t>
        </is>
      </c>
      <c r="E22" s="9">
        <f>MAX('Original Options'!J61:J62)</f>
        <v>5</v>
      </c>
      <c r="F22" s="5" t="inlineStr">
        <is>
          <t>Rewrite / branch</t>
        </is>
      </c>
      <c r="G22" s="5" t="inlineStr">
        <is>
          <t>Awareness alone does not establish correct contractor treatment. A no-contractor response must not earn compliance points.</t>
        </is>
      </c>
      <c r="H22" s="5" t="inlineStr">
        <is>
          <t>Examine the relevant employment-status test and a separate superannuation assessment.</t>
        </is>
      </c>
      <c r="I22" s="5" t="inlineStr">
        <is>
          <t>B05</t>
        </is>
      </c>
      <c r="J22" s="5" t="inlineStr">
        <is>
          <t>S23;S24</t>
        </is>
      </c>
      <c r="K22" s="5" t="inlineStr">
        <is>
          <t>https://www.fairwork.gov.au/find-help-for/independent-contractors/whole-of-relationship-test
https://www.ato.gov.au/businesses-and-organisations/super-for-employers/work-out-if-you-have-to-pay-super/super-for-independent-contractors</t>
        </is>
      </c>
    </row>
    <row r="23" ht="42" customHeight="1">
      <c r="A23" s="10" t="inlineStr">
        <is>
          <t>Q18</t>
        </is>
      </c>
      <c r="B23" s="10" t="inlineStr">
        <is>
          <t>New Hires &amp; Onboarding</t>
        </is>
      </c>
      <c r="C23" s="10" t="inlineStr">
        <is>
          <t>Do you undertake work rights / visa entitlement verification for any staff without Australian citizenship?</t>
        </is>
      </c>
      <c r="D23" s="10" t="inlineStr">
        <is>
          <t>binary</t>
        </is>
      </c>
      <c r="E23" s="11">
        <f>MAX('Original Options'!J63:J64)</f>
        <v>3</v>
      </c>
      <c r="F23" s="6" t="inlineStr">
        <is>
          <t>Develop</t>
        </is>
      </c>
      <c r="G23" s="6" t="inlineStr">
        <is>
          <t>The question risks relying on citizenship assumptions and does not test condition or expiry monitoring.</t>
        </is>
      </c>
      <c r="H23" s="6" t="inlineStr">
        <is>
          <t>Use consistent evidence for work rights and consent-based visa checks where relevant.</t>
        </is>
      </c>
      <c r="I23" s="6" t="inlineStr">
        <is>
          <t>ONB01</t>
        </is>
      </c>
      <c r="J23" s="6" t="inlineStr">
        <is>
          <t>S32</t>
        </is>
      </c>
      <c r="K23" s="6" t="inlineStr">
        <is>
          <t>https://immi.homeaffairs.gov.au/visa-conditions-subsite/Pages/Check-conditions-online-vevo.aspx</t>
        </is>
      </c>
    </row>
    <row r="24" ht="70" customHeight="1">
      <c r="A24" s="8" t="inlineStr">
        <is>
          <t>Q19</t>
        </is>
      </c>
      <c r="B24" s="8" t="inlineStr">
        <is>
          <t>Pay &amp; Entitlements</t>
        </is>
      </c>
      <c r="C24" s="8" t="inlineStr">
        <is>
          <t>If any of your employees are paid a flat rate or annual salary, are the arrangements you pay them better than what the employee/s would be entitled to if you paid as per the Award hourly rate and other applicable entitlements?</t>
        </is>
      </c>
      <c r="D24" s="8" t="inlineStr">
        <is>
          <t>scale</t>
        </is>
      </c>
      <c r="E24" s="9">
        <f>MAX('Original Options'!J65:J65)</f>
        <v>10</v>
      </c>
      <c r="F24" s="5" t="inlineStr">
        <is>
          <t>Rebuild / branch</t>
        </is>
      </c>
      <c r="G24" s="5" t="inlineStr">
        <is>
          <t>A broad annual better-off comparison can conceal issues with the legal basis, actual work or payment period.</t>
        </is>
      </c>
      <c r="H24" s="5" t="inlineStr">
        <is>
          <t>Distinguish the arrangement used and its record, payment-check and reconciliation requirements.</t>
        </is>
      </c>
      <c r="I24" s="5" t="inlineStr">
        <is>
          <t>B01</t>
        </is>
      </c>
      <c r="J24" s="5" t="inlineStr">
        <is>
          <t>S06;S07</t>
        </is>
      </c>
      <c r="K24" s="5" t="inlineStr">
        <is>
          <t>https://www.fairwork.gov.au/pay-and-wages/minimum-wages/annualised-salaries
https://www.fairwork.gov.au/newsroom/news/offsetting-and-record-keeping-salaried-employees</t>
        </is>
      </c>
    </row>
    <row r="25" ht="70" customHeight="1">
      <c r="A25" s="10" t="inlineStr">
        <is>
          <t>Q20</t>
        </is>
      </c>
      <c r="B25" s="10" t="inlineStr">
        <is>
          <t>Pay &amp; Entitlements</t>
        </is>
      </c>
      <c r="C25" s="10" t="inlineStr">
        <is>
          <t>With your annual salaried/flat rate employees do you have an annualised salary agreement in place which shows your employees how their annual salary (or flat rate) is calculated?</t>
        </is>
      </c>
      <c r="D25" s="10" t="inlineStr">
        <is>
          <t>option</t>
        </is>
      </c>
      <c r="E25" s="11">
        <f>MAX('Original Options'!J66:J68)</f>
        <v>10</v>
      </c>
      <c r="F25" s="6" t="inlineStr">
        <is>
          <t>Merge / branch</t>
        </is>
      </c>
      <c r="G25" s="6" t="inlineStr">
        <is>
          <t>An annual breakdown table is not proof that an offset or annualised arrangement is legally effective.</t>
        </is>
      </c>
      <c r="H25" s="6" t="inlineStr">
        <is>
          <t>Merge with the salary branch and require the checks appropriate to the actual arrangement.</t>
        </is>
      </c>
      <c r="I25" s="6" t="inlineStr">
        <is>
          <t>B01</t>
        </is>
      </c>
      <c r="J25" s="6" t="inlineStr">
        <is>
          <t>S06;S07</t>
        </is>
      </c>
      <c r="K25" s="6" t="inlineStr">
        <is>
          <t>https://www.fairwork.gov.au/pay-and-wages/minimum-wages/annualised-salaries
https://www.fairwork.gov.au/newsroom/news/offsetting-and-record-keeping-salaried-employees</t>
        </is>
      </c>
    </row>
    <row r="26" ht="70" customHeight="1">
      <c r="A26" s="8" t="inlineStr">
        <is>
          <t>Q21</t>
        </is>
      </c>
      <c r="B26" s="8" t="inlineStr">
        <is>
          <t>Pay &amp; Entitlements</t>
        </is>
      </c>
      <c r="C26" s="8" t="inlineStr">
        <is>
          <t>Do your staff complete timesheets?</t>
        </is>
      </c>
      <c r="D26" s="8" t="inlineStr">
        <is>
          <t>option</t>
        </is>
      </c>
      <c r="E26" s="9">
        <f>MAX('Original Options'!J69:J72)</f>
        <v>10</v>
      </c>
      <c r="F26" s="5" t="inlineStr">
        <is>
          <t>Develop / relocate</t>
        </is>
      </c>
      <c r="G26" s="5" t="inlineStr">
        <is>
          <t>A roster is not always a record of actual work. A universal timesheet answer also risks overstating requirements for all arrangements.</t>
        </is>
      </c>
      <c r="H26" s="5" t="inlineStr">
        <is>
          <t>Assess whether required pay and time records can reconstruct entitlements; test actual work in the salary branch.</t>
        </is>
      </c>
      <c r="I26" s="5" t="inlineStr">
        <is>
          <t>DAT01</t>
        </is>
      </c>
      <c r="J26" s="5" t="inlineStr">
        <is>
          <t>S14;S07</t>
        </is>
      </c>
      <c r="K26" s="5" t="inlineStr">
        <is>
          <t>https://www.fairwork.gov.au/tools-and-resources/fact-sheets/rights-and-obligations/record-keeping-pay-slips
https://www.fairwork.gov.au/newsroom/news/offsetting-and-record-keeping-salaried-employees</t>
        </is>
      </c>
    </row>
    <row r="27" ht="42" customHeight="1">
      <c r="A27" s="10" t="inlineStr">
        <is>
          <t>Q22</t>
        </is>
      </c>
      <c r="B27" s="10" t="inlineStr">
        <is>
          <t>Pay &amp; Entitlements</t>
        </is>
      </c>
      <c r="C27" s="10" t="inlineStr">
        <is>
          <t>Are you issuing a payslip to each staff member within one working day after their pay is processed?</t>
        </is>
      </c>
      <c r="D27" s="10" t="inlineStr">
        <is>
          <t>binary</t>
        </is>
      </c>
      <c r="E27" s="11">
        <f>MAX('Original Options'!J73:J74)</f>
        <v>5</v>
      </c>
      <c r="F27" s="6" t="inlineStr">
        <is>
          <t>Correct / merge</t>
        </is>
      </c>
      <c r="G27" s="6" t="inlineStr">
        <is>
          <t>The timing reference is processing rather than payday; this can create an inaccurate conclusion.</t>
        </is>
      </c>
      <c r="H27" s="6" t="inlineStr">
        <is>
          <t>Ask about required payslip delivery and accurate content relative to payday.</t>
        </is>
      </c>
      <c r="I27" s="6" t="inlineStr">
        <is>
          <t>PAY05</t>
        </is>
      </c>
      <c r="J27" s="6" t="inlineStr">
        <is>
          <t>S14</t>
        </is>
      </c>
      <c r="K27" s="6" t="inlineStr">
        <is>
          <t>https://www.fairwork.gov.au/tools-and-resources/fact-sheets/rights-and-obligations/record-keeping-pay-slips</t>
        </is>
      </c>
    </row>
    <row r="28" ht="42" customHeight="1">
      <c r="A28" s="8" t="inlineStr">
        <is>
          <t>Q23</t>
        </is>
      </c>
      <c r="B28" s="8" t="inlineStr">
        <is>
          <t>Pay &amp; Entitlements</t>
        </is>
      </c>
      <c r="C28" s="8" t="inlineStr">
        <is>
          <t>Do your payslips separate base pay, allowances, overtime and penalty rates?</t>
        </is>
      </c>
      <c r="D28" s="8" t="inlineStr">
        <is>
          <t>binary</t>
        </is>
      </c>
      <c r="E28" s="9">
        <f>MAX('Original Options'!J75:J76)</f>
        <v>5</v>
      </c>
      <c r="F28" s="5" t="inlineStr">
        <is>
          <t>Develop / merge</t>
        </is>
      </c>
      <c r="G28" s="5" t="inlineStr">
        <is>
          <t>Required payslip fields depend on the payment arrangement. A blanket tick does not test accuracy.</t>
        </is>
      </c>
      <c r="H28" s="5" t="inlineStr">
        <is>
          <t>Review a sample against the correct requirements and link back to payroll records.</t>
        </is>
      </c>
      <c r="I28" s="5" t="inlineStr">
        <is>
          <t>PAY05</t>
        </is>
      </c>
      <c r="J28" s="5" t="inlineStr">
        <is>
          <t>S14</t>
        </is>
      </c>
      <c r="K28" s="5" t="inlineStr">
        <is>
          <t>https://www.fairwork.gov.au/tools-and-resources/fact-sheets/rights-and-obligations/record-keeping-pay-slips</t>
        </is>
      </c>
    </row>
    <row r="29" ht="98" customHeight="1">
      <c r="A29" s="10" t="inlineStr">
        <is>
          <t>Q24</t>
        </is>
      </c>
      <c r="B29" s="10" t="inlineStr">
        <is>
          <t>Pay &amp; Entitlements</t>
        </is>
      </c>
      <c r="C29" s="10" t="inlineStr">
        <is>
          <t>Are you confident that your pay arrangements (weekly, fortnightly, monthly) and day of pay (Mon-Fri) comply with the Award?</t>
        </is>
      </c>
      <c r="D29" s="10" t="inlineStr">
        <is>
          <t>binary</t>
        </is>
      </c>
      <c r="E29" s="11">
        <f>MAX('Original Options'!J77:J78)</f>
        <v>3</v>
      </c>
      <c r="F29" s="6" t="inlineStr">
        <is>
          <t>Merge</t>
        </is>
      </c>
      <c r="G29" s="6" t="inlineStr">
        <is>
          <t>A yes/no frequency question is too narrow to establish correct pay.</t>
        </is>
      </c>
      <c r="H29" s="6" t="inlineStr">
        <is>
          <t>Include correct payment periods in the core actual-work pay check and arrangement-specific branches.</t>
        </is>
      </c>
      <c r="I29" s="6" t="inlineStr">
        <is>
          <t>PAY02</t>
        </is>
      </c>
      <c r="J29" s="6" t="inlineStr">
        <is>
          <t>S06;S07;S14</t>
        </is>
      </c>
      <c r="K29" s="6" t="inlineStr">
        <is>
          <t>https://www.fairwork.gov.au/pay-and-wages/minimum-wages/annualised-salaries
https://www.fairwork.gov.au/newsroom/news/offsetting-and-record-keeping-salaried-employees
https://www.fairwork.gov.au/tools-and-resources/fact-sheets/rights-and-obligations/record-keeping-pay-slips</t>
        </is>
      </c>
    </row>
    <row r="30" ht="70" customHeight="1">
      <c r="A30" s="8" t="inlineStr">
        <is>
          <t>Q25</t>
        </is>
      </c>
      <c r="B30" s="8" t="inlineStr">
        <is>
          <t>Pay &amp; Entitlements</t>
        </is>
      </c>
      <c r="C30" s="8" t="inlineStr">
        <is>
          <t>If you make a deduction from an employees pay, do you obtain their approval in writing prior to the deduction? (Eg. in the case of an overpayment or employee repaying an amount the employer paid on their behalf)</t>
        </is>
      </c>
      <c r="D30" s="8" t="inlineStr">
        <is>
          <t>option</t>
        </is>
      </c>
      <c r="E30" s="9">
        <f>MAX('Original Options'!J79:J83)</f>
        <v>5</v>
      </c>
      <c r="F30" s="5" t="inlineStr">
        <is>
          <t>Rebuild / branch</t>
        </is>
      </c>
      <c r="G30" s="5" t="inlineStr">
        <is>
          <t>The highest-scoring option treats written employee approval as universally sufficient for deductions.</t>
        </is>
      </c>
      <c r="H30" s="5" t="inlineStr">
        <is>
          <t>Assess the lawful basis, purpose, reasonableness and any additional restrictions; apply only where non-statutory deductions occur.</t>
        </is>
      </c>
      <c r="I30" s="5" t="inlineStr">
        <is>
          <t>B08</t>
        </is>
      </c>
      <c r="J30" s="5" t="inlineStr">
        <is>
          <t>S08</t>
        </is>
      </c>
      <c r="K30" s="5" t="inlineStr">
        <is>
          <t>https://www.fairwork.gov.au/pay-and-wages/deductions-and-related-issues/deducting-pay</t>
        </is>
      </c>
    </row>
    <row r="31" ht="98" customHeight="1">
      <c r="A31" s="10" t="inlineStr">
        <is>
          <t>Q26</t>
        </is>
      </c>
      <c r="B31" s="10" t="inlineStr">
        <is>
          <t>Pay &amp; Entitlements</t>
        </is>
      </c>
      <c r="C31" s="10" t="inlineStr">
        <is>
          <t>Do you have part time employees whose hours change from week to week? Are you aware of and complying with overtime payments for these employees?</t>
        </is>
      </c>
      <c r="D31" s="10" t="inlineStr">
        <is>
          <t>scale</t>
        </is>
      </c>
      <c r="E31" s="11">
        <f>MAX('Original Options'!J84:J84)</f>
        <v>10</v>
      </c>
      <c r="F31" s="6" t="inlineStr">
        <is>
          <t>Rebuild / branch</t>
        </is>
      </c>
      <c r="G31" s="6" t="inlineStr">
        <is>
          <t>A variation letter does not by itself resolve part-time guaranteed hours, consent or overtime requirements.</t>
        </is>
      </c>
      <c r="H31" s="6" t="inlineStr">
        <is>
          <t>Test changes against the applicable instrument and the resulting payment.</t>
        </is>
      </c>
      <c r="I31" s="6" t="inlineStr">
        <is>
          <t>B06</t>
        </is>
      </c>
      <c r="J31" s="6" t="inlineStr">
        <is>
          <t>S06;S25;S14</t>
        </is>
      </c>
      <c r="K31" s="6" t="inlineStr">
        <is>
          <t>https://www.fairwork.gov.au/pay-and-wages/minimum-wages/annualised-salaries
https://www.fairwork.gov.au/tools-and-resources/best-practice-guides/consultation-and-cooperation-in-the-workplace
https://www.fairwork.gov.au/tools-and-resources/fact-sheets/rights-and-obligations/record-keeping-pay-slips</t>
        </is>
      </c>
    </row>
    <row r="32" ht="154" customHeight="1">
      <c r="A32" s="8" t="inlineStr">
        <is>
          <t>Q27</t>
        </is>
      </c>
      <c r="B32" s="8" t="inlineStr">
        <is>
          <t>Record Keeping</t>
        </is>
      </c>
      <c r="C32" s="8" t="inlineStr">
        <is>
          <t>How confident are you that your employee records are complete, including evidence of all pay deductions, variations, leave applications, licenses and legislative requirements?</t>
        </is>
      </c>
      <c r="D32" s="8" t="inlineStr">
        <is>
          <t>scale</t>
        </is>
      </c>
      <c r="E32" s="9">
        <f>MAX('Original Options'!J85:J85)</f>
        <v>10</v>
      </c>
      <c r="F32" s="5" t="inlineStr">
        <is>
          <t>Split</t>
        </is>
      </c>
      <c r="G32" s="5" t="inlineStr">
        <is>
          <t>A blanket comprehensive seven-year record claim conflates statutory retention with all HR information and ignores access/security.</t>
        </is>
      </c>
      <c r="H32" s="5" t="inlineStr">
        <is>
          <t>Separate reconstructable pay records, proportionate data protection, and recovery/retrieval.</t>
        </is>
      </c>
      <c r="I32" s="5" t="inlineStr">
        <is>
          <t>DAT01;DAT02;DAT03</t>
        </is>
      </c>
      <c r="J32" s="5" t="inlineStr">
        <is>
          <t>S14;S07;S15;S16;S17</t>
        </is>
      </c>
      <c r="K32" s="5" t="inlineStr">
        <is>
          <t>https://www.fairwork.gov.au/tools-and-resources/fact-sheets/rights-and-obligations/record-keeping-pay-slips
https://www.fairwork.gov.au/newsroom/news/offsetting-and-record-keeping-salaried-employees
https://www.oaic.gov.au/privacy/privacy-guidance-for-organisations-and-government-agencies/organisations/employee-records-exemption
https://www.oaic.gov.au/privacy/privacy-guidance-for-organisations-and-government-agencies/organisations/small-business
https://www.oaic.gov.au/news/media-centre/new-resources-on-transparency-for-use-of-ai-and-automated-decision-making</t>
        </is>
      </c>
    </row>
    <row r="33" ht="154" customHeight="1">
      <c r="A33" s="10" t="inlineStr">
        <is>
          <t>Q28</t>
        </is>
      </c>
      <c r="B33" s="10" t="inlineStr">
        <is>
          <t>Pay &amp; Entitlements</t>
        </is>
      </c>
      <c r="C33" s="10" t="inlineStr">
        <is>
          <t>How well do you believe you understand your obligations around excessive leave accruals, encouraging taking of leave, and leave payouts for excessive leave (not including at termination)?</t>
        </is>
      </c>
      <c r="D33" s="10" t="inlineStr">
        <is>
          <t>scale</t>
        </is>
      </c>
      <c r="E33" s="11">
        <f>MAX('Original Options'!J86:J86)</f>
        <v>10</v>
      </c>
      <c r="F33" s="6" t="inlineStr">
        <is>
          <t>Split / branch</t>
        </is>
      </c>
      <c r="G33" s="6" t="inlineStr">
        <is>
          <t>Excess leave management and cashing out are different processes with different rules.</t>
        </is>
      </c>
      <c r="H33" s="6" t="inlineStr">
        <is>
          <t>Keep leave accuracy in the core, and route cash-outs and shutdowns when relevant.</t>
        </is>
      </c>
      <c r="I33" s="6" t="inlineStr">
        <is>
          <t>PAY03;B10</t>
        </is>
      </c>
      <c r="J33" s="6" t="inlineStr">
        <is>
          <t>S14;S21;S28;S31;S39</t>
        </is>
      </c>
      <c r="K33" s="6"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row>
    <row r="34" ht="210" customHeight="1">
      <c r="A34" s="8" t="inlineStr">
        <is>
          <t>Q29</t>
        </is>
      </c>
      <c r="B34" s="8" t="inlineStr">
        <is>
          <t>Pay &amp; Entitlements</t>
        </is>
      </c>
      <c r="C34" s="8" t="inlineStr">
        <is>
          <t>Are you paying leave loading as appropriate under the Award? If you have included this loading into a salary or hourly amount, is that clear in the contract?</t>
        </is>
      </c>
      <c r="D34" s="8" t="inlineStr">
        <is>
          <t>binary</t>
        </is>
      </c>
      <c r="E34" s="9">
        <f>MAX('Original Options'!J87:J88)</f>
        <v>4</v>
      </c>
      <c r="F34" s="5" t="inlineStr">
        <is>
          <t>Merge / branch</t>
        </is>
      </c>
      <c r="G34" s="5" t="inlineStr">
        <is>
          <t>A contractual reference to leave loading is not proof that it is lawfully included or correctly paid.</t>
        </is>
      </c>
      <c r="H34" s="5" t="inlineStr">
        <is>
          <t>Assess leave payment accuracy and the applicable allowance/loading trigger.</t>
        </is>
      </c>
      <c r="I34" s="5" t="inlineStr">
        <is>
          <t>PAY03;B07</t>
        </is>
      </c>
      <c r="J34" s="5" t="inlineStr">
        <is>
          <t>S14;S21;S28;S31;S39;S06;S07</t>
        </is>
      </c>
      <c r="K34" s="5"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
https://www.fairwork.gov.au/pay-and-wages/minimum-wages/annualised-salaries
https://www.fairwork.gov.au/newsroom/news/offsetting-and-record-keeping-salaried-employees</t>
        </is>
      </c>
    </row>
    <row r="35" ht="70" customHeight="1">
      <c r="A35" s="10" t="inlineStr">
        <is>
          <t>Q30</t>
        </is>
      </c>
      <c r="B35" s="10" t="inlineStr">
        <is>
          <t>Pay &amp; Entitlements</t>
        </is>
      </c>
      <c r="C35" s="10" t="inlineStr">
        <is>
          <t>When new employees start with your business, what information and training is provided? Please choose all that apply.</t>
        </is>
      </c>
      <c r="D35" s="10" t="inlineStr">
        <is>
          <t>option</t>
        </is>
      </c>
      <c r="E35" s="11">
        <f>SUM('Original Options'!J89:J97)</f>
        <v>18</v>
      </c>
      <c r="F35" s="6" t="inlineStr">
        <is>
          <t>Replace</t>
        </is>
      </c>
      <c r="G35" s="6" t="inlineStr">
        <is>
          <t>Checklist length is not evidence that a starter can work safely, understands expectations or receives follow-up.</t>
        </is>
      </c>
      <c r="H35" s="6" t="inlineStr">
        <is>
          <t>Assess a role-appropriate supported start and check understanding.</t>
        </is>
      </c>
      <c r="I35" s="6" t="inlineStr">
        <is>
          <t>ONB03</t>
        </is>
      </c>
      <c r="J35" s="6" t="inlineStr">
        <is>
          <t>S13;S27</t>
        </is>
      </c>
      <c r="K35" s="6" t="inlineStr">
        <is>
          <t>https://www.safeworkaustralia.gov.au/safety-topic/managing-health-and-safety/identify-assess-and-control-hazards/managing-risks
https://www.fairwork.gov.au/sites/default/files/migration/711/managing-underperformance-best-practice-guide.pdf</t>
        </is>
      </c>
    </row>
    <row r="36" ht="70" customHeight="1">
      <c r="A36" s="8" t="inlineStr">
        <is>
          <t>Q31</t>
        </is>
      </c>
      <c r="B36" s="8" t="inlineStr">
        <is>
          <t>Employment Contracts</t>
        </is>
      </c>
      <c r="C36" s="8" t="inlineStr">
        <is>
          <t>Are variation letters issued when changes are made to employment agreements? ie - higher duties, change of hours, reporting lines.</t>
        </is>
      </c>
      <c r="D36" s="8" t="inlineStr">
        <is>
          <t>binary</t>
        </is>
      </c>
      <c r="E36" s="9">
        <f>MAX('Original Options'!J98:J99)</f>
        <v>5</v>
      </c>
      <c r="F36" s="5" t="inlineStr">
        <is>
          <t>Develop</t>
        </is>
      </c>
      <c r="G36" s="5" t="inlineStr">
        <is>
          <t>Not every operational change is a contractual variation, and a letter alone may not establish agreement.</t>
        </is>
      </c>
      <c r="H36" s="5" t="inlineStr">
        <is>
          <t>Assess authorisation, communication and documentation appropriate to the particular change.</t>
        </is>
      </c>
      <c r="I36" s="5" t="inlineStr">
        <is>
          <t>CON03</t>
        </is>
      </c>
      <c r="J36" s="5" t="inlineStr">
        <is>
          <t>S25;S14</t>
        </is>
      </c>
      <c r="K36" s="5" t="inlineStr">
        <is>
          <t>https://www.fairwork.gov.au/tools-and-resources/best-practice-guides/consultation-and-cooperation-in-the-workplace
https://www.fairwork.gov.au/tools-and-resources/fact-sheets/rights-and-obligations/record-keeping-pay-slips</t>
        </is>
      </c>
    </row>
    <row r="37" ht="112" customHeight="1">
      <c r="A37" s="10" t="inlineStr">
        <is>
          <t>Q32</t>
        </is>
      </c>
      <c r="B37" s="10" t="inlineStr">
        <is>
          <t>Policies &amp; Procedures</t>
        </is>
      </c>
      <c r="C37" s="10" t="inlineStr">
        <is>
          <t>Policies and procedures help to ensure staff and managers know what is expected of them, how to conduct themselves in certain situations, and what happens when rules are not followed. Meaningful policies are relevant and accessible. How comprehensive do you believe your employment relations policies are within your business?</t>
        </is>
      </c>
      <c r="D37" s="10" t="inlineStr">
        <is>
          <t>scale</t>
        </is>
      </c>
      <c r="E37" s="11">
        <f>MAX('Original Options'!J100:J100)</f>
        <v>10</v>
      </c>
      <c r="F37" s="6" t="inlineStr">
        <is>
          <t>Replace</t>
        </is>
      </c>
      <c r="G37" s="6" t="inlineStr">
        <is>
          <t>A comprehensive handbook is treated as the ideal regardless of size, risk or usability.</t>
        </is>
      </c>
      <c r="H37" s="6" t="inlineStr">
        <is>
          <t>Assess proportionate, current and accessible policies with clear ownership.</t>
        </is>
      </c>
      <c r="I37" s="6" t="inlineStr">
        <is>
          <t>POL01</t>
        </is>
      </c>
      <c r="J37" s="6" t="inlineStr">
        <is>
          <t>S10;S13;S15</t>
        </is>
      </c>
      <c r="K37" s="6" t="inlineStr">
        <is>
          <t>https://humanrights.gov.au/resource-hub/resources-for-organisations-businesses/positive-duty-pdfs/guidelines-for-complying-with-the-positive-duty-under-the-sex-discrimination-act-1984-cth
https://www.safeworkaustralia.gov.au/safety-topic/managing-health-and-safety/identify-assess-and-control-hazards/managing-risks
https://www.oaic.gov.au/privacy/privacy-guidance-for-organisations-and-government-agencies/organisations/employee-records-exemption</t>
        </is>
      </c>
    </row>
    <row r="38" ht="84" customHeight="1">
      <c r="A38" s="8" t="inlineStr">
        <is>
          <t>Q33</t>
        </is>
      </c>
      <c r="B38" s="8" t="inlineStr">
        <is>
          <t>Record Keeping</t>
        </is>
      </c>
      <c r="C38" s="8" t="inlineStr">
        <is>
          <t>Do staff acknowledge their acceptance of policies in writing, and any changes to them?</t>
        </is>
      </c>
      <c r="D38" s="8" t="inlineStr">
        <is>
          <t>binary</t>
        </is>
      </c>
      <c r="E38" s="9">
        <f>MAX('Original Options'!J101:J102)</f>
        <v>3</v>
      </c>
      <c r="F38" s="5" t="inlineStr">
        <is>
          <t>Develop / relocate</t>
        </is>
      </c>
      <c r="G38" s="5" t="inlineStr">
        <is>
          <t>Acknowledgement is evidence of receipt, not necessarily understanding or application.</t>
        </is>
      </c>
      <c r="H38" s="5" t="inlineStr">
        <is>
          <t>Place in policy implementation and test a real example.</t>
        </is>
      </c>
      <c r="I38" s="5" t="inlineStr">
        <is>
          <t>POL02</t>
        </is>
      </c>
      <c r="J38" s="5" t="inlineStr">
        <is>
          <t>S10;S27</t>
        </is>
      </c>
      <c r="K38" s="5" t="inlineStr">
        <is>
          <t>https://humanrights.gov.au/resource-hub/resources-for-organisations-businesses/positive-duty-pdfs/guidelines-for-complying-with-the-positive-duty-under-the-sex-discrimination-act-1984-cth
https://www.fairwork.gov.au/sites/default/files/migration/711/managing-underperformance-best-practice-guide.pdf</t>
        </is>
      </c>
    </row>
    <row r="39" ht="84" customHeight="1">
      <c r="A39" s="10" t="inlineStr">
        <is>
          <t>Q34</t>
        </is>
      </c>
      <c r="B39" s="10" t="inlineStr">
        <is>
          <t>Policies &amp; Procedures</t>
        </is>
      </c>
      <c r="C39" s="10" t="inlineStr">
        <is>
          <t>Are policies consistently followed by staff, and enforced by management?</t>
        </is>
      </c>
      <c r="D39" s="10" t="inlineStr">
        <is>
          <t>scale</t>
        </is>
      </c>
      <c r="E39" s="11">
        <f>MAX('Original Options'!J103:J103)</f>
        <v>10</v>
      </c>
      <c r="F39" s="6" t="inlineStr">
        <is>
          <t>Replace</t>
        </is>
      </c>
      <c r="G39" s="6" t="inlineStr">
        <is>
          <t>An absolute confidence slider about policies being followed cannot establish consistent implementation.</t>
        </is>
      </c>
      <c r="H39" s="6" t="inlineStr">
        <is>
          <t>Use explanation, sampling and handling of exceptions, including senior employees.</t>
        </is>
      </c>
      <c r="I39" s="6" t="inlineStr">
        <is>
          <t>POL02</t>
        </is>
      </c>
      <c r="J39" s="6" t="inlineStr">
        <is>
          <t>S10;S27</t>
        </is>
      </c>
      <c r="K39" s="6" t="inlineStr">
        <is>
          <t>https://humanrights.gov.au/resource-hub/resources-for-organisations-businesses/positive-duty-pdfs/guidelines-for-complying-with-the-positive-duty-under-the-sex-discrimination-act-1984-cth
https://www.fairwork.gov.au/sites/default/files/migration/711/managing-underperformance-best-practice-guide.pdf</t>
        </is>
      </c>
    </row>
    <row r="40" ht="70" customHeight="1">
      <c r="A40" s="8" t="inlineStr">
        <is>
          <t>Q35</t>
        </is>
      </c>
      <c r="B40" s="8" t="inlineStr">
        <is>
          <t>Reviewing &amp; Managing Performance</t>
        </is>
      </c>
      <c r="C40" s="8" t="inlineStr">
        <is>
          <t>How well do you feel you know the requirements around probation and qualifying periods, including terminations and extensions?</t>
        </is>
      </c>
      <c r="D40" s="8" t="inlineStr">
        <is>
          <t>scale</t>
        </is>
      </c>
      <c r="E40" s="9">
        <f>MAX('Original Options'!J104:J104)</f>
        <v>10</v>
      </c>
      <c r="F40" s="5" t="inlineStr">
        <is>
          <t>Replace</t>
        </is>
      </c>
      <c r="G40" s="5" t="inlineStr">
        <is>
          <t>A probation/qualifying-period knowledge slider does not establish sound early decisions.</t>
        </is>
      </c>
      <c r="H40" s="5" t="inlineStr">
        <is>
          <t>Ask how early progress, support and decision dates are reviewed; clarify that statutory protections require separate checks.</t>
        </is>
      </c>
      <c r="I40" s="5" t="inlineStr">
        <is>
          <t>PER02</t>
        </is>
      </c>
      <c r="J40" s="5" t="inlineStr">
        <is>
          <t>S26;S27</t>
        </is>
      </c>
      <c r="K40" s="5" t="inlineStr">
        <is>
          <t>https://www.fairwork.gov.au/tools-and-resources/fact-sheets/minimum-workplace-entitlements/ending-employment
https://www.fairwork.gov.au/sites/default/files/migration/711/managing-underperformance-best-practice-guide.pdf</t>
        </is>
      </c>
    </row>
    <row r="41" ht="42" customHeight="1">
      <c r="A41" s="10" t="inlineStr">
        <is>
          <t>Q36</t>
        </is>
      </c>
      <c r="B41" s="10" t="inlineStr">
        <is>
          <t>Reviewing &amp; Managing Performance</t>
        </is>
      </c>
      <c r="C41" s="10" t="inlineStr">
        <is>
          <t>Are formal performance reviews undertaken and documented?</t>
        </is>
      </c>
      <c r="D41" s="10" t="inlineStr">
        <is>
          <t>binary</t>
        </is>
      </c>
      <c r="E41" s="11">
        <f>MAX('Original Options'!J105:J106)</f>
        <v>3</v>
      </c>
      <c r="F41" s="6" t="inlineStr">
        <is>
          <t>Replace</t>
        </is>
      </c>
      <c r="G41" s="6" t="inlineStr">
        <is>
          <t>A formal documented appraisal can coexist with poor feedback; regular useful check-ins can work without a large annual process.</t>
        </is>
      </c>
      <c r="H41" s="6" t="inlineStr">
        <is>
          <t>Assess clear expectations, useful feedback and follow-through.</t>
        </is>
      </c>
      <c r="I41" s="6" t="inlineStr">
        <is>
          <t>PER01</t>
        </is>
      </c>
      <c r="J41" s="6" t="inlineStr">
        <is>
          <t>S27</t>
        </is>
      </c>
      <c r="K41" s="6" t="inlineStr">
        <is>
          <t>https://www.fairwork.gov.au/sites/default/files/migration/711/managing-underperformance-best-practice-guide.pdf</t>
        </is>
      </c>
    </row>
    <row r="42" ht="182" customHeight="1">
      <c r="A42" s="8" t="inlineStr">
        <is>
          <t>Q37</t>
        </is>
      </c>
      <c r="B42" s="8" t="inlineStr">
        <is>
          <t>Record Keeping</t>
        </is>
      </c>
      <c r="C42" s="8" t="inlineStr">
        <is>
          <t>Do you maintain a record of leave entitlements, and make them accessible to employees?</t>
        </is>
      </c>
      <c r="D42" s="8" t="inlineStr">
        <is>
          <t>binary</t>
        </is>
      </c>
      <c r="E42" s="9">
        <f>MAX('Original Options'!J107:J108)</f>
        <v>3</v>
      </c>
      <c r="F42" s="5" t="inlineStr">
        <is>
          <t>Merge</t>
        </is>
      </c>
      <c r="G42" s="5" t="inlineStr">
        <is>
          <t>A leave-balance record alone does not establish correct accrual or pay.</t>
        </is>
      </c>
      <c r="H42" s="5" t="inlineStr">
        <is>
          <t>Use leave accuracy and reconstructable records together without awarding duplicate ticks for the same document.</t>
        </is>
      </c>
      <c r="I42" s="5" t="inlineStr">
        <is>
          <t>PAY03;DAT01</t>
        </is>
      </c>
      <c r="J42" s="5" t="inlineStr">
        <is>
          <t>S14;S21;S28;S31;S39;S07</t>
        </is>
      </c>
      <c r="K42" s="5"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
https://www.fairwork.gov.au/newsroom/news/offsetting-and-record-keeping-salaried-employees</t>
        </is>
      </c>
    </row>
    <row r="43" ht="84" customHeight="1">
      <c r="A43" s="10" t="inlineStr">
        <is>
          <t>Q38</t>
        </is>
      </c>
      <c r="B43" s="10" t="inlineStr">
        <is>
          <t>Employee Exits</t>
        </is>
      </c>
      <c r="C43" s="10" t="inlineStr">
        <is>
          <t>Do you believe you have a good understanding of what constitutes a genuine redundancy?</t>
        </is>
      </c>
      <c r="D43" s="10" t="inlineStr">
        <is>
          <t>binary</t>
        </is>
      </c>
      <c r="E43" s="11">
        <f>MAX('Original Options'!J109:J110)</f>
        <v>3</v>
      </c>
      <c r="F43" s="6" t="inlineStr">
        <is>
          <t>Rebuild / branch</t>
        </is>
      </c>
      <c r="G43" s="6" t="inlineStr">
        <is>
          <t>Knowledge of genuine redundancy does not establish a safe proposed restructure.</t>
        </is>
      </c>
      <c r="H43" s="6" t="inlineStr">
        <is>
          <t>Core pre-decision review plus a branch for planned redundancies and affected roles.</t>
        </is>
      </c>
      <c r="I43" s="6" t="inlineStr">
        <is>
          <t>EXT01;B17</t>
        </is>
      </c>
      <c r="J43" s="6" t="inlineStr">
        <is>
          <t>S02;S26;S25</t>
        </is>
      </c>
      <c r="K43" s="6" t="inlineStr">
        <is>
          <t>https://www.fairwork.gov.au/taxonomy/term/527
https://www.fairwork.gov.au/tools-and-resources/fact-sheets/minimum-workplace-entitlements/ending-employment
https://www.fairwork.gov.au/tools-and-resources/best-practice-guides/consultation-and-cooperation-in-the-workplace</t>
        </is>
      </c>
    </row>
    <row r="44" ht="84" customHeight="1">
      <c r="A44" s="8" t="inlineStr">
        <is>
          <t>Q39</t>
        </is>
      </c>
      <c r="B44" s="8" t="inlineStr">
        <is>
          <t>Pay &amp; Entitlements</t>
        </is>
      </c>
      <c r="C44" s="8" t="inlineStr">
        <is>
          <t>How prepared do you feel your business is to undertake workplace consultation for major changes?</t>
        </is>
      </c>
      <c r="D44" s="8" t="inlineStr">
        <is>
          <t>scale</t>
        </is>
      </c>
      <c r="E44" s="9">
        <f>MAX('Original Options'!J111:J111)</f>
        <v>10</v>
      </c>
      <c r="F44" s="5" t="inlineStr">
        <is>
          <t>Correct / relocate</t>
        </is>
      </c>
      <c r="G44" s="5" t="inlineStr">
        <is>
          <t>The scale ends in full workplace negotiation, which is not the same as consultation. The current category is Pay &amp; Entitlements.</t>
        </is>
      </c>
      <c r="H44" s="5" t="inlineStr">
        <is>
          <t>Route material change and ask about information, views, genuine consideration and any separate consent requirement.</t>
        </is>
      </c>
      <c r="I44" s="5" t="inlineStr">
        <is>
          <t>B21</t>
        </is>
      </c>
      <c r="J44" s="5" t="inlineStr">
        <is>
          <t>S25;S11</t>
        </is>
      </c>
      <c r="K44" s="5" t="inlineStr">
        <is>
          <t>https://www.fairwork.gov.au/tools-and-resources/best-practice-guides/consultation-and-cooperation-in-the-workplace
https://www.safeworkaustralia.gov.au/safety-topic/managing-health-and-safety/mental-health/managing-risks/identifying-assessing-controlling-and-reviewing</t>
        </is>
      </c>
    </row>
    <row r="45" ht="84" customHeight="1">
      <c r="A45" s="10" t="inlineStr">
        <is>
          <t>Q40</t>
        </is>
      </c>
      <c r="B45" s="10" t="inlineStr">
        <is>
          <t>Pay &amp; Entitlements</t>
        </is>
      </c>
      <c r="C45" s="10" t="inlineStr">
        <is>
          <t>If you are a small business of under 15 employees, do you have a good understanding of how redundancies and the Small Business Dismissal Code apply to your business?</t>
        </is>
      </c>
      <c r="D45" s="10" t="inlineStr">
        <is>
          <t>option</t>
        </is>
      </c>
      <c r="E45" s="11">
        <f>MAX('Original Options'!J112:J114)</f>
        <v>7</v>
      </c>
      <c r="F45" s="6" t="inlineStr">
        <is>
          <t>Replace / route</t>
        </is>
      </c>
      <c r="G45" s="6" t="inlineStr">
        <is>
          <t>A larger business gets 2 points for non-applicability versus 7 for a knowledgeable small business. Exactly 15 employees is not described correctly.</t>
        </is>
      </c>
      <c r="H45" s="6" t="inlineStr">
        <is>
          <t>Apply a separate legal counting rule. Do not award or withhold maturity points because a threshold does not apply.</t>
        </is>
      </c>
      <c r="I45" s="6" t="inlineStr">
        <is>
          <t>EXT01;B17</t>
        </is>
      </c>
      <c r="J45" s="6" t="inlineStr">
        <is>
          <t>S02;S26;S25</t>
        </is>
      </c>
      <c r="K45" s="6" t="inlineStr">
        <is>
          <t>https://www.fairwork.gov.au/taxonomy/term/527
https://www.fairwork.gov.au/tools-and-resources/fact-sheets/minimum-workplace-entitlements/ending-employment
https://www.fairwork.gov.au/tools-and-resources/best-practice-guides/consultation-and-cooperation-in-the-workplace</t>
        </is>
      </c>
    </row>
    <row r="46" ht="42" customHeight="1">
      <c r="A46" s="8" t="inlineStr">
        <is>
          <t>Q41</t>
        </is>
      </c>
      <c r="B46" s="8" t="inlineStr">
        <is>
          <t>Workplace Health &amp; Safety</t>
        </is>
      </c>
      <c r="C46" s="8" t="inlineStr">
        <is>
          <t>Do you have Workers Compensation Insurance?</t>
        </is>
      </c>
      <c r="D46" s="8" t="inlineStr">
        <is>
          <t>binary</t>
        </is>
      </c>
      <c r="E46" s="9">
        <f>MAX('Original Options'!J115:J116)</f>
        <v>5</v>
      </c>
      <c r="F46" s="5" t="inlineStr">
        <is>
          <t>Develop</t>
        </is>
      </c>
      <c r="G46" s="5" t="inlineStr">
        <is>
          <t>Holding a policy is not evidence that the relevant people, work and declarations are covered.</t>
        </is>
      </c>
      <c r="H46" s="5" t="inlineStr">
        <is>
          <t>Check the actual coverage and obligations in the relevant jurisdiction, including contractors where required.</t>
        </is>
      </c>
      <c r="I46" s="5" t="inlineStr">
        <is>
          <t>WHS03</t>
        </is>
      </c>
      <c r="J46" s="5" t="inlineStr">
        <is>
          <t>S38</t>
        </is>
      </c>
      <c r="K46" s="5" t="inlineStr">
        <is>
          <t>https://www.safeworkaustralia.gov.au/workers-compensation</t>
        </is>
      </c>
    </row>
    <row r="47" ht="98" customHeight="1">
      <c r="A47" s="10" t="inlineStr">
        <is>
          <t>Q42</t>
        </is>
      </c>
      <c r="B47" s="10" t="inlineStr">
        <is>
          <t>Workplace Health &amp; Safety</t>
        </is>
      </c>
      <c r="C47" s="10" t="inlineStr">
        <is>
          <t>How well do you understand what to do in the event of a staff injury and worker's compensation claim?</t>
        </is>
      </c>
      <c r="D47" s="10" t="inlineStr">
        <is>
          <t>scale</t>
        </is>
      </c>
      <c r="E47" s="11">
        <f>MAX('Original Options'!J117:J117)</f>
        <v>10</v>
      </c>
      <c r="F47" s="6" t="inlineStr">
        <is>
          <t>Split / develop</t>
        </is>
      </c>
      <c r="G47" s="6" t="inlineStr">
        <is>
          <t>One confidence scale bundles claim response, adjustments and return to work.</t>
        </is>
      </c>
      <c r="H47" s="6" t="inlineStr">
        <is>
          <t>Use a tested incident handover process and a separate work-setting safety branch.</t>
        </is>
      </c>
      <c r="I47" s="6" t="inlineStr">
        <is>
          <t>WHS04;B15</t>
        </is>
      </c>
      <c r="J47" s="6" t="inlineStr">
        <is>
          <t>S13;S38;S11</t>
        </is>
      </c>
      <c r="K47" s="6" t="inlineStr">
        <is>
          <t>https://www.safeworkaustralia.gov.au/safety-topic/managing-health-and-safety/identify-assess-and-control-hazards/managing-risks
https://www.safeworkaustralia.gov.au/workers-compensation
https://www.safeworkaustralia.gov.au/safety-topic/managing-health-and-safety/mental-health/managing-risks/identifying-assessing-controlling-and-reviewing</t>
        </is>
      </c>
    </row>
    <row r="48" ht="42" customHeight="1">
      <c r="A48" s="8" t="inlineStr">
        <is>
          <t>Q43</t>
        </is>
      </c>
      <c r="B48" s="8" t="inlineStr">
        <is>
          <t>Workplace Health &amp; Safety</t>
        </is>
      </c>
      <c r="C48" s="8" t="inlineStr">
        <is>
          <t>Do you have policies and procedures in place around evacuation in the event of fire or other emergency?</t>
        </is>
      </c>
      <c r="D48" s="8" t="inlineStr">
        <is>
          <t>binary</t>
        </is>
      </c>
      <c r="E48" s="9">
        <f>MAX('Original Options'!J118:J119)</f>
        <v>3</v>
      </c>
      <c r="F48" s="5" t="inlineStr">
        <is>
          <t>Develop / merge</t>
        </is>
      </c>
      <c r="G48" s="5" t="inlineStr">
        <is>
          <t>A yes/no plan check does not establish a workable emergency response.</t>
        </is>
      </c>
      <c r="H48" s="5" t="inlineStr">
        <is>
          <t>Test foreseeable emergencies, contacts, first aid and arrangements for people present.</t>
        </is>
      </c>
      <c r="I48" s="5" t="inlineStr">
        <is>
          <t>WHS02</t>
        </is>
      </c>
      <c r="J48" s="5" t="inlineStr">
        <is>
          <t>S13</t>
        </is>
      </c>
      <c r="K48" s="5" t="inlineStr">
        <is>
          <t>https://www.safeworkaustralia.gov.au/safety-topic/managing-health-and-safety/identify-assess-and-control-hazards/managing-risks</t>
        </is>
      </c>
    </row>
    <row r="49" ht="42" customHeight="1">
      <c r="A49" s="10" t="inlineStr">
        <is>
          <t>Q44</t>
        </is>
      </c>
      <c r="B49" s="10" t="inlineStr">
        <is>
          <t>Workplace Health &amp; Safety</t>
        </is>
      </c>
      <c r="C49" s="10" t="inlineStr">
        <is>
          <t>Are there an adequate number of people training in First Aid / CPR for your business?</t>
        </is>
      </c>
      <c r="D49" s="10" t="inlineStr">
        <is>
          <t>binary</t>
        </is>
      </c>
      <c r="E49" s="11">
        <f>MAX('Original Options'!J120:J121)</f>
        <v>3</v>
      </c>
      <c r="F49" s="6" t="inlineStr">
        <is>
          <t>Develop / merge</t>
        </is>
      </c>
      <c r="G49" s="6" t="inlineStr">
        <is>
          <t>Registration for first aid/CPR alone does not establish appropriate workplace first-aid arrangements.</t>
        </is>
      </c>
      <c r="H49" s="6" t="inlineStr">
        <is>
          <t>Assess readiness proportionate to work risk and jurisdiction, not a universal register.</t>
        </is>
      </c>
      <c r="I49" s="6" t="inlineStr">
        <is>
          <t>WHS02</t>
        </is>
      </c>
      <c r="J49" s="6" t="inlineStr">
        <is>
          <t>S13</t>
        </is>
      </c>
      <c r="K49" s="6" t="inlineStr">
        <is>
          <t>https://www.safeworkaustralia.gov.au/safety-topic/managing-health-and-safety/identify-assess-and-control-hazards/managing-risks</t>
        </is>
      </c>
    </row>
    <row r="50" ht="56" customHeight="1">
      <c r="A50" s="8" t="inlineStr">
        <is>
          <t>Q45</t>
        </is>
      </c>
      <c r="B50" s="8" t="inlineStr">
        <is>
          <t>Pay &amp; Entitlements</t>
        </is>
      </c>
      <c r="C50" s="8" t="inlineStr">
        <is>
          <t>If you shut down over the Christmas / New Year period, are you aware of the requirements under the relevant Award/s for notice and forced leave?</t>
        </is>
      </c>
      <c r="D50" s="8" t="inlineStr">
        <is>
          <t>binary</t>
        </is>
      </c>
      <c r="E50" s="9">
        <f>MAX('Original Options'!J122:J123)</f>
        <v>3</v>
      </c>
      <c r="F50" s="5" t="inlineStr">
        <is>
          <t>Retain / branch</t>
        </is>
      </c>
      <c r="G50" s="5" t="inlineStr">
        <is>
          <t>A shutdown question is irrelevant to businesses that do not plan one and requires instrument-specific handling.</t>
        </is>
      </c>
      <c r="H50" s="5" t="inlineStr">
        <is>
          <t>Branch on a planned shutdown and check directions, notice and employees with insufficient leave.</t>
        </is>
      </c>
      <c r="I50" s="5" t="inlineStr">
        <is>
          <t>B09</t>
        </is>
      </c>
      <c r="J50" s="5" t="inlineStr">
        <is>
          <t>S29</t>
        </is>
      </c>
      <c r="K50" s="5" t="inlineStr">
        <is>
          <t>https://www.fairwork.gov.au/leave/annual-leave/directing-an-employee-to-take-annual-leave/direction-to-take-annual-leave-during-a-shut-down</t>
        </is>
      </c>
    </row>
    <row r="51" ht="112" customHeight="1">
      <c r="A51" s="10" t="inlineStr">
        <is>
          <t>Q46</t>
        </is>
      </c>
      <c r="B51" s="10" t="inlineStr">
        <is>
          <t>Employee Exits</t>
        </is>
      </c>
      <c r="C51" s="10" t="inlineStr">
        <is>
          <t>Do you know what notice and documentation is required upon termination?</t>
        </is>
      </c>
      <c r="D51" s="10" t="inlineStr">
        <is>
          <t>binary</t>
        </is>
      </c>
      <c r="E51" s="11">
        <f>MAX('Original Options'!J124:J125)</f>
        <v>3</v>
      </c>
      <c r="F51" s="6" t="inlineStr">
        <is>
          <t>Split</t>
        </is>
      </c>
      <c r="G51" s="6" t="inlineStr">
        <is>
          <t>A termination letter and notice payment are not the whole decision or exit process.</t>
        </is>
      </c>
      <c r="H51" s="6" t="inlineStr">
        <is>
          <t>Separate pre-decision fairness, final pay and information/continuity handover.</t>
        </is>
      </c>
      <c r="I51" s="6" t="inlineStr">
        <is>
          <t>EXT01;EXT02</t>
        </is>
      </c>
      <c r="J51" s="6" t="inlineStr">
        <is>
          <t>S02;S26;S08;S14</t>
        </is>
      </c>
      <c r="K51" s="6" t="inlineStr">
        <is>
          <t>https://www.fairwork.gov.au/taxonomy/term/527
https://www.fairwork.gov.au/tools-and-resources/fact-sheets/minimum-workplace-entitlements/ending-employment
https://www.fairwork.gov.au/pay-and-wages/deductions-and-related-issues/deducting-pay
https://www.fairwork.gov.au/tools-and-resources/fact-sheets/rights-and-obligations/record-keeping-pay-slips</t>
        </is>
      </c>
    </row>
    <row r="52" ht="98" customHeight="1">
      <c r="A52" s="8" t="inlineStr">
        <is>
          <t>Q47</t>
        </is>
      </c>
      <c r="B52" s="8" t="inlineStr">
        <is>
          <t>Recruitment &amp; Talent</t>
        </is>
      </c>
      <c r="C52" s="8" t="inlineStr">
        <is>
          <t>Do you review employee wages annually to ensure they are competitive and aligned with performance?</t>
        </is>
      </c>
      <c r="D52" s="8" t="inlineStr">
        <is>
          <t>binary</t>
        </is>
      </c>
      <c r="E52" s="9">
        <f>MAX('Original Options'!J126:J127)</f>
        <v>3</v>
      </c>
      <c r="F52" s="5" t="inlineStr">
        <is>
          <t>Redistribute</t>
        </is>
      </c>
      <c r="G52" s="5" t="inlineStr">
        <is>
          <t>Annual market competitiveness is not a substitute for minimum-rate compliance and need not be a universal annual exercise.</t>
        </is>
      </c>
      <c r="H52" s="5" t="inlineStr">
        <is>
          <t>Separate pay compliance from evidence about avoidable employee loss and retention.</t>
        </is>
      </c>
      <c r="I52" s="5" t="inlineStr">
        <is>
          <t>PAY02;CUL02</t>
        </is>
      </c>
      <c r="J52" s="5" t="inlineStr">
        <is>
          <t>S06;S07;S14</t>
        </is>
      </c>
      <c r="K52" s="5" t="inlineStr">
        <is>
          <t>https://www.fairwork.gov.au/pay-and-wages/minimum-wages/annualised-salaries
https://www.fairwork.gov.au/newsroom/news/offsetting-and-record-keeping-salaried-employees
https://www.fairwork.gov.au/tools-and-resources/fact-sheets/rights-and-obligations/record-keeping-pay-slips</t>
        </is>
      </c>
    </row>
    <row r="53" ht="42" customHeight="1">
      <c r="A53" s="10" t="inlineStr">
        <is>
          <t>Q48</t>
        </is>
      </c>
      <c r="B53" s="10" t="inlineStr">
        <is>
          <t>Culture &amp; Engagement</t>
        </is>
      </c>
      <c r="C53" s="10" t="inlineStr">
        <is>
          <t>How comfortable are you with your staff turnover?</t>
        </is>
      </c>
      <c r="D53" s="10" t="inlineStr">
        <is>
          <t>scale</t>
        </is>
      </c>
      <c r="E53" s="11">
        <f>MAX('Original Options'!J128:J128)</f>
        <v>10</v>
      </c>
      <c r="F53" s="6" t="inlineStr">
        <is>
          <t>Replace</t>
        </is>
      </c>
      <c r="G53" s="6" t="inlineStr">
        <is>
          <t>Low replacement difficulty is not evidence of healthy turnover, and small teams have volatile percentages.</t>
        </is>
      </c>
      <c r="H53" s="6" t="inlineStr">
        <is>
          <t>Ask whether the business understands and acts on avoidable departures; use counts and context.</t>
        </is>
      </c>
      <c r="I53" s="6" t="inlineStr">
        <is>
          <t>CUL02</t>
        </is>
      </c>
      <c r="J53" s="6" t="inlineStr">
        <is>
          <t>DESIGN</t>
        </is>
      </c>
      <c r="K53" s="6" t="inlineStr"/>
    </row>
    <row r="54" ht="98" customHeight="1">
      <c r="A54" s="8" t="inlineStr">
        <is>
          <t>Q49</t>
        </is>
      </c>
      <c r="B54" s="8" t="inlineStr">
        <is>
          <t>Culture &amp; Engagement</t>
        </is>
      </c>
      <c r="C54" s="8" t="inlineStr">
        <is>
          <t>Do you have social functions and / or celebrate events (ie birthdays, business success)?</t>
        </is>
      </c>
      <c r="D54" s="8" t="inlineStr">
        <is>
          <t>binary</t>
        </is>
      </c>
      <c r="E54" s="9">
        <f>MAX('Original Options'!J129:J130)</f>
        <v>3</v>
      </c>
      <c r="F54" s="5" t="inlineStr">
        <is>
          <t>Replace</t>
        </is>
      </c>
      <c r="G54" s="5" t="inlineStr">
        <is>
          <t>Social events and birthdays are not reliable measures of inclusion, fairness or engagement.</t>
        </is>
      </c>
      <c r="H54" s="5" t="inlineStr">
        <is>
          <t>Assess fair recognition and access to opportunity in forms that suit the workforce.</t>
        </is>
      </c>
      <c r="I54" s="5" t="inlineStr">
        <is>
          <t>CUL03</t>
        </is>
      </c>
      <c r="J54" s="5" t="inlineStr">
        <is>
          <t>S10;S11</t>
        </is>
      </c>
      <c r="K54" s="5"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t>
        </is>
      </c>
    </row>
    <row r="55" ht="168" customHeight="1">
      <c r="A55" s="10" t="inlineStr">
        <is>
          <t>Q50</t>
        </is>
      </c>
      <c r="B55" s="10" t="inlineStr">
        <is>
          <t>Culture &amp; Engagement</t>
        </is>
      </c>
      <c r="C55" s="10" t="inlineStr">
        <is>
          <t>How would you rate your business in terms of employee wellbeing and culture?</t>
        </is>
      </c>
      <c r="D55" s="10" t="inlineStr">
        <is>
          <t>scale</t>
        </is>
      </c>
      <c r="E55" s="11">
        <f>MAX('Original Options'!J131:J131)</f>
        <v>10</v>
      </c>
      <c r="F55" s="6" t="inlineStr">
        <is>
          <t>Rebuild</t>
        </is>
      </c>
      <c r="G55" s="6" t="inlineStr">
        <is>
          <t>The scale creates a false choice between compliance and wellbeing/professional development.</t>
        </is>
      </c>
      <c r="H55" s="6" t="inlineStr">
        <is>
          <t>Assess employee voice, fair opportunity and prevention separately.</t>
        </is>
      </c>
      <c r="I55" s="6" t="inlineStr">
        <is>
          <t>CUL01;CUL03;PSY01;PSY04</t>
        </is>
      </c>
      <c r="J55" s="6" t="inlineStr">
        <is>
          <t>S25;S10;S11;S12</t>
        </is>
      </c>
      <c r="K55" s="6" t="inlineStr">
        <is>
          <t>https://www.fairwork.gov.au/tools-and-resources/best-practice-guides/consultation-and-cooperation-in-the-workplace
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row>
    <row r="56" ht="42" customHeight="1">
      <c r="A56" s="8" t="inlineStr">
        <is>
          <t>Q51</t>
        </is>
      </c>
      <c r="B56" s="8" t="inlineStr">
        <is>
          <t>Pay &amp; Entitlements</t>
        </is>
      </c>
      <c r="C56" s="8" t="inlineStr">
        <is>
          <t>Do you know what an Individual Flexibility Arrangement is under the relevant Award, and how to implement one?</t>
        </is>
      </c>
      <c r="D56" s="8" t="inlineStr">
        <is>
          <t>scale</t>
        </is>
      </c>
      <c r="E56" s="9">
        <f>MAX('Original Options'!J132:J132)</f>
        <v>5</v>
      </c>
      <c r="F56" s="5" t="inlineStr">
        <is>
          <t>Retain / branch</t>
        </is>
      </c>
      <c r="G56" s="5" t="inlineStr">
        <is>
          <t>An organisation that has no reason to use an IFA should not score lower than one that does.</t>
        </is>
      </c>
      <c r="H56" s="5" t="inlineStr">
        <is>
          <t>Branch on actual or planned IFAs and check genuine agreement, permitted terms and the correct test.</t>
        </is>
      </c>
      <c r="I56" s="5" t="inlineStr">
        <is>
          <t>B12</t>
        </is>
      </c>
      <c r="J56" s="5" t="inlineStr">
        <is>
          <t>S30</t>
        </is>
      </c>
      <c r="K56" s="5" t="inlineStr">
        <is>
          <t>https://www.fairwork.gov.au/employment-conditions/flexibility-in-the-workplace/individual-flexibility-arrangements</t>
        </is>
      </c>
    </row>
    <row r="57" ht="56" customHeight="1">
      <c r="A57" s="10" t="inlineStr">
        <is>
          <t>Q52</t>
        </is>
      </c>
      <c r="B57" s="10" t="inlineStr">
        <is>
          <t>Pay &amp; Entitlements</t>
        </is>
      </c>
      <c r="C57" s="10" t="inlineStr">
        <is>
          <t>Do you know what is considered a General Protection under the Fair Work Act, and how to handle a claim?</t>
        </is>
      </c>
      <c r="D57" s="10" t="inlineStr">
        <is>
          <t>binary</t>
        </is>
      </c>
      <c r="E57" s="11">
        <f>MAX('Original Options'!J133:J134)</f>
        <v>5</v>
      </c>
      <c r="F57" s="6" t="inlineStr">
        <is>
          <t>Merge</t>
        </is>
      </c>
      <c r="G57" s="6" t="inlineStr">
        <is>
          <t>Recognising the name of a claim does not establish protected-rights checks before decisions.</t>
        </is>
      </c>
      <c r="H57" s="6" t="inlineStr">
        <is>
          <t>Use a pre-decision review that includes protected circumstances and appropriate advice.</t>
        </is>
      </c>
      <c r="I57" s="6" t="inlineStr">
        <is>
          <t>EXT01</t>
        </is>
      </c>
      <c r="J57" s="6" t="inlineStr">
        <is>
          <t>S02;S26</t>
        </is>
      </c>
      <c r="K57" s="6" t="inlineStr">
        <is>
          <t>https://www.fairwork.gov.au/taxonomy/term/527
https://www.fairwork.gov.au/tools-and-resources/fact-sheets/minimum-workplace-entitlements/ending-employment</t>
        </is>
      </c>
    </row>
    <row r="58" ht="112" customHeight="1">
      <c r="A58" s="8" t="inlineStr">
        <is>
          <t>Q53</t>
        </is>
      </c>
      <c r="B58" s="8" t="inlineStr">
        <is>
          <t>Reviewing &amp; Managing Performance</t>
        </is>
      </c>
      <c r="C58" s="8" t="inlineStr">
        <is>
          <t>How confident are you in addressing serious misconduct, such as theft, fraud, assault, intoxication in the workplace, sexual harassment or blatant breach of health and safety rules?</t>
        </is>
      </c>
      <c r="D58" s="8" t="inlineStr">
        <is>
          <t>scale</t>
        </is>
      </c>
      <c r="E58" s="9">
        <f>MAX('Original Options'!J135:J135)</f>
        <v>10</v>
      </c>
      <c r="F58" s="5" t="inlineStr">
        <is>
          <t>Replace</t>
        </is>
      </c>
      <c r="G58" s="5" t="inlineStr">
        <is>
          <t>Confidence in responding to misconduct is not evidence of fact-finding, support or procedural fairness.</t>
        </is>
      </c>
      <c r="H58" s="5" t="inlineStr">
        <is>
          <t>Test the process before a warning or other serious action is selected.</t>
        </is>
      </c>
      <c r="I58" s="5" t="inlineStr">
        <is>
          <t>PER04</t>
        </is>
      </c>
      <c r="J58" s="5" t="inlineStr">
        <is>
          <t>S26;S27;S10</t>
        </is>
      </c>
      <c r="K58" s="5"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row>
    <row r="59" ht="42" customHeight="1">
      <c r="A59" s="10" t="inlineStr">
        <is>
          <t>Q54</t>
        </is>
      </c>
      <c r="B59" s="10" t="inlineStr">
        <is>
          <t>Reviewing &amp; Managing Performance</t>
        </is>
      </c>
      <c r="C59" s="10" t="inlineStr">
        <is>
          <t>How confident are you in addressing performance management issues, including a Performance Improvement Plan (PIP)?</t>
        </is>
      </c>
      <c r="D59" s="10" t="inlineStr">
        <is>
          <t>scale</t>
        </is>
      </c>
      <c r="E59" s="11">
        <f>MAX('Original Options'!J136:J136)</f>
        <v>10</v>
      </c>
      <c r="F59" s="6" t="inlineStr">
        <is>
          <t>Replace</t>
        </is>
      </c>
      <c r="G59" s="6" t="inlineStr">
        <is>
          <t>A PIP confidence slider does not establish clear expectations, support or fair review.</t>
        </is>
      </c>
      <c r="H59" s="6" t="inlineStr">
        <is>
          <t>Ask about a practical, evidence-based response to sustained underperformance.</t>
        </is>
      </c>
      <c r="I59" s="6" t="inlineStr">
        <is>
          <t>PER03</t>
        </is>
      </c>
      <c r="J59" s="6" t="inlineStr">
        <is>
          <t>S27</t>
        </is>
      </c>
      <c r="K59" s="6" t="inlineStr">
        <is>
          <t>https://www.fairwork.gov.au/sites/default/files/migration/711/managing-underperformance-best-practice-guide.pdf</t>
        </is>
      </c>
    </row>
    <row r="60" ht="112" customHeight="1">
      <c r="A60" s="8" t="inlineStr">
        <is>
          <t>Q55</t>
        </is>
      </c>
      <c r="B60" s="8" t="inlineStr">
        <is>
          <t>Reviewing &amp; Managing Performance</t>
        </is>
      </c>
      <c r="C60" s="8" t="inlineStr">
        <is>
          <t>How confident are you managing conduct issues, such as regular lateness, bad language, poor presentation or misuse of company equipment?</t>
        </is>
      </c>
      <c r="D60" s="8" t="inlineStr">
        <is>
          <t>scale</t>
        </is>
      </c>
      <c r="E60" s="9">
        <f>MAX('Original Options'!J137:J137)</f>
        <v>10</v>
      </c>
      <c r="F60" s="5" t="inlineStr">
        <is>
          <t>Merge</t>
        </is>
      </c>
      <c r="G60" s="5" t="inlineStr">
        <is>
          <t>Another broad conduct-confidence rating overlaps misconduct and policy application.</t>
        </is>
      </c>
      <c r="H60" s="5" t="inlineStr">
        <is>
          <t>Merge into a fair conduct response and make leader exceptions visible.</t>
        </is>
      </c>
      <c r="I60" s="5" t="inlineStr">
        <is>
          <t>PER04</t>
        </is>
      </c>
      <c r="J60" s="5" t="inlineStr">
        <is>
          <t>S26;S27;S10</t>
        </is>
      </c>
      <c r="K60" s="5" t="inlineStr">
        <is>
          <t>https://www.fairwork.gov.au/tools-and-resources/fact-sheets/minimum-workplace-entitlements/ending-employment
https://www.fairwork.gov.au/sites/default/files/migration/711/managing-underperformance-best-practice-guide.pdf
https://humanrights.gov.au/resource-hub/resources-for-organisations-businesses/positive-duty-pdfs/guidelines-for-complying-with-the-positive-duty-under-the-sex-discrimination-act-1984-cth</t>
        </is>
      </c>
    </row>
    <row r="61" ht="140" customHeight="1">
      <c r="A61" s="10" t="inlineStr">
        <is>
          <t>Q56</t>
        </is>
      </c>
      <c r="B61" s="10" t="inlineStr">
        <is>
          <t>Policies &amp; Procedures</t>
        </is>
      </c>
      <c r="C61" s="10" t="inlineStr">
        <is>
          <t>Would you know what to do in the event of a sexual harassment claim at work, or at a work function?</t>
        </is>
      </c>
      <c r="D61" s="10" t="inlineStr">
        <is>
          <t>binary</t>
        </is>
      </c>
      <c r="E61" s="11">
        <f>MAX('Original Options'!J138:J139)</f>
        <v>5</v>
      </c>
      <c r="F61" s="6" t="inlineStr">
        <is>
          <t>Rebuild / relocate</t>
        </is>
      </c>
      <c r="G61" s="6" t="inlineStr">
        <is>
          <t>A complaints-response yes/no question omits deliberate prevention and routes around conflicted leaders.</t>
        </is>
      </c>
      <c r="H61" s="6" t="inlineStr">
        <is>
          <t>Use five psychosocial/positive-duty questions covering hazards, controls, prevention, reporting and support.</t>
        </is>
      </c>
      <c r="I61" s="6" t="inlineStr">
        <is>
          <t>PSY03;PSY04;PSY05</t>
        </is>
      </c>
      <c r="J61" s="6" t="inlineStr">
        <is>
          <t>S10;S11;S12</t>
        </is>
      </c>
      <c r="K61" s="6" t="inlineStr">
        <is>
          <t>https://humanrights.gov.au/resource-hub/resources-for-organisations-businesses/positive-duty-pdfs/guidelines-for-complying-with-the-positive-duty-under-the-sex-discrimination-act-1984-cth
https://www.safeworkaustralia.gov.au/safety-topic/managing-health-and-safety/mental-health/managing-risks/identifying-assessing-controlling-and-reviewing
https://www.safeworkaustralia.gov.au/safety-topic/managing-health-and-safety/mental-health/managing-risks/differences-between-whs-and-wellbeing</t>
        </is>
      </c>
    </row>
    <row r="62" ht="70" customHeight="1">
      <c r="A62" s="8" t="inlineStr">
        <is>
          <t>Q57</t>
        </is>
      </c>
      <c r="B62" s="8" t="inlineStr">
        <is>
          <t>Policies &amp; Procedures</t>
        </is>
      </c>
      <c r="C62" s="8" t="inlineStr">
        <is>
          <t>Do you have a good understanding of Family and Domestic Violence Leave provisions, and what you can do to assist staff experiencing domestic violence?</t>
        </is>
      </c>
      <c r="D62" s="8" t="inlineStr">
        <is>
          <t>scale</t>
        </is>
      </c>
      <c r="E62" s="9">
        <f>MAX('Original Options'!J140:J140)</f>
        <v>10</v>
      </c>
      <c r="F62" s="5" t="inlineStr">
        <is>
          <t>Develop</t>
        </is>
      </c>
      <c r="G62" s="5" t="inlineStr">
        <is>
          <t>A confidence score does not establish safe administration, eligibility, correct pay or confidential payslip handling.</t>
        </is>
      </c>
      <c r="H62" s="5" t="inlineStr">
        <is>
          <t>Ask whether the process could operate safely, without asking whether an employee has disclosed violence.</t>
        </is>
      </c>
      <c r="I62" s="5" t="inlineStr">
        <is>
          <t>PAY06</t>
        </is>
      </c>
      <c r="J62" s="5" t="inlineStr">
        <is>
          <t>S21;S14</t>
        </is>
      </c>
      <c r="K62" s="5" t="inlineStr">
        <is>
          <t>https://www.fairwork.gov.au/tools-and-resources/fact-sheets/minimum-workplace-entitlements/family-and-domestic-violence-leave
https://www.fairwork.gov.au/tools-and-resources/fact-sheets/rights-and-obligations/record-keeping-pay-slips</t>
        </is>
      </c>
    </row>
    <row r="63" ht="154" customHeight="1">
      <c r="A63" s="10" t="inlineStr">
        <is>
          <t>Q58</t>
        </is>
      </c>
      <c r="B63" s="10" t="inlineStr">
        <is>
          <t>Pay &amp; Entitlements</t>
        </is>
      </c>
      <c r="C63" s="10" t="inlineStr">
        <is>
          <t>Are you aware if there is a state Portable Long Service Leave (PLSL) requirement for your industry, and how to use it? Are you confident you can calculate long service leave for staff whether they are affected by PLSL or not?</t>
        </is>
      </c>
      <c r="D63" s="10" t="inlineStr">
        <is>
          <t>scale</t>
        </is>
      </c>
      <c r="E63" s="11">
        <f>MAX('Original Options'!J141:J141)</f>
        <v>10</v>
      </c>
      <c r="F63" s="6" t="inlineStr">
        <is>
          <t>Split / branch</t>
        </is>
      </c>
      <c r="G63" s="6" t="inlineStr">
        <is>
          <t>Ordinary long service leave and portable schemes are conflated; applicability depends on location and industry.</t>
        </is>
      </c>
      <c r="H63" s="6" t="inlineStr">
        <is>
          <t>Core ordinary leave checks plus a scheme-applicability branch using current jurisdictional guidance.</t>
        </is>
      </c>
      <c r="I63" s="6" t="inlineStr">
        <is>
          <t>PAY03;B11</t>
        </is>
      </c>
      <c r="J63" s="6" t="inlineStr">
        <is>
          <t>S14;S21;S28;S31;S39</t>
        </is>
      </c>
      <c r="K63" s="6" t="inlineStr">
        <is>
          <t>https://www.fairwork.gov.au/tools-and-resources/fact-sheets/rights-and-obligations/record-keeping-pay-slips
https://www.fairwork.gov.au/tools-and-resources/fact-sheets/minimum-workplace-entitlements/family-and-domestic-violence-leave
https://www.fairwork.gov.au/leave/annual-leave/cashing-out-annual-leave
https://www.nsw.gov.au/employment/rights-responsibilities/portable-long-service/csi-long-service-leave-scheme/employer-obligations
https://www.fairwork.gov.au/employment-conditions/national-employment-standards</t>
        </is>
      </c>
    </row>
    <row r="64" ht="42" customHeight="1">
      <c r="A64" s="8" t="inlineStr">
        <is>
          <t>Q59</t>
        </is>
      </c>
      <c r="B64" s="8" t="inlineStr">
        <is>
          <t>Pay &amp; Entitlements</t>
        </is>
      </c>
      <c r="C64" s="8" t="inlineStr">
        <is>
          <t>How does your business approach training and development? Please select all that apply.</t>
        </is>
      </c>
      <c r="D64" s="8" t="inlineStr">
        <is>
          <t>option</t>
        </is>
      </c>
      <c r="E64" s="9">
        <f>SUM('Original Options'!J142:J144)</f>
        <v>17</v>
      </c>
      <c r="F64" s="5" t="inlineStr">
        <is>
          <t>Replace</t>
        </is>
      </c>
      <c r="G64" s="5" t="inlineStr">
        <is>
          <t>Additive overlapping options can reward ticking all stages. Selecting only the most developed option gives 10 of 17, while all three give 17.</t>
        </is>
      </c>
      <c r="H64" s="5" t="inlineStr">
        <is>
          <t>Use separate single-choice questions for future capability, application of learning and key-person cover.</t>
        </is>
      </c>
      <c r="I64" s="5" t="inlineStr">
        <is>
          <t>LND01;LND02;LND03</t>
        </is>
      </c>
      <c r="J64" s="5" t="inlineStr">
        <is>
          <t>S27</t>
        </is>
      </c>
      <c r="K64" s="5" t="inlineStr">
        <is>
          <t>https://www.fairwork.gov.au/sites/default/files/migration/711/managing-underperformance-best-practice-guide.pdf</t>
        </is>
      </c>
    </row>
    <row r="65" ht="98" customHeight="1">
      <c r="A65" s="10" t="inlineStr">
        <is>
          <t>Q60</t>
        </is>
      </c>
      <c r="B65" s="10" t="inlineStr">
        <is>
          <t>Pay &amp; Entitlements</t>
        </is>
      </c>
      <c r="C65" s="10" t="inlineStr">
        <is>
          <t>Do you participate in campaigns and initiatives to encourage awareness of health and safety, mental health, domestic violence and other important issues?</t>
        </is>
      </c>
      <c r="D65" s="10" t="inlineStr">
        <is>
          <t>option</t>
        </is>
      </c>
      <c r="E65" s="11">
        <f>SUM('Original Options'!J145:J149)</f>
        <v>15</v>
      </c>
      <c r="F65" s="6" t="inlineStr">
        <is>
          <t>Remove from scored model</t>
        </is>
      </c>
      <c r="G65" s="6" t="inlineStr">
        <is>
          <t>Five awareness campaigns can earn 15 points, exceeding workers compensation, emergency planning and first-aid checks combined (11). Campaigns do not establish risk controls.</t>
        </is>
      </c>
      <c r="H65" s="6" t="inlineStr">
        <is>
          <t>Assess work-related hazards and actual prevention. Retain campaigns only as optional engagement context, not safety credit.</t>
        </is>
      </c>
      <c r="I65" s="6" t="inlineStr">
        <is>
          <t>PSY01;PSY02</t>
        </is>
      </c>
      <c r="J65" s="6" t="inlineStr">
        <is>
          <t>S11;S12</t>
        </is>
      </c>
      <c r="K65" s="6" t="inlineStr">
        <is>
          <t>https://www.safeworkaustralia.gov.au/safety-topic/managing-health-and-safety/mental-health/managing-risks/identifying-assessing-controlling-and-reviewing
https://www.safeworkaustralia.gov.au/safety-topic/managing-health-and-safety/mental-health/managing-risks/differences-between-whs-and-wellbeing</t>
        </is>
      </c>
    </row>
    <row r="66" ht="84" customHeight="1">
      <c r="A66" s="8" t="inlineStr">
        <is>
          <t>Q61</t>
        </is>
      </c>
      <c r="B66" s="8" t="inlineStr">
        <is>
          <t>Workplace Health &amp; Safety</t>
        </is>
      </c>
      <c r="C66" s="8" t="inlineStr">
        <is>
          <t>How well would your business respond to the inappropriate use of alcohol or drugs in the workplace? Do you have policies, procedures and training in place to address these concerns?</t>
        </is>
      </c>
      <c r="D66" s="8" t="inlineStr">
        <is>
          <t>scale</t>
        </is>
      </c>
      <c r="E66" s="9">
        <f>MAX('Original Options'!J150:J150)</f>
        <v>10</v>
      </c>
      <c r="F66" s="5" t="inlineStr">
        <is>
          <t>Reframe / branch</t>
        </is>
      </c>
      <c r="G66" s="5" t="inlineStr">
        <is>
          <t>Drugs and alcohol issues should be assessed in the context of actual work and foreseeable impairment risk, not a generic confidence score.</t>
        </is>
      </c>
      <c r="H66" s="5" t="inlineStr">
        <is>
          <t>Include relevant impairment, fatigue and work-setting controls in physical safety and the conditional work-setting review.</t>
        </is>
      </c>
      <c r="I66" s="5" t="inlineStr">
        <is>
          <t>B15</t>
        </is>
      </c>
      <c r="J66" s="5" t="inlineStr">
        <is>
          <t>S13;S11</t>
        </is>
      </c>
      <c r="K66" s="5" t="inlineStr">
        <is>
          <t>https://www.safeworkaustralia.gov.au/safety-topic/managing-health-and-safety/identify-assess-and-control-hazards/managing-risks
https://www.safeworkaustralia.gov.au/safety-topic/managing-health-and-safety/mental-health/managing-risks/identifying-assessing-controlling-and-reviewing</t>
        </is>
      </c>
    </row>
    <row r="67" ht="140" customHeight="1">
      <c r="A67" s="10" t="inlineStr">
        <is>
          <t>Q62</t>
        </is>
      </c>
      <c r="B67" s="10" t="inlineStr">
        <is>
          <t>Workplace Health &amp; Safety</t>
        </is>
      </c>
      <c r="C67" s="10" t="inlineStr">
        <is>
          <t>Do your staff have access to an Employee Assistance Program (EAP)? How equipped do you believe your business is to handle a mental health concern in the workplace?</t>
        </is>
      </c>
      <c r="D67" s="10" t="inlineStr">
        <is>
          <t>scale</t>
        </is>
      </c>
      <c r="E67" s="11">
        <f>MAX('Original Options'!J151:J151)</f>
        <v>10</v>
      </c>
      <c r="F67" s="6" t="inlineStr">
        <is>
          <t>Replace</t>
        </is>
      </c>
      <c r="G67" s="6" t="inlineStr">
        <is>
          <t>The top response requires both Mental Health First Aid and EAP access, which favours more resourced employers and confuses support with prevention.</t>
        </is>
      </c>
      <c r="H67" s="6" t="inlineStr">
        <is>
          <t>Assess actual hazard controls and appropriate accessible support. Do not prescribe a particular paid product.</t>
        </is>
      </c>
      <c r="I67" s="6" t="inlineStr">
        <is>
          <t>PSY01;PSY02;PSY05</t>
        </is>
      </c>
      <c r="J67" s="6" t="inlineStr">
        <is>
          <t>S11;S12;S10</t>
        </is>
      </c>
      <c r="K67" s="6" t="inlineStr">
        <is>
          <t>https://www.safeworkaustralia.gov.au/safety-topic/managing-health-and-safety/mental-health/managing-risks/identifying-assessing-controlling-and-reviewing
https://www.safeworkaustralia.gov.au/safety-topic/managing-health-and-safety/mental-health/managing-risks/differences-between-whs-and-wellbeing
https://humanrights.gov.au/resource-hub/resources-for-organisations-businesses/positive-duty-pdfs/guidelines-for-complying-with-the-positive-duty-under-the-sex-discrimination-act-1984-cth</t>
        </is>
      </c>
    </row>
    <row r="68" ht="56" customHeight="1">
      <c r="A68" s="8" t="inlineStr">
        <is>
          <t>Q63</t>
        </is>
      </c>
      <c r="B68" s="8" t="inlineStr">
        <is>
          <t>Pay &amp; Entitlements</t>
        </is>
      </c>
      <c r="C68" s="8" t="inlineStr">
        <is>
          <t>Do you understand the difference between an unfair dismissal claim and adverse action?</t>
        </is>
      </c>
      <c r="D68" s="8" t="inlineStr">
        <is>
          <t>binary</t>
        </is>
      </c>
      <c r="E68" s="9">
        <f>MAX('Original Options'!J152:J153)</f>
        <v>4</v>
      </c>
      <c r="F68" s="5" t="inlineStr">
        <is>
          <t>Merge</t>
        </is>
      </c>
      <c r="G68" s="5" t="inlineStr">
        <is>
          <t>A legal terminology test is less useful than the decisions it is intended to protect.</t>
        </is>
      </c>
      <c r="H68" s="5" t="inlineStr">
        <is>
          <t>Use a pre-decision review covering the relevant protections.</t>
        </is>
      </c>
      <c r="I68" s="5" t="inlineStr">
        <is>
          <t>EXT01</t>
        </is>
      </c>
      <c r="J68" s="5" t="inlineStr">
        <is>
          <t>S02;S26</t>
        </is>
      </c>
      <c r="K68" s="5" t="inlineStr">
        <is>
          <t>https://www.fairwork.gov.au/taxonomy/term/527
https://www.fairwork.gov.au/tools-and-resources/fact-sheets/minimum-workplace-entitlements/ending-employment</t>
        </is>
      </c>
    </row>
    <row r="69" ht="56" customHeight="1">
      <c r="A69" s="10" t="inlineStr">
        <is>
          <t>Q64</t>
        </is>
      </c>
      <c r="B69" s="10" t="inlineStr">
        <is>
          <t>Pay &amp; Entitlements</t>
        </is>
      </c>
      <c r="C69" s="10" t="inlineStr">
        <is>
          <t>How confident are you that you could appropriately address an unfair dismissal claim?</t>
        </is>
      </c>
      <c r="D69" s="10" t="inlineStr">
        <is>
          <t>scale</t>
        </is>
      </c>
      <c r="E69" s="11">
        <f>MAX('Original Options'!J154:J154)</f>
        <v>10</v>
      </c>
      <c r="F69" s="6" t="inlineStr">
        <is>
          <t>Merge</t>
        </is>
      </c>
      <c r="G69" s="6" t="inlineStr">
        <is>
          <t>Confidence in handling a claim measures perceived defensibility, not the quality of the original decision.</t>
        </is>
      </c>
      <c r="H69" s="6" t="inlineStr">
        <is>
          <t>Prioritise evidence, appropriate advice and fair decisions before communication.</t>
        </is>
      </c>
      <c r="I69" s="6" t="inlineStr">
        <is>
          <t>EXT01</t>
        </is>
      </c>
      <c r="J69" s="6" t="inlineStr">
        <is>
          <t>S02;S26</t>
        </is>
      </c>
      <c r="K69" s="6" t="inlineStr">
        <is>
          <t>https://www.fairwork.gov.au/taxonomy/term/527
https://www.fairwork.gov.au/tools-and-resources/fact-sheets/minimum-workplace-entitlements/ending-employment</t>
        </is>
      </c>
    </row>
    <row r="70" ht="70" customHeight="1">
      <c r="A70" s="8" t="inlineStr">
        <is>
          <t>Q65</t>
        </is>
      </c>
      <c r="B70" s="8" t="inlineStr">
        <is>
          <t>Pay &amp; Entitlements</t>
        </is>
      </c>
      <c r="C70" s="8" t="inlineStr">
        <is>
          <t>You have completed your HR Health Check. Prior to submitting your results, please take a moment to let us know any feedback you have about this assessment, or if it made you consider any areas of your HR performance that you hadn't previously. (Optional)</t>
        </is>
      </c>
      <c r="D70" s="8" t="inlineStr">
        <is>
          <t>narrative</t>
        </is>
      </c>
      <c r="E70" s="9">
        <f>MAX('Original Options'!J155:J155)</f>
        <v>0</v>
      </c>
      <c r="F70" s="5" t="inlineStr">
        <is>
          <t>Keep optional / unscored</t>
        </is>
      </c>
      <c r="G70" s="5" t="inlineStr">
        <is>
          <t>Optional product feedback is useful but must not alter the HR result or invite identifiable employee allegations.</t>
        </is>
      </c>
      <c r="H70" s="5" t="inlineStr">
        <is>
          <t>Use a short optional post-result question about usefulness or what remains unclear; separate marketing consent.</t>
        </is>
      </c>
      <c r="I70" s="5" t="inlineStr">
        <is>
          <t>Optional unscored context / product feedback</t>
        </is>
      </c>
      <c r="J70" s="5" t="inlineStr">
        <is>
          <t>DESIGN</t>
        </is>
      </c>
      <c r="K70" s="5" t="inlineStr"/>
    </row>
  </sheetData>
  <mergeCells count="3">
    <mergeCell ref="A2:K2"/>
    <mergeCell ref="A1:K1"/>
    <mergeCell ref="A3:K3"/>
  </mergeCells>
  <pageMargins left="0.7" right="0.7" top="0.75" bottom="0.75" header="0.3" footer="0.3"/>
</worksheet>
</file>

<file path=xl/worksheets/sheet18.xml><?xml version="1.0" encoding="utf-8"?>
<worksheet xmlns="http://schemas.openxmlformats.org/spreadsheetml/2006/main">
  <sheetPr>
    <tabColor rgb="FF472C5B"/>
    <outlinePr summaryBelow="1" summaryRight="1"/>
    <pageSetUpPr/>
  </sheetPr>
  <dimension ref="A1:M155"/>
  <sheetViews>
    <sheetView showGridLines="0" workbookViewId="0">
      <pane xSplit="7" ySplit="5" topLeftCell="H6" activePane="bottomRight" state="frozen"/>
      <selection activeCell="A1" sqref="A1"/>
    </sheetView>
  </sheetViews>
  <sheetFormatPr baseColWidth="8" defaultRowHeight="15"/>
  <cols>
    <col width="10" customWidth="1" min="1" max="1"/>
    <col width="17" customWidth="1" min="2" max="2"/>
    <col width="17" customWidth="1" min="3" max="3"/>
    <col width="16" customWidth="1" min="4" max="4"/>
    <col width="15" customWidth="1" min="5" max="5"/>
    <col width="30" customWidth="1" min="6" max="6"/>
    <col width="30" customWidth="1" min="7" max="7"/>
    <col width="90" customWidth="1" min="8" max="8"/>
    <col width="80" customWidth="1" min="9" max="9"/>
    <col width="15" customWidth="1" min="10" max="10"/>
    <col width="38" customWidth="1" min="11" max="11"/>
    <col width="38" customWidth="1" min="12" max="12"/>
    <col width="62" customWidth="1" min="13" max="13"/>
  </cols>
  <sheetData>
    <row r="1" ht="38" customHeight="1">
      <c r="A1" s="1" t="inlineStr">
        <is>
          <t>Original question and option register</t>
        </is>
      </c>
    </row>
    <row r="2" ht="34" customHeight="1">
      <c r="A2" s="2" t="inlineStr">
        <is>
          <t>Imported from Questions &amp; Weights in the supplied workbook. Source wording and points are retained, including identified defects; do not deploy this sheet as the revised instrument.</t>
        </is>
      </c>
    </row>
    <row r="3" ht="22" customHeight="1">
      <c r="A3" s="3" t="inlineStr">
        <is>
          <t>DREAMSTONEHR | PROPOSED V2.0 | REVIEWED 10 OCTOBER 2026</t>
        </is>
      </c>
    </row>
    <row r="4"/>
    <row r="5" ht="34" customHeight="1">
      <c r="A5" s="4" t="inlineStr">
        <is>
          <t>Q_ID</t>
        </is>
      </c>
      <c r="B5" s="4" t="inlineStr">
        <is>
          <t>Agolix Question ID</t>
        </is>
      </c>
      <c r="C5" s="4" t="inlineStr">
        <is>
          <t>Agolix Option ID</t>
        </is>
      </c>
      <c r="D5" s="4" t="inlineStr">
        <is>
          <t>Question Type</t>
        </is>
      </c>
      <c r="E5" s="4" t="inlineStr">
        <is>
          <t>Select Multiple?</t>
        </is>
      </c>
      <c r="F5" s="4" t="inlineStr">
        <is>
          <t>Current Category (live)</t>
        </is>
      </c>
      <c r="G5" s="4" t="inlineStr">
        <is>
          <t>Category (edit this)</t>
        </is>
      </c>
      <c r="H5" s="4" t="inlineStr">
        <is>
          <t>Question</t>
        </is>
      </c>
      <c r="I5" s="4" t="inlineStr">
        <is>
          <t>Answer option</t>
        </is>
      </c>
      <c r="J5" s="4" t="inlineStr">
        <is>
          <t>Points (edit this)</t>
        </is>
      </c>
      <c r="K5" s="4" t="inlineStr">
        <is>
          <t>Left label / Yes</t>
        </is>
      </c>
      <c r="L5" s="4" t="inlineStr">
        <is>
          <t>Right label / No</t>
        </is>
      </c>
      <c r="M5" s="4" t="inlineStr">
        <is>
          <t>Notes</t>
        </is>
      </c>
    </row>
    <row r="6" ht="42" customHeight="1">
      <c r="A6" s="8" t="inlineStr">
        <is>
          <t>Q01</t>
        </is>
      </c>
      <c r="B6" s="31" t="n">
        <v>261768</v>
      </c>
      <c r="C6" s="8" t="n"/>
      <c r="D6" s="8" t="inlineStr">
        <is>
          <t>scale</t>
        </is>
      </c>
      <c r="E6" s="8" t="inlineStr">
        <is>
          <t>No</t>
        </is>
      </c>
      <c r="F6" s="8" t="inlineStr">
        <is>
          <t>Pay &amp; Entitlements</t>
        </is>
      </c>
      <c r="G6" s="8" t="inlineStr">
        <is>
          <t>Pay &amp; Entitlements</t>
        </is>
      </c>
      <c r="H6" s="8" t="inlineStr">
        <is>
          <t>How familiar are you with the Fair Work Act and Modern Awards?</t>
        </is>
      </c>
      <c r="I6" s="8" t="inlineStr">
        <is>
          <t>Scale 1-10 (points = selected value)</t>
        </is>
      </c>
      <c r="J6" s="31" t="n">
        <v>10</v>
      </c>
      <c r="K6" s="8" t="inlineStr">
        <is>
          <t>Not familiar at all</t>
        </is>
      </c>
      <c r="L6" s="8" t="inlineStr">
        <is>
          <t>Very familiar</t>
        </is>
      </c>
      <c r="M6" s="8" t="inlineStr">
        <is>
          <t>For scales, Points column = MAX points. Selected slider value = earned points.</t>
        </is>
      </c>
    </row>
    <row r="7" ht="56" customHeight="1">
      <c r="A7" s="10" t="inlineStr">
        <is>
          <t>Q02</t>
        </is>
      </c>
      <c r="B7" s="32" t="n">
        <v>261769</v>
      </c>
      <c r="C7" s="10" t="n"/>
      <c r="D7" s="10" t="inlineStr">
        <is>
          <t>scale</t>
        </is>
      </c>
      <c r="E7" s="10" t="inlineStr">
        <is>
          <t>No</t>
        </is>
      </c>
      <c r="F7" s="10" t="inlineStr">
        <is>
          <t>Pay &amp; Entitlements</t>
        </is>
      </c>
      <c r="G7" s="10" t="inlineStr">
        <is>
          <t>Pay &amp; Entitlements</t>
        </is>
      </c>
      <c r="H7" s="10" t="inlineStr">
        <is>
          <t>How comfortable are you with the National Employment Standards and how they apply to your employees?</t>
        </is>
      </c>
      <c r="I7" s="10" t="inlineStr">
        <is>
          <t>Scale 1-10 (points = selected value)</t>
        </is>
      </c>
      <c r="J7" s="32" t="n">
        <v>10</v>
      </c>
      <c r="K7" s="10" t="inlineStr">
        <is>
          <t>I am not aware of what this is</t>
        </is>
      </c>
      <c r="L7" s="10" t="inlineStr">
        <is>
          <t>I know what these are and am confident that we are compliant with all standards</t>
        </is>
      </c>
      <c r="M7" s="10" t="inlineStr">
        <is>
          <t>For scales, Points column = MAX points. Selected slider value = earned points.</t>
        </is>
      </c>
    </row>
    <row r="8" ht="70" customHeight="1">
      <c r="A8" s="8" t="inlineStr">
        <is>
          <t>Q03</t>
        </is>
      </c>
      <c r="B8" s="31" t="n">
        <v>261770</v>
      </c>
      <c r="C8" s="8" t="n"/>
      <c r="D8" s="8" t="inlineStr">
        <is>
          <t>scale</t>
        </is>
      </c>
      <c r="E8" s="8" t="inlineStr">
        <is>
          <t>No</t>
        </is>
      </c>
      <c r="F8" s="8" t="inlineStr">
        <is>
          <t>Pay &amp; Entitlements</t>
        </is>
      </c>
      <c r="G8" s="8" t="inlineStr">
        <is>
          <t>Pay &amp; Entitlements</t>
        </is>
      </c>
      <c r="H8" s="8" t="inlineStr">
        <is>
          <t>How confident are you that each of your employees is covered by the correct Modern Award, including the correct Award classification and level? (Keeping in mind that different Modern Awards may apply to different occupations within the same business).</t>
        </is>
      </c>
      <c r="I8" s="8" t="inlineStr">
        <is>
          <t>Scale 1-10 (points = selected value)</t>
        </is>
      </c>
      <c r="J8" s="31" t="n">
        <v>10</v>
      </c>
      <c r="K8" s="8" t="inlineStr">
        <is>
          <t>I'm not confident, this is a concern for my business</t>
        </is>
      </c>
      <c r="L8" s="8" t="inlineStr">
        <is>
          <t>Fully comfortable, I know my Award alignment is 100% accurate</t>
        </is>
      </c>
      <c r="M8" s="8" t="inlineStr">
        <is>
          <t>For scales, Points column = MAX points. Selected slider value = earned points.</t>
        </is>
      </c>
    </row>
    <row r="9" ht="42" customHeight="1">
      <c r="A9" s="10" t="inlineStr">
        <is>
          <t>Q04</t>
        </is>
      </c>
      <c r="B9" s="32" t="n">
        <v>261771</v>
      </c>
      <c r="C9" s="32" t="n">
        <v>223926</v>
      </c>
      <c r="D9" s="10" t="inlineStr">
        <is>
          <t>option</t>
        </is>
      </c>
      <c r="E9" s="10" t="inlineStr">
        <is>
          <t>No</t>
        </is>
      </c>
      <c r="F9" s="10" t="inlineStr">
        <is>
          <t>Pay &amp; Entitlements</t>
        </is>
      </c>
      <c r="G9" s="10" t="inlineStr">
        <is>
          <t>Pay &amp; Entitlements</t>
        </is>
      </c>
      <c r="H9" s="10" t="inlineStr">
        <is>
          <t>Are you aware that if you pay above the Award, other conditions and entitlements within the Award are still applicable?</t>
        </is>
      </c>
      <c r="I9" s="10" t="inlineStr">
        <is>
          <t>Yes I am aware of this and am compliant</t>
        </is>
      </c>
      <c r="J9" s="32" t="n">
        <v>10</v>
      </c>
      <c r="K9" s="10" t="n"/>
      <c r="L9" s="10" t="n"/>
      <c r="M9" s="10" t="n"/>
    </row>
    <row r="10" ht="42" customHeight="1">
      <c r="A10" s="8" t="inlineStr">
        <is>
          <t>Q04</t>
        </is>
      </c>
      <c r="B10" s="31" t="n">
        <v>261771</v>
      </c>
      <c r="C10" s="31" t="n">
        <v>223927</v>
      </c>
      <c r="D10" s="8" t="inlineStr">
        <is>
          <t>option</t>
        </is>
      </c>
      <c r="E10" s="8" t="inlineStr">
        <is>
          <t>No</t>
        </is>
      </c>
      <c r="F10" s="8" t="inlineStr">
        <is>
          <t>Pay &amp; Entitlements</t>
        </is>
      </c>
      <c r="G10" s="8" t="inlineStr">
        <is>
          <t>Pay &amp; Entitlements</t>
        </is>
      </c>
      <c r="H10" s="8" t="inlineStr">
        <is>
          <t>Are you aware that if you pay above the Award, other conditions and entitlements within the Award are still applicable?</t>
        </is>
      </c>
      <c r="I10" s="8" t="inlineStr">
        <is>
          <t>Yes I am aware but am unsure if I am meeting all the conditions</t>
        </is>
      </c>
      <c r="J10" s="31" t="n">
        <v>5</v>
      </c>
      <c r="K10" s="8" t="n"/>
      <c r="L10" s="8" t="n"/>
      <c r="M10" s="8" t="n"/>
    </row>
    <row r="11" ht="42" customHeight="1">
      <c r="A11" s="10" t="inlineStr">
        <is>
          <t>Q04</t>
        </is>
      </c>
      <c r="B11" s="32" t="n">
        <v>261771</v>
      </c>
      <c r="C11" s="32" t="n">
        <v>223928</v>
      </c>
      <c r="D11" s="10" t="inlineStr">
        <is>
          <t>option</t>
        </is>
      </c>
      <c r="E11" s="10" t="inlineStr">
        <is>
          <t>No</t>
        </is>
      </c>
      <c r="F11" s="10" t="inlineStr">
        <is>
          <t>Pay &amp; Entitlements</t>
        </is>
      </c>
      <c r="G11" s="10" t="inlineStr">
        <is>
          <t>Pay &amp; Entitlements</t>
        </is>
      </c>
      <c r="H11" s="10" t="inlineStr">
        <is>
          <t>Are you aware that if you pay above the Award, other conditions and entitlements within the Award are still applicable?</t>
        </is>
      </c>
      <c r="I11" s="10" t="inlineStr">
        <is>
          <t>I thought if I paid above the Award this meant I didn't need to worry about other Award conditions</t>
        </is>
      </c>
      <c r="J11" s="32" t="n">
        <v>0</v>
      </c>
      <c r="K11" s="10" t="n"/>
      <c r="L11" s="10" t="n"/>
      <c r="M11" s="10" t="n"/>
    </row>
    <row r="12" ht="70" customHeight="1">
      <c r="A12" s="8" t="inlineStr">
        <is>
          <t>Q05</t>
        </is>
      </c>
      <c r="B12" s="31" t="n">
        <v>261772</v>
      </c>
      <c r="C12" s="31" t="n">
        <v>223929</v>
      </c>
      <c r="D12" s="8" t="inlineStr">
        <is>
          <t>option</t>
        </is>
      </c>
      <c r="E12" s="8" t="inlineStr">
        <is>
          <t>No</t>
        </is>
      </c>
      <c r="F12" s="8" t="inlineStr">
        <is>
          <t>Pay &amp; Entitlements</t>
        </is>
      </c>
      <c r="G12" s="8" t="inlineStr">
        <is>
          <t>Pay &amp; Entitlements</t>
        </is>
      </c>
      <c r="H12" s="8" t="inlineStr">
        <is>
          <t>Each Award will determine minimum rates of pay, penalty rates, hours of work, overtime, meal breaks, and other statutory entitlements. How confident are you that you are paying in line with the Award requirements for these statutory entitlements?</t>
        </is>
      </c>
      <c r="I12" s="8" t="inlineStr">
        <is>
          <t>I am unsure of the statutory entitlements</t>
        </is>
      </c>
      <c r="J12" s="31" t="n">
        <v>0</v>
      </c>
      <c r="K12" s="8" t="n"/>
      <c r="L12" s="8" t="n"/>
      <c r="M12" s="8" t="n"/>
    </row>
    <row r="13" ht="70" customHeight="1">
      <c r="A13" s="10" t="inlineStr">
        <is>
          <t>Q05</t>
        </is>
      </c>
      <c r="B13" s="32" t="n">
        <v>261772</v>
      </c>
      <c r="C13" s="32" t="n">
        <v>223930</v>
      </c>
      <c r="D13" s="10" t="inlineStr">
        <is>
          <t>option</t>
        </is>
      </c>
      <c r="E13" s="10" t="inlineStr">
        <is>
          <t>No</t>
        </is>
      </c>
      <c r="F13" s="10" t="inlineStr">
        <is>
          <t>Pay &amp; Entitlements</t>
        </is>
      </c>
      <c r="G13" s="10" t="inlineStr">
        <is>
          <t>Pay &amp; Entitlements</t>
        </is>
      </c>
      <c r="H13" s="10" t="inlineStr">
        <is>
          <t>Each Award will determine minimum rates of pay, penalty rates, hours of work, overtime, meal breaks, and other statutory entitlements. How confident are you that you are paying in line with the Award requirements for these statutory entitlements?</t>
        </is>
      </c>
      <c r="I13" s="10" t="inlineStr">
        <is>
          <t>I am paying above the Award so believed that I wasn't required to pay any other statutory entitlements</t>
        </is>
      </c>
      <c r="J13" s="32" t="n">
        <v>2</v>
      </c>
      <c r="K13" s="10" t="n"/>
      <c r="L13" s="10" t="n"/>
      <c r="M13" s="10" t="n"/>
    </row>
    <row r="14" ht="70" customHeight="1">
      <c r="A14" s="8" t="inlineStr">
        <is>
          <t>Q05</t>
        </is>
      </c>
      <c r="B14" s="31" t="n">
        <v>261772</v>
      </c>
      <c r="C14" s="31" t="n">
        <v>223931</v>
      </c>
      <c r="D14" s="8" t="inlineStr">
        <is>
          <t>option</t>
        </is>
      </c>
      <c r="E14" s="8" t="inlineStr">
        <is>
          <t>No</t>
        </is>
      </c>
      <c r="F14" s="8" t="inlineStr">
        <is>
          <t>Pay &amp; Entitlements</t>
        </is>
      </c>
      <c r="G14" s="8" t="inlineStr">
        <is>
          <t>Pay &amp; Entitlements</t>
        </is>
      </c>
      <c r="H14" s="8" t="inlineStr">
        <is>
          <t>Each Award will determine minimum rates of pay, penalty rates, hours of work, overtime, meal breaks, and other statutory entitlements. How confident are you that you are paying in line with the Award requirements for these statutory entitlements?</t>
        </is>
      </c>
      <c r="I14" s="8" t="inlineStr">
        <is>
          <t>I am aware of the minimum rates of pay and I am compliant however other entitlements need a review</t>
        </is>
      </c>
      <c r="J14" s="31" t="n">
        <v>3</v>
      </c>
      <c r="K14" s="8" t="n"/>
      <c r="L14" s="8" t="n"/>
      <c r="M14" s="8" t="n"/>
    </row>
    <row r="15" ht="70" customHeight="1">
      <c r="A15" s="10" t="inlineStr">
        <is>
          <t>Q05</t>
        </is>
      </c>
      <c r="B15" s="32" t="n">
        <v>261772</v>
      </c>
      <c r="C15" s="32" t="n">
        <v>223932</v>
      </c>
      <c r="D15" s="10" t="inlineStr">
        <is>
          <t>option</t>
        </is>
      </c>
      <c r="E15" s="10" t="inlineStr">
        <is>
          <t>No</t>
        </is>
      </c>
      <c r="F15" s="10" t="inlineStr">
        <is>
          <t>Pay &amp; Entitlements</t>
        </is>
      </c>
      <c r="G15" s="10" t="inlineStr">
        <is>
          <t>Pay &amp; Entitlements</t>
        </is>
      </c>
      <c r="H15" s="10" t="inlineStr">
        <is>
          <t>Each Award will determine minimum rates of pay, penalty rates, hours of work, overtime, meal breaks, and other statutory entitlements. How confident are you that you are paying in line with the Award requirements for these statutory entitlements?</t>
        </is>
      </c>
      <c r="I15" s="10" t="inlineStr">
        <is>
          <t>I am paying statutory entitlements including minimum rates of pay in line with the Award requirements</t>
        </is>
      </c>
      <c r="J15" s="32" t="n">
        <v>10</v>
      </c>
      <c r="K15" s="10" t="n"/>
      <c r="L15" s="10" t="n"/>
      <c r="M15" s="10" t="n"/>
    </row>
    <row r="16" ht="42" customHeight="1">
      <c r="A16" s="8" t="inlineStr">
        <is>
          <t>Q06</t>
        </is>
      </c>
      <c r="B16" s="31" t="n">
        <v>261775</v>
      </c>
      <c r="C16" s="31" t="n">
        <v>223933</v>
      </c>
      <c r="D16" s="8" t="inlineStr">
        <is>
          <t>option</t>
        </is>
      </c>
      <c r="E16" s="8" t="inlineStr">
        <is>
          <t>No</t>
        </is>
      </c>
      <c r="F16" s="8" t="inlineStr">
        <is>
          <t>Pay &amp; Entitlements</t>
        </is>
      </c>
      <c r="G16" s="8" t="inlineStr">
        <is>
          <t>Pay &amp; Entitlements</t>
        </is>
      </c>
      <c r="H16" s="8" t="inlineStr">
        <is>
          <t>How would you rate your compliance with Modern Award allowances?</t>
        </is>
      </c>
      <c r="I16" s="8" t="inlineStr">
        <is>
          <t>I know I need to pay allowances but it's too confusing so we are not paying them</t>
        </is>
      </c>
      <c r="J16" s="31" t="n">
        <v>0</v>
      </c>
      <c r="K16" s="8" t="n"/>
      <c r="L16" s="8" t="n"/>
      <c r="M16" s="8" t="n"/>
    </row>
    <row r="17" ht="34" customHeight="1">
      <c r="A17" s="10" t="inlineStr">
        <is>
          <t>Q06</t>
        </is>
      </c>
      <c r="B17" s="32" t="n">
        <v>261775</v>
      </c>
      <c r="C17" s="32" t="n">
        <v>223934</v>
      </c>
      <c r="D17" s="10" t="inlineStr">
        <is>
          <t>option</t>
        </is>
      </c>
      <c r="E17" s="10" t="inlineStr">
        <is>
          <t>No</t>
        </is>
      </c>
      <c r="F17" s="10" t="inlineStr">
        <is>
          <t>Pay &amp; Entitlements</t>
        </is>
      </c>
      <c r="G17" s="10" t="inlineStr">
        <is>
          <t>Pay &amp; Entitlements</t>
        </is>
      </c>
      <c r="H17" s="10" t="inlineStr">
        <is>
          <t>How would you rate your compliance with Modern Award allowances?</t>
        </is>
      </c>
      <c r="I17" s="10" t="inlineStr">
        <is>
          <t>I know I need to pay allowances, just unsure which ones and when</t>
        </is>
      </c>
      <c r="J17" s="32" t="n">
        <v>1</v>
      </c>
      <c r="K17" s="10" t="n"/>
      <c r="L17" s="10" t="n"/>
      <c r="M17" s="10" t="n"/>
    </row>
    <row r="18" ht="42" customHeight="1">
      <c r="A18" s="8" t="inlineStr">
        <is>
          <t>Q06</t>
        </is>
      </c>
      <c r="B18" s="31" t="n">
        <v>261775</v>
      </c>
      <c r="C18" s="31" t="n">
        <v>223935</v>
      </c>
      <c r="D18" s="8" t="inlineStr">
        <is>
          <t>option</t>
        </is>
      </c>
      <c r="E18" s="8" t="inlineStr">
        <is>
          <t>No</t>
        </is>
      </c>
      <c r="F18" s="8" t="inlineStr">
        <is>
          <t>Pay &amp; Entitlements</t>
        </is>
      </c>
      <c r="G18" s="8" t="inlineStr">
        <is>
          <t>Pay &amp; Entitlements</t>
        </is>
      </c>
      <c r="H18" s="8" t="inlineStr">
        <is>
          <t>How would you rate your compliance with Modern Award allowances?</t>
        </is>
      </c>
      <c r="I18" s="8" t="inlineStr">
        <is>
          <t>I pay a flat hourly rate that I believe is enough to cover all allowances</t>
        </is>
      </c>
      <c r="J18" s="31" t="n">
        <v>4</v>
      </c>
      <c r="K18" s="8" t="n"/>
      <c r="L18" s="8" t="n"/>
      <c r="M18" s="8" t="n"/>
    </row>
    <row r="19" ht="42" customHeight="1">
      <c r="A19" s="10" t="inlineStr">
        <is>
          <t>Q06</t>
        </is>
      </c>
      <c r="B19" s="32" t="n">
        <v>261775</v>
      </c>
      <c r="C19" s="32" t="n">
        <v>223936</v>
      </c>
      <c r="D19" s="10" t="inlineStr">
        <is>
          <t>option</t>
        </is>
      </c>
      <c r="E19" s="10" t="inlineStr">
        <is>
          <t>No</t>
        </is>
      </c>
      <c r="F19" s="10" t="inlineStr">
        <is>
          <t>Pay &amp; Entitlements</t>
        </is>
      </c>
      <c r="G19" s="10" t="inlineStr">
        <is>
          <t>Pay &amp; Entitlements</t>
        </is>
      </c>
      <c r="H19" s="10" t="inlineStr">
        <is>
          <t>How would you rate your compliance with Modern Award allowances?</t>
        </is>
      </c>
      <c r="I19" s="10" t="inlineStr">
        <is>
          <t>I am paying some allowances, however, could use a quick review to make sure it's all correct</t>
        </is>
      </c>
      <c r="J19" s="32" t="n">
        <v>5</v>
      </c>
      <c r="K19" s="10" t="n"/>
      <c r="L19" s="10" t="n"/>
      <c r="M19" s="10" t="n"/>
    </row>
    <row r="20" ht="34" customHeight="1">
      <c r="A20" s="8" t="inlineStr">
        <is>
          <t>Q06</t>
        </is>
      </c>
      <c r="B20" s="31" t="n">
        <v>261775</v>
      </c>
      <c r="C20" s="31" t="n">
        <v>223937</v>
      </c>
      <c r="D20" s="8" t="inlineStr">
        <is>
          <t>option</t>
        </is>
      </c>
      <c r="E20" s="8" t="inlineStr">
        <is>
          <t>No</t>
        </is>
      </c>
      <c r="F20" s="8" t="inlineStr">
        <is>
          <t>Pay &amp; Entitlements</t>
        </is>
      </c>
      <c r="G20" s="8" t="inlineStr">
        <is>
          <t>Pay &amp; Entitlements</t>
        </is>
      </c>
      <c r="H20" s="8" t="inlineStr">
        <is>
          <t>How would you rate your compliance with Modern Award allowances?</t>
        </is>
      </c>
      <c r="I20" s="8" t="inlineStr">
        <is>
          <t>I am 100% confident that we are compliant in this area</t>
        </is>
      </c>
      <c r="J20" s="31" t="n">
        <v>10</v>
      </c>
      <c r="K20" s="8" t="n"/>
      <c r="L20" s="8" t="n"/>
      <c r="M20" s="8" t="n"/>
    </row>
    <row r="21" ht="56" customHeight="1">
      <c r="A21" s="10" t="inlineStr">
        <is>
          <t>Q07</t>
        </is>
      </c>
      <c r="B21" s="32" t="n">
        <v>261776</v>
      </c>
      <c r="C21" s="10" t="n"/>
      <c r="D21" s="10" t="inlineStr">
        <is>
          <t>scale</t>
        </is>
      </c>
      <c r="E21" s="10" t="inlineStr">
        <is>
          <t>No</t>
        </is>
      </c>
      <c r="F21" s="10" t="inlineStr">
        <is>
          <t>Pay &amp; Entitlements</t>
        </is>
      </c>
      <c r="G21" s="10" t="inlineStr">
        <is>
          <t>Pay &amp; Entitlements</t>
        </is>
      </c>
      <c r="H21" s="10" t="inlineStr">
        <is>
          <t>How well do you believe you understand the differences between full time, part time and casual employment, including probation, leave, and termination requirements?</t>
        </is>
      </c>
      <c r="I21" s="10" t="inlineStr">
        <is>
          <t>Scale 1-10 (points = selected value)</t>
        </is>
      </c>
      <c r="J21" s="32" t="n">
        <v>10</v>
      </c>
      <c r="K21" s="10" t="inlineStr">
        <is>
          <t>Not well at all</t>
        </is>
      </c>
      <c r="L21" s="10" t="inlineStr">
        <is>
          <t>I'm aware of all of the differences</t>
        </is>
      </c>
      <c r="M21" s="10" t="inlineStr">
        <is>
          <t>For scales, Points column = MAX points. Selected slider value = earned points.</t>
        </is>
      </c>
    </row>
    <row r="22" ht="42" customHeight="1">
      <c r="A22" s="8" t="inlineStr">
        <is>
          <t>Q08</t>
        </is>
      </c>
      <c r="B22" s="31" t="n">
        <v>261777</v>
      </c>
      <c r="C22" s="31" t="n">
        <v>223938</v>
      </c>
      <c r="D22" s="8" t="inlineStr">
        <is>
          <t>option</t>
        </is>
      </c>
      <c r="E22" s="8" t="inlineStr">
        <is>
          <t>No</t>
        </is>
      </c>
      <c r="F22" s="8" t="inlineStr">
        <is>
          <t>Pay &amp; Entitlements</t>
        </is>
      </c>
      <c r="G22" s="8" t="inlineStr">
        <is>
          <t>Pay &amp; Entitlements</t>
        </is>
      </c>
      <c r="H22" s="8" t="inlineStr">
        <is>
          <t>Are you aware of your obligations regarding casual employees' rights to request permanent employment (casual conversion) under the new legislation?</t>
        </is>
      </c>
      <c r="I22" s="8" t="inlineStr">
        <is>
          <t>Yes, but this does not apply to our business as we do not have casual staff or fall within the exemption criteria.</t>
        </is>
      </c>
      <c r="J22" s="31" t="n">
        <v>10</v>
      </c>
      <c r="K22" s="8" t="n"/>
      <c r="L22" s="8" t="n"/>
      <c r="M22" s="8" t="n"/>
    </row>
    <row r="23" ht="42" customHeight="1">
      <c r="A23" s="10" t="inlineStr">
        <is>
          <t>Q08</t>
        </is>
      </c>
      <c r="B23" s="32" t="n">
        <v>261777</v>
      </c>
      <c r="C23" s="32" t="n">
        <v>223939</v>
      </c>
      <c r="D23" s="10" t="inlineStr">
        <is>
          <t>option</t>
        </is>
      </c>
      <c r="E23" s="10" t="inlineStr">
        <is>
          <t>No</t>
        </is>
      </c>
      <c r="F23" s="10" t="inlineStr">
        <is>
          <t>Pay &amp; Entitlements</t>
        </is>
      </c>
      <c r="G23" s="10" t="inlineStr">
        <is>
          <t>Pay &amp; Entitlements</t>
        </is>
      </c>
      <c r="H23" s="10" t="inlineStr">
        <is>
          <t>Are you aware of your obligations regarding casual employees' rights to request permanent employment (casual conversion) under the new legislation?</t>
        </is>
      </c>
      <c r="I23" s="10" t="inlineStr">
        <is>
          <t>I'm uncertain about how these changes apply to us, and this is a concern for my business.</t>
        </is>
      </c>
      <c r="J23" s="32" t="n">
        <v>0</v>
      </c>
      <c r="K23" s="10" t="n"/>
      <c r="L23" s="10" t="n"/>
      <c r="M23" s="10" t="n"/>
    </row>
    <row r="24" ht="42" customHeight="1">
      <c r="A24" s="8" t="inlineStr">
        <is>
          <t>Q08</t>
        </is>
      </c>
      <c r="B24" s="31" t="n">
        <v>261777</v>
      </c>
      <c r="C24" s="31" t="n">
        <v>223940</v>
      </c>
      <c r="D24" s="8" t="inlineStr">
        <is>
          <t>option</t>
        </is>
      </c>
      <c r="E24" s="8" t="inlineStr">
        <is>
          <t>No</t>
        </is>
      </c>
      <c r="F24" s="8" t="inlineStr">
        <is>
          <t>Pay &amp; Entitlements</t>
        </is>
      </c>
      <c r="G24" s="8" t="inlineStr">
        <is>
          <t>Pay &amp; Entitlements</t>
        </is>
      </c>
      <c r="H24" s="8" t="inlineStr">
        <is>
          <t>Are you aware of your obligations regarding casual employees' rights to request permanent employment (casual conversion) under the new legislation?</t>
        </is>
      </c>
      <c r="I24" s="8" t="inlineStr">
        <is>
          <t>We have received verbal requests from casual employees but do not maintain written records of these requests and our responses.</t>
        </is>
      </c>
      <c r="J24" s="31" t="n">
        <v>5</v>
      </c>
      <c r="K24" s="8" t="n"/>
      <c r="L24" s="8" t="n"/>
      <c r="M24" s="8" t="n"/>
    </row>
    <row r="25" ht="42" customHeight="1">
      <c r="A25" s="10" t="inlineStr">
        <is>
          <t>Q08</t>
        </is>
      </c>
      <c r="B25" s="32" t="n">
        <v>261777</v>
      </c>
      <c r="C25" s="32" t="n">
        <v>223941</v>
      </c>
      <c r="D25" s="10" t="inlineStr">
        <is>
          <t>option</t>
        </is>
      </c>
      <c r="E25" s="10" t="inlineStr">
        <is>
          <t>No</t>
        </is>
      </c>
      <c r="F25" s="10" t="inlineStr">
        <is>
          <t>Pay &amp; Entitlements</t>
        </is>
      </c>
      <c r="G25" s="10" t="inlineStr">
        <is>
          <t>Pay &amp; Entitlements</t>
        </is>
      </c>
      <c r="H25" s="10" t="inlineStr">
        <is>
          <t>Are you aware of your obligations regarding casual employees' rights to request permanent employment (casual conversion) under the new legislation?</t>
        </is>
      </c>
      <c r="I25" s="10" t="inlineStr">
        <is>
          <t>We acknowledge and respond to eligible casual employees' requests for permanent employment in writing, in line with the new legal requirements.</t>
        </is>
      </c>
      <c r="J25" s="32" t="n">
        <v>10</v>
      </c>
      <c r="K25" s="10" t="n"/>
      <c r="L25" s="10" t="n"/>
      <c r="M25" s="10" t="n"/>
    </row>
    <row r="26" ht="70" customHeight="1">
      <c r="A26" s="8" t="inlineStr">
        <is>
          <t>Q09</t>
        </is>
      </c>
      <c r="B26" s="31" t="n">
        <v>261779</v>
      </c>
      <c r="C26" s="31" t="n">
        <v>223942</v>
      </c>
      <c r="D26" s="8" t="inlineStr">
        <is>
          <t>option</t>
        </is>
      </c>
      <c r="E26" s="8" t="inlineStr">
        <is>
          <t>Yes</t>
        </is>
      </c>
      <c r="F26" s="8" t="inlineStr">
        <is>
          <t>Pay &amp; Entitlements</t>
        </is>
      </c>
      <c r="G26" s="8" t="inlineStr">
        <is>
          <t>Recruitment &amp; Talent</t>
        </is>
      </c>
      <c r="H26" s="8"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6" s="8" t="inlineStr">
        <is>
          <t>We do not have Position Descriptions</t>
        </is>
      </c>
      <c r="J26" s="31" t="n">
        <v>0</v>
      </c>
      <c r="K26" s="8" t="n"/>
      <c r="L26" s="8" t="n"/>
      <c r="M26" s="8" t="inlineStr">
        <is>
          <t>Option already assigns to this category in Agolix</t>
        </is>
      </c>
    </row>
    <row r="27" ht="70" customHeight="1">
      <c r="A27" s="10" t="inlineStr">
        <is>
          <t>Q09</t>
        </is>
      </c>
      <c r="B27" s="32" t="n">
        <v>261779</v>
      </c>
      <c r="C27" s="32" t="n">
        <v>223943</v>
      </c>
      <c r="D27" s="10" t="inlineStr">
        <is>
          <t>option</t>
        </is>
      </c>
      <c r="E27" s="10" t="inlineStr">
        <is>
          <t>Yes</t>
        </is>
      </c>
      <c r="F27" s="10" t="inlineStr">
        <is>
          <t>Pay &amp; Entitlements</t>
        </is>
      </c>
      <c r="G27" s="10" t="inlineStr">
        <is>
          <t>Recruitment &amp; Talent</t>
        </is>
      </c>
      <c r="H27" s="10"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7" s="10" t="inlineStr">
        <is>
          <t>Only some staff have Position Descriptions, or the ones in place are not comprehensive</t>
        </is>
      </c>
      <c r="J27" s="32" t="n">
        <v>1</v>
      </c>
      <c r="K27" s="10" t="n"/>
      <c r="L27" s="10" t="n"/>
      <c r="M27" s="10" t="inlineStr">
        <is>
          <t>Option already assigns to this category in Agolix</t>
        </is>
      </c>
    </row>
    <row r="28" ht="70" customHeight="1">
      <c r="A28" s="8" t="inlineStr">
        <is>
          <t>Q09</t>
        </is>
      </c>
      <c r="B28" s="31" t="n">
        <v>261779</v>
      </c>
      <c r="C28" s="31" t="n">
        <v>223944</v>
      </c>
      <c r="D28" s="8" t="inlineStr">
        <is>
          <t>option</t>
        </is>
      </c>
      <c r="E28" s="8" t="inlineStr">
        <is>
          <t>Yes</t>
        </is>
      </c>
      <c r="F28" s="8" t="inlineStr">
        <is>
          <t>Pay &amp; Entitlements</t>
        </is>
      </c>
      <c r="G28" s="8" t="inlineStr">
        <is>
          <t>Recruitment &amp; Talent</t>
        </is>
      </c>
      <c r="H28" s="8"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8" s="8" t="inlineStr">
        <is>
          <t>Position Descriptions are regularly reviewed to be sure they accurately reflect role requirements</t>
        </is>
      </c>
      <c r="J28" s="31" t="n">
        <v>2</v>
      </c>
      <c r="K28" s="8" t="n"/>
      <c r="L28" s="8" t="n"/>
      <c r="M28" s="8" t="inlineStr">
        <is>
          <t>Option already assigns to this category in Agolix</t>
        </is>
      </c>
    </row>
    <row r="29" ht="70" customHeight="1">
      <c r="A29" s="10" t="inlineStr">
        <is>
          <t>Q09</t>
        </is>
      </c>
      <c r="B29" s="32" t="n">
        <v>261779</v>
      </c>
      <c r="C29" s="32" t="n">
        <v>223945</v>
      </c>
      <c r="D29" s="10" t="inlineStr">
        <is>
          <t>option</t>
        </is>
      </c>
      <c r="E29" s="10" t="inlineStr">
        <is>
          <t>Yes</t>
        </is>
      </c>
      <c r="F29" s="10" t="inlineStr">
        <is>
          <t>Pay &amp; Entitlements</t>
        </is>
      </c>
      <c r="G29" s="10" t="inlineStr">
        <is>
          <t>Recruitment &amp; Talent</t>
        </is>
      </c>
      <c r="H29" s="10"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29" s="10" t="inlineStr">
        <is>
          <t>Position Descriptions are aligned with the relevant Award classifications</t>
        </is>
      </c>
      <c r="J29" s="32" t="n">
        <v>4</v>
      </c>
      <c r="K29" s="10" t="n"/>
      <c r="L29" s="10" t="n"/>
      <c r="M29" s="10" t="inlineStr">
        <is>
          <t>Option already assigns to this category in Agolix</t>
        </is>
      </c>
    </row>
    <row r="30" ht="70" customHeight="1">
      <c r="A30" s="8" t="inlineStr">
        <is>
          <t>Q09</t>
        </is>
      </c>
      <c r="B30" s="31" t="n">
        <v>261779</v>
      </c>
      <c r="C30" s="31" t="n">
        <v>223946</v>
      </c>
      <c r="D30" s="8" t="inlineStr">
        <is>
          <t>option</t>
        </is>
      </c>
      <c r="E30" s="8" t="inlineStr">
        <is>
          <t>Yes</t>
        </is>
      </c>
      <c r="F30" s="8" t="inlineStr">
        <is>
          <t>Pay &amp; Entitlements</t>
        </is>
      </c>
      <c r="G30" s="8" t="inlineStr">
        <is>
          <t>Recruitment &amp; Talent</t>
        </is>
      </c>
      <c r="H30" s="8"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30" s="8" t="inlineStr">
        <is>
          <t>Position Descriptions are written based on business requirements, rather than on the incumbent</t>
        </is>
      </c>
      <c r="J30" s="31" t="n">
        <v>2</v>
      </c>
      <c r="K30" s="8" t="n"/>
      <c r="L30" s="8" t="n"/>
      <c r="M30" s="8" t="inlineStr">
        <is>
          <t>Option already assigns to this category in Agolix</t>
        </is>
      </c>
    </row>
    <row r="31" ht="70" customHeight="1">
      <c r="A31" s="10" t="inlineStr">
        <is>
          <t>Q09</t>
        </is>
      </c>
      <c r="B31" s="32" t="n">
        <v>261779</v>
      </c>
      <c r="C31" s="32" t="n">
        <v>223947</v>
      </c>
      <c r="D31" s="10" t="inlineStr">
        <is>
          <t>option</t>
        </is>
      </c>
      <c r="E31" s="10" t="inlineStr">
        <is>
          <t>Yes</t>
        </is>
      </c>
      <c r="F31" s="10" t="inlineStr">
        <is>
          <t>Pay &amp; Entitlements</t>
        </is>
      </c>
      <c r="G31" s="10" t="inlineStr">
        <is>
          <t>Recruitment &amp; Talent</t>
        </is>
      </c>
      <c r="H31" s="10" t="inlineStr">
        <is>
          <t>Position Descriptions provide an overview of roles, including duties, inherent requirements, responsibilities, reporting lines, and often key performance indicators. Position Descriptions can also assist in performance management activities. From the below, choose all that apply.</t>
        </is>
      </c>
      <c r="I31" s="10" t="inlineStr">
        <is>
          <t>Position Descriptions contain no more than six role related responsibilities</t>
        </is>
      </c>
      <c r="J31" s="32" t="n">
        <v>2</v>
      </c>
      <c r="K31" s="10" t="n"/>
      <c r="L31" s="10" t="n"/>
      <c r="M31" s="10" t="inlineStr">
        <is>
          <t>Option already assigns to this category in Agolix</t>
        </is>
      </c>
    </row>
    <row r="32" ht="42" customHeight="1">
      <c r="A32" s="8" t="inlineStr">
        <is>
          <t>Q10</t>
        </is>
      </c>
      <c r="B32" s="31" t="n">
        <v>261780</v>
      </c>
      <c r="C32" s="8" t="n"/>
      <c r="D32" s="8" t="inlineStr">
        <is>
          <t>binary</t>
        </is>
      </c>
      <c r="E32" s="8" t="inlineStr">
        <is>
          <t>No</t>
        </is>
      </c>
      <c r="F32" s="8" t="inlineStr">
        <is>
          <t>Recruitment &amp; Talent</t>
        </is>
      </c>
      <c r="G32" s="8" t="inlineStr">
        <is>
          <t>Recruitment &amp; Talent</t>
        </is>
      </c>
      <c r="H32" s="8" t="inlineStr">
        <is>
          <t>Are you comfortable that your job advertisements appropriately reflect role requirements, and relate directly to the Position Description?</t>
        </is>
      </c>
      <c r="I32" s="8" t="inlineStr">
        <is>
          <t>Yes</t>
        </is>
      </c>
      <c r="J32" s="31" t="n">
        <v>2</v>
      </c>
      <c r="K32" s="8" t="inlineStr">
        <is>
          <t>Yes</t>
        </is>
      </c>
      <c r="L32" s="8" t="inlineStr">
        <is>
          <t>No</t>
        </is>
      </c>
      <c r="M32" s="8" t="inlineStr">
        <is>
          <t>Binary Yes points (No is usually 0 :  add a No row if you want different)</t>
        </is>
      </c>
    </row>
    <row r="33" ht="42" customHeight="1">
      <c r="A33" s="10" t="inlineStr">
        <is>
          <t>Q10</t>
        </is>
      </c>
      <c r="B33" s="32" t="n">
        <v>261780</v>
      </c>
      <c r="C33" s="10" t="n"/>
      <c r="D33" s="10" t="inlineStr">
        <is>
          <t>binary</t>
        </is>
      </c>
      <c r="E33" s="10" t="inlineStr">
        <is>
          <t>No</t>
        </is>
      </c>
      <c r="F33" s="10" t="inlineStr">
        <is>
          <t>Recruitment &amp; Talent</t>
        </is>
      </c>
      <c r="G33" s="10" t="inlineStr">
        <is>
          <t>Recruitment &amp; Talent</t>
        </is>
      </c>
      <c r="H33" s="10" t="inlineStr">
        <is>
          <t>Are you comfortable that your job advertisements appropriately reflect role requirements, and relate directly to the Position Description?</t>
        </is>
      </c>
      <c r="I33" s="10" t="inlineStr">
        <is>
          <t>No</t>
        </is>
      </c>
      <c r="J33" s="32" t="n">
        <v>0</v>
      </c>
      <c r="K33" s="10" t="inlineStr">
        <is>
          <t>Yes</t>
        </is>
      </c>
      <c r="L33" s="10" t="inlineStr">
        <is>
          <t>No</t>
        </is>
      </c>
      <c r="M33" s="10" t="n"/>
    </row>
    <row r="34" ht="56" customHeight="1">
      <c r="A34" s="8" t="inlineStr">
        <is>
          <t>Q11</t>
        </is>
      </c>
      <c r="B34" s="31" t="n">
        <v>261781</v>
      </c>
      <c r="C34" s="8" t="n"/>
      <c r="D34" s="8" t="inlineStr">
        <is>
          <t>scale</t>
        </is>
      </c>
      <c r="E34" s="8" t="inlineStr">
        <is>
          <t>No</t>
        </is>
      </c>
      <c r="F34" s="8" t="inlineStr">
        <is>
          <t>Recruitment &amp; Talent</t>
        </is>
      </c>
      <c r="G34" s="8" t="inlineStr">
        <is>
          <t>Recruitment &amp; Talent</t>
        </is>
      </c>
      <c r="H34" s="8" t="inlineStr">
        <is>
          <t>How would you rate your organisation's recruitment and interview practices?</t>
        </is>
      </c>
      <c r="I34" s="8" t="inlineStr">
        <is>
          <t>Scale 1-10 (points = selected value)</t>
        </is>
      </c>
      <c r="J34" s="31" t="n">
        <v>10</v>
      </c>
      <c r="K34" s="8" t="inlineStr">
        <is>
          <t>This is not a strong point for our business</t>
        </is>
      </c>
      <c r="L34" s="8" t="inlineStr">
        <is>
          <t>We have consistent, fair and transparent processes, with high acceptance rates</t>
        </is>
      </c>
      <c r="M34" s="8" t="inlineStr">
        <is>
          <t>For scales, Points column = MAX points. Selected slider value = earned points.</t>
        </is>
      </c>
    </row>
    <row r="35" ht="84" customHeight="1">
      <c r="A35" s="10" t="inlineStr">
        <is>
          <t>Q12</t>
        </is>
      </c>
      <c r="B35" s="32" t="n">
        <v>261782</v>
      </c>
      <c r="C35" s="32" t="n">
        <v>223948</v>
      </c>
      <c r="D35" s="10" t="inlineStr">
        <is>
          <t>option</t>
        </is>
      </c>
      <c r="E35" s="10" t="inlineStr">
        <is>
          <t>Yes</t>
        </is>
      </c>
      <c r="F35" s="10" t="inlineStr">
        <is>
          <t>Pay &amp; Entitlements</t>
        </is>
      </c>
      <c r="G35" s="10" t="inlineStr">
        <is>
          <t>Recruitment &amp; Talent</t>
        </is>
      </c>
      <c r="H35" s="10"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5" s="10" t="inlineStr">
        <is>
          <t>All applicants are asked the same questions</t>
        </is>
      </c>
      <c r="J35" s="32" t="n">
        <v>2</v>
      </c>
      <c r="K35" s="10" t="n"/>
      <c r="L35" s="10" t="n"/>
      <c r="M35" s="10" t="inlineStr">
        <is>
          <t>Option already assigns to this category in Agolix</t>
        </is>
      </c>
    </row>
    <row r="36" ht="84" customHeight="1">
      <c r="A36" s="8" t="inlineStr">
        <is>
          <t>Q12</t>
        </is>
      </c>
      <c r="B36" s="31" t="n">
        <v>261782</v>
      </c>
      <c r="C36" s="31" t="n">
        <v>223949</v>
      </c>
      <c r="D36" s="8" t="inlineStr">
        <is>
          <t>option</t>
        </is>
      </c>
      <c r="E36" s="8" t="inlineStr">
        <is>
          <t>Yes</t>
        </is>
      </c>
      <c r="F36" s="8" t="inlineStr">
        <is>
          <t>Pay &amp; Entitlements</t>
        </is>
      </c>
      <c r="G36" s="8" t="inlineStr">
        <is>
          <t>Recruitment &amp; Talent</t>
        </is>
      </c>
      <c r="H36" s="8"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6" s="8" t="inlineStr">
        <is>
          <t>Questions are behaviour based, and related directly to the role requirements</t>
        </is>
      </c>
      <c r="J36" s="31" t="n">
        <v>2</v>
      </c>
      <c r="K36" s="8" t="n"/>
      <c r="L36" s="8" t="n"/>
      <c r="M36" s="8" t="inlineStr">
        <is>
          <t>Option already assigns to this category in Agolix</t>
        </is>
      </c>
    </row>
    <row r="37" ht="84" customHeight="1">
      <c r="A37" s="10" t="inlineStr">
        <is>
          <t>Q12</t>
        </is>
      </c>
      <c r="B37" s="32" t="n">
        <v>261782</v>
      </c>
      <c r="C37" s="32" t="n">
        <v>223950</v>
      </c>
      <c r="D37" s="10" t="inlineStr">
        <is>
          <t>option</t>
        </is>
      </c>
      <c r="E37" s="10" t="inlineStr">
        <is>
          <t>Yes</t>
        </is>
      </c>
      <c r="F37" s="10" t="inlineStr">
        <is>
          <t>Pay &amp; Entitlements</t>
        </is>
      </c>
      <c r="G37" s="10" t="inlineStr">
        <is>
          <t>Recruitment &amp; Talent</t>
        </is>
      </c>
      <c r="H37" s="10"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7" s="10" t="inlineStr">
        <is>
          <t>Applicants are assessed against the essential qualifications, skills, experience and attributes</t>
        </is>
      </c>
      <c r="J37" s="32" t="n">
        <v>2</v>
      </c>
      <c r="K37" s="10" t="n"/>
      <c r="L37" s="10" t="n"/>
      <c r="M37" s="10" t="inlineStr">
        <is>
          <t>Option already assigns to this category in Agolix</t>
        </is>
      </c>
    </row>
    <row r="38" ht="84" customHeight="1">
      <c r="A38" s="8" t="inlineStr">
        <is>
          <t>Q12</t>
        </is>
      </c>
      <c r="B38" s="31" t="n">
        <v>261782</v>
      </c>
      <c r="C38" s="31" t="n">
        <v>223951</v>
      </c>
      <c r="D38" s="8" t="inlineStr">
        <is>
          <t>option</t>
        </is>
      </c>
      <c r="E38" s="8" t="inlineStr">
        <is>
          <t>Yes</t>
        </is>
      </c>
      <c r="F38" s="8" t="inlineStr">
        <is>
          <t>Pay &amp; Entitlements</t>
        </is>
      </c>
      <c r="G38" s="8" t="inlineStr">
        <is>
          <t>Recruitment &amp; Talent</t>
        </is>
      </c>
      <c r="H38" s="8"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8" s="8" t="inlineStr">
        <is>
          <t>Unsuccessful applicants that were not interviewed receive an email response thanking them for their application</t>
        </is>
      </c>
      <c r="J38" s="31" t="n">
        <v>2</v>
      </c>
      <c r="K38" s="8" t="n"/>
      <c r="L38" s="8" t="n"/>
      <c r="M38" s="8" t="inlineStr">
        <is>
          <t>Option already assigns to this category in Agolix</t>
        </is>
      </c>
    </row>
    <row r="39" ht="84" customHeight="1">
      <c r="A39" s="10" t="inlineStr">
        <is>
          <t>Q12</t>
        </is>
      </c>
      <c r="B39" s="32" t="n">
        <v>261782</v>
      </c>
      <c r="C39" s="32" t="n">
        <v>223952</v>
      </c>
      <c r="D39" s="10" t="inlineStr">
        <is>
          <t>option</t>
        </is>
      </c>
      <c r="E39" s="10" t="inlineStr">
        <is>
          <t>Yes</t>
        </is>
      </c>
      <c r="F39" s="10" t="inlineStr">
        <is>
          <t>Pay &amp; Entitlements</t>
        </is>
      </c>
      <c r="G39" s="10" t="inlineStr">
        <is>
          <t>Recruitment &amp; Talent</t>
        </is>
      </c>
      <c r="H39" s="10"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39" s="10" t="inlineStr">
        <is>
          <t>Unsuccessful shortlisted applicants who were interviewed receive a phone call</t>
        </is>
      </c>
      <c r="J39" s="32" t="n">
        <v>2</v>
      </c>
      <c r="K39" s="10" t="n"/>
      <c r="L39" s="10" t="n"/>
      <c r="M39" s="10" t="inlineStr">
        <is>
          <t>Option already assigns to this category in Agolix</t>
        </is>
      </c>
    </row>
    <row r="40" ht="84" customHeight="1">
      <c r="A40" s="8" t="inlineStr">
        <is>
          <t>Q12</t>
        </is>
      </c>
      <c r="B40" s="31" t="n">
        <v>261782</v>
      </c>
      <c r="C40" s="31" t="n">
        <v>223953</v>
      </c>
      <c r="D40" s="8" t="inlineStr">
        <is>
          <t>option</t>
        </is>
      </c>
      <c r="E40" s="8" t="inlineStr">
        <is>
          <t>Yes</t>
        </is>
      </c>
      <c r="F40" s="8" t="inlineStr">
        <is>
          <t>Pay &amp; Entitlements</t>
        </is>
      </c>
      <c r="G40" s="8" t="inlineStr">
        <is>
          <t>Recruitment &amp; Talent</t>
        </is>
      </c>
      <c r="H40" s="8"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40" s="8" t="inlineStr">
        <is>
          <t>We are aware of what questions should and should not be asked at interview</t>
        </is>
      </c>
      <c r="J40" s="31" t="n">
        <v>2</v>
      </c>
      <c r="K40" s="8" t="n"/>
      <c r="L40" s="8" t="n"/>
      <c r="M40" s="8" t="inlineStr">
        <is>
          <t>Option already assigns to this category in Agolix</t>
        </is>
      </c>
    </row>
    <row r="41" ht="84" customHeight="1">
      <c r="A41" s="10" t="inlineStr">
        <is>
          <t>Q12</t>
        </is>
      </c>
      <c r="B41" s="32" t="n">
        <v>261782</v>
      </c>
      <c r="C41" s="32" t="n">
        <v>223954</v>
      </c>
      <c r="D41" s="10" t="inlineStr">
        <is>
          <t>option</t>
        </is>
      </c>
      <c r="E41" s="10" t="inlineStr">
        <is>
          <t>Yes</t>
        </is>
      </c>
      <c r="F41" s="10" t="inlineStr">
        <is>
          <t>Pay &amp; Entitlements</t>
        </is>
      </c>
      <c r="G41" s="10" t="inlineStr">
        <is>
          <t>Recruitment &amp; Talent</t>
        </is>
      </c>
      <c r="H41" s="10"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41" s="10" t="inlineStr">
        <is>
          <t>When contacting referees, permission is sought regarding applicant access to their feedback</t>
        </is>
      </c>
      <c r="J41" s="32" t="n">
        <v>2</v>
      </c>
      <c r="K41" s="10" t="n"/>
      <c r="L41" s="10" t="n"/>
      <c r="M41" s="10" t="inlineStr">
        <is>
          <t>Option already assigns to this category in Agolix</t>
        </is>
      </c>
    </row>
    <row r="42" ht="84" customHeight="1">
      <c r="A42" s="8" t="inlineStr">
        <is>
          <t>Q12</t>
        </is>
      </c>
      <c r="B42" s="31" t="n">
        <v>261782</v>
      </c>
      <c r="C42" s="31" t="n">
        <v>223955</v>
      </c>
      <c r="D42" s="8" t="inlineStr">
        <is>
          <t>option</t>
        </is>
      </c>
      <c r="E42" s="8" t="inlineStr">
        <is>
          <t>Yes</t>
        </is>
      </c>
      <c r="F42" s="8" t="inlineStr">
        <is>
          <t>Pay &amp; Entitlements</t>
        </is>
      </c>
      <c r="G42" s="8" t="inlineStr">
        <is>
          <t>Recruitment &amp; Talent</t>
        </is>
      </c>
      <c r="H42" s="8" t="inlineStr">
        <is>
          <t>Interviews are an opportunity for both the business and candidate to see if they are a good fit together. It's important to remember that during an interview, you are also selling your business to candidates, and that compliance measures are important for transparency, performance management and freedom of information (FOI) purposes. Select all options from the below that apply to your interview process.</t>
        </is>
      </c>
      <c r="I42" s="8" t="inlineStr">
        <is>
          <t>Documentation is collected from all interviewers and kept on file after any interview process</t>
        </is>
      </c>
      <c r="J42" s="31" t="n">
        <v>2</v>
      </c>
      <c r="K42" s="8" t="n"/>
      <c r="L42" s="8" t="n"/>
      <c r="M42" s="8" t="inlineStr">
        <is>
          <t>Option already assigns to this category in Agolix</t>
        </is>
      </c>
    </row>
    <row r="43" ht="42" customHeight="1">
      <c r="A43" s="10" t="inlineStr">
        <is>
          <t>Q13</t>
        </is>
      </c>
      <c r="B43" s="32" t="n">
        <v>261783</v>
      </c>
      <c r="C43" s="10" t="n"/>
      <c r="D43" s="10" t="inlineStr">
        <is>
          <t>binary</t>
        </is>
      </c>
      <c r="E43" s="10" t="inlineStr">
        <is>
          <t>No</t>
        </is>
      </c>
      <c r="F43" s="10" t="inlineStr">
        <is>
          <t>Employment Contracts</t>
        </is>
      </c>
      <c r="G43" s="10" t="inlineStr">
        <is>
          <t>Employment Contracts</t>
        </is>
      </c>
      <c r="H43" s="10" t="inlineStr">
        <is>
          <t>Are all staff issued with an Employment Agreement / Contract?</t>
        </is>
      </c>
      <c r="I43" s="10" t="inlineStr">
        <is>
          <t>Yes</t>
        </is>
      </c>
      <c r="J43" s="32" t="n">
        <v>5</v>
      </c>
      <c r="K43" s="10" t="inlineStr">
        <is>
          <t>Yes</t>
        </is>
      </c>
      <c r="L43" s="10" t="inlineStr">
        <is>
          <t>No</t>
        </is>
      </c>
      <c r="M43" s="10" t="inlineStr">
        <is>
          <t>Binary Yes points (No is usually 0 :  add a No row if you want different)</t>
        </is>
      </c>
    </row>
    <row r="44" ht="34" customHeight="1">
      <c r="A44" s="8" t="inlineStr">
        <is>
          <t>Q13</t>
        </is>
      </c>
      <c r="B44" s="31" t="n">
        <v>261783</v>
      </c>
      <c r="C44" s="8" t="n"/>
      <c r="D44" s="8" t="inlineStr">
        <is>
          <t>binary</t>
        </is>
      </c>
      <c r="E44" s="8" t="inlineStr">
        <is>
          <t>No</t>
        </is>
      </c>
      <c r="F44" s="8" t="inlineStr">
        <is>
          <t>Employment Contracts</t>
        </is>
      </c>
      <c r="G44" s="8" t="inlineStr">
        <is>
          <t>Employment Contracts</t>
        </is>
      </c>
      <c r="H44" s="8" t="inlineStr">
        <is>
          <t>Are all staff issued with an Employment Agreement / Contract?</t>
        </is>
      </c>
      <c r="I44" s="8" t="inlineStr">
        <is>
          <t>No</t>
        </is>
      </c>
      <c r="J44" s="31" t="n">
        <v>0</v>
      </c>
      <c r="K44" s="8" t="inlineStr">
        <is>
          <t>Yes</t>
        </is>
      </c>
      <c r="L44" s="8" t="inlineStr">
        <is>
          <t>No</t>
        </is>
      </c>
      <c r="M44" s="8" t="n"/>
    </row>
    <row r="45" ht="42" customHeight="1">
      <c r="A45" s="10" t="inlineStr">
        <is>
          <t>Q14</t>
        </is>
      </c>
      <c r="B45" s="32" t="n">
        <v>261784</v>
      </c>
      <c r="C45" s="32" t="n">
        <v>223956</v>
      </c>
      <c r="D45" s="10" t="inlineStr">
        <is>
          <t>option</t>
        </is>
      </c>
      <c r="E45" s="10" t="inlineStr">
        <is>
          <t>Yes</t>
        </is>
      </c>
      <c r="F45" s="10" t="inlineStr">
        <is>
          <t>Pay &amp; Entitlements</t>
        </is>
      </c>
      <c r="G45" s="10" t="inlineStr">
        <is>
          <t>Employment Contracts</t>
        </is>
      </c>
      <c r="H45" s="10" t="inlineStr">
        <is>
          <t>Do your Employment Agreements contain any or all of the below (please check all that apply):</t>
        </is>
      </c>
      <c r="I45" s="10" t="inlineStr">
        <is>
          <t>Relevant Modern Award and classification (where applicable)</t>
        </is>
      </c>
      <c r="J45" s="32" t="n">
        <v>2</v>
      </c>
      <c r="K45" s="10" t="n"/>
      <c r="L45" s="10" t="n"/>
      <c r="M45" s="10" t="inlineStr">
        <is>
          <t>Option already assigns to this category in Agolix</t>
        </is>
      </c>
    </row>
    <row r="46" ht="42" customHeight="1">
      <c r="A46" s="8" t="inlineStr">
        <is>
          <t>Q14</t>
        </is>
      </c>
      <c r="B46" s="31" t="n">
        <v>261784</v>
      </c>
      <c r="C46" s="31" t="n">
        <v>223957</v>
      </c>
      <c r="D46" s="8" t="inlineStr">
        <is>
          <t>option</t>
        </is>
      </c>
      <c r="E46" s="8" t="inlineStr">
        <is>
          <t>Yes</t>
        </is>
      </c>
      <c r="F46" s="8" t="inlineStr">
        <is>
          <t>Pay &amp; Entitlements</t>
        </is>
      </c>
      <c r="G46" s="8" t="inlineStr">
        <is>
          <t>Employment Contracts</t>
        </is>
      </c>
      <c r="H46" s="8" t="inlineStr">
        <is>
          <t>Do your Employment Agreements contain any or all of the below (please check all that apply):</t>
        </is>
      </c>
      <c r="I46" s="8" t="inlineStr">
        <is>
          <t>Hours of work</t>
        </is>
      </c>
      <c r="J46" s="31" t="n">
        <v>2</v>
      </c>
      <c r="K46" s="8" t="n"/>
      <c r="L46" s="8" t="n"/>
      <c r="M46" s="8" t="inlineStr">
        <is>
          <t>Option already assigns to this category in Agolix</t>
        </is>
      </c>
    </row>
    <row r="47" ht="42" customHeight="1">
      <c r="A47" s="10" t="inlineStr">
        <is>
          <t>Q14</t>
        </is>
      </c>
      <c r="B47" s="32" t="n">
        <v>261784</v>
      </c>
      <c r="C47" s="32" t="n">
        <v>223958</v>
      </c>
      <c r="D47" s="10" t="inlineStr">
        <is>
          <t>option</t>
        </is>
      </c>
      <c r="E47" s="10" t="inlineStr">
        <is>
          <t>Yes</t>
        </is>
      </c>
      <c r="F47" s="10" t="inlineStr">
        <is>
          <t>Pay &amp; Entitlements</t>
        </is>
      </c>
      <c r="G47" s="10" t="inlineStr">
        <is>
          <t>Employment Contracts</t>
        </is>
      </c>
      <c r="H47" s="10" t="inlineStr">
        <is>
          <t>Do your Employment Agreements contain any or all of the below (please check all that apply):</t>
        </is>
      </c>
      <c r="I47" s="10" t="inlineStr">
        <is>
          <t>Wages / Salary, inclusions and an expectation of reasonable overtime</t>
        </is>
      </c>
      <c r="J47" s="32" t="n">
        <v>2</v>
      </c>
      <c r="K47" s="10" t="n"/>
      <c r="L47" s="10" t="n"/>
      <c r="M47" s="10" t="inlineStr">
        <is>
          <t>Option already assigns to this category in Agolix</t>
        </is>
      </c>
    </row>
    <row r="48" ht="42" customHeight="1">
      <c r="A48" s="8" t="inlineStr">
        <is>
          <t>Q14</t>
        </is>
      </c>
      <c r="B48" s="31" t="n">
        <v>261784</v>
      </c>
      <c r="C48" s="31" t="n">
        <v>223959</v>
      </c>
      <c r="D48" s="8" t="inlineStr">
        <is>
          <t>option</t>
        </is>
      </c>
      <c r="E48" s="8" t="inlineStr">
        <is>
          <t>Yes</t>
        </is>
      </c>
      <c r="F48" s="8" t="inlineStr">
        <is>
          <t>Pay &amp; Entitlements</t>
        </is>
      </c>
      <c r="G48" s="8" t="inlineStr">
        <is>
          <t>Employment Contracts</t>
        </is>
      </c>
      <c r="H48" s="8" t="inlineStr">
        <is>
          <t>Do your Employment Agreements contain any or all of the below (please check all that apply):</t>
        </is>
      </c>
      <c r="I48" s="8" t="inlineStr">
        <is>
          <t>Acceptable behaviour standards</t>
        </is>
      </c>
      <c r="J48" s="31" t="n">
        <v>2</v>
      </c>
      <c r="K48" s="8" t="n"/>
      <c r="L48" s="8" t="n"/>
      <c r="M48" s="8" t="inlineStr">
        <is>
          <t>Option already assigns to this category in Agolix</t>
        </is>
      </c>
    </row>
    <row r="49" ht="42" customHeight="1">
      <c r="A49" s="10" t="inlineStr">
        <is>
          <t>Q14</t>
        </is>
      </c>
      <c r="B49" s="32" t="n">
        <v>261784</v>
      </c>
      <c r="C49" s="32" t="n">
        <v>223960</v>
      </c>
      <c r="D49" s="10" t="inlineStr">
        <is>
          <t>option</t>
        </is>
      </c>
      <c r="E49" s="10" t="inlineStr">
        <is>
          <t>Yes</t>
        </is>
      </c>
      <c r="F49" s="10" t="inlineStr">
        <is>
          <t>Pay &amp; Entitlements</t>
        </is>
      </c>
      <c r="G49" s="10" t="inlineStr">
        <is>
          <t>Employment Contracts</t>
        </is>
      </c>
      <c r="H49" s="10" t="inlineStr">
        <is>
          <t>Do your Employment Agreements contain any or all of the below (please check all that apply):</t>
        </is>
      </c>
      <c r="I49" s="10" t="inlineStr">
        <is>
          <t>Probationary period</t>
        </is>
      </c>
      <c r="J49" s="32" t="n">
        <v>2</v>
      </c>
      <c r="K49" s="10" t="n"/>
      <c r="L49" s="10" t="n"/>
      <c r="M49" s="10" t="inlineStr">
        <is>
          <t>Option already assigns to this category in Agolix</t>
        </is>
      </c>
    </row>
    <row r="50" ht="42" customHeight="1">
      <c r="A50" s="8" t="inlineStr">
        <is>
          <t>Q14</t>
        </is>
      </c>
      <c r="B50" s="31" t="n">
        <v>261784</v>
      </c>
      <c r="C50" s="31" t="n">
        <v>223961</v>
      </c>
      <c r="D50" s="8" t="inlineStr">
        <is>
          <t>option</t>
        </is>
      </c>
      <c r="E50" s="8" t="inlineStr">
        <is>
          <t>Yes</t>
        </is>
      </c>
      <c r="F50" s="8" t="inlineStr">
        <is>
          <t>Pay &amp; Entitlements</t>
        </is>
      </c>
      <c r="G50" s="8" t="inlineStr">
        <is>
          <t>Employment Contracts</t>
        </is>
      </c>
      <c r="H50" s="8" t="inlineStr">
        <is>
          <t>Do your Employment Agreements contain any or all of the below (please check all that apply):</t>
        </is>
      </c>
      <c r="I50" s="8" t="inlineStr">
        <is>
          <t>License / registration requirements (blue cards, drivers' license etc.)</t>
        </is>
      </c>
      <c r="J50" s="31" t="n">
        <v>2</v>
      </c>
      <c r="K50" s="8" t="n"/>
      <c r="L50" s="8" t="n"/>
      <c r="M50" s="8" t="inlineStr">
        <is>
          <t>Option already assigns to this category in Agolix</t>
        </is>
      </c>
    </row>
    <row r="51" ht="42" customHeight="1">
      <c r="A51" s="10" t="inlineStr">
        <is>
          <t>Q14</t>
        </is>
      </c>
      <c r="B51" s="32" t="n">
        <v>261784</v>
      </c>
      <c r="C51" s="32" t="n">
        <v>223962</v>
      </c>
      <c r="D51" s="10" t="inlineStr">
        <is>
          <t>option</t>
        </is>
      </c>
      <c r="E51" s="10" t="inlineStr">
        <is>
          <t>Yes</t>
        </is>
      </c>
      <c r="F51" s="10" t="inlineStr">
        <is>
          <t>Pay &amp; Entitlements</t>
        </is>
      </c>
      <c r="G51" s="10" t="inlineStr">
        <is>
          <t>Employment Contracts</t>
        </is>
      </c>
      <c r="H51" s="10" t="inlineStr">
        <is>
          <t>Do your Employment Agreements contain any or all of the below (please check all that apply):</t>
        </is>
      </c>
      <c r="I51" s="10" t="inlineStr">
        <is>
          <t>Leave entitlements</t>
        </is>
      </c>
      <c r="J51" s="32" t="n">
        <v>2</v>
      </c>
      <c r="K51" s="10" t="n"/>
      <c r="L51" s="10" t="n"/>
      <c r="M51" s="10" t="inlineStr">
        <is>
          <t>Option already assigns to this category in Agolix</t>
        </is>
      </c>
    </row>
    <row r="52" ht="42" customHeight="1">
      <c r="A52" s="8" t="inlineStr">
        <is>
          <t>Q14</t>
        </is>
      </c>
      <c r="B52" s="31" t="n">
        <v>261784</v>
      </c>
      <c r="C52" s="31" t="n">
        <v>223963</v>
      </c>
      <c r="D52" s="8" t="inlineStr">
        <is>
          <t>option</t>
        </is>
      </c>
      <c r="E52" s="8" t="inlineStr">
        <is>
          <t>Yes</t>
        </is>
      </c>
      <c r="F52" s="8" t="inlineStr">
        <is>
          <t>Pay &amp; Entitlements</t>
        </is>
      </c>
      <c r="G52" s="8" t="inlineStr">
        <is>
          <t>Employment Contracts</t>
        </is>
      </c>
      <c r="H52" s="8" t="inlineStr">
        <is>
          <t>Do your Employment Agreements contain any or all of the below (please check all that apply):</t>
        </is>
      </c>
      <c r="I52" s="8" t="inlineStr">
        <is>
          <t>Notice periods for employee and employer (following NES where required)</t>
        </is>
      </c>
      <c r="J52" s="31" t="n">
        <v>2</v>
      </c>
      <c r="K52" s="8" t="n"/>
      <c r="L52" s="8" t="n"/>
      <c r="M52" s="8" t="inlineStr">
        <is>
          <t>Option already assigns to this category in Agolix</t>
        </is>
      </c>
    </row>
    <row r="53" ht="42" customHeight="1">
      <c r="A53" s="10" t="inlineStr">
        <is>
          <t>Q14</t>
        </is>
      </c>
      <c r="B53" s="32" t="n">
        <v>261784</v>
      </c>
      <c r="C53" s="32" t="n">
        <v>223964</v>
      </c>
      <c r="D53" s="10" t="inlineStr">
        <is>
          <t>option</t>
        </is>
      </c>
      <c r="E53" s="10" t="inlineStr">
        <is>
          <t>Yes</t>
        </is>
      </c>
      <c r="F53" s="10" t="inlineStr">
        <is>
          <t>Pay &amp; Entitlements</t>
        </is>
      </c>
      <c r="G53" s="10" t="inlineStr">
        <is>
          <t>Employment Contracts</t>
        </is>
      </c>
      <c r="H53" s="10" t="inlineStr">
        <is>
          <t>Do your Employment Agreements contain any or all of the below (please check all that apply):</t>
        </is>
      </c>
      <c r="I53" s="10" t="inlineStr">
        <is>
          <t>Redundancy</t>
        </is>
      </c>
      <c r="J53" s="32" t="n">
        <v>2</v>
      </c>
      <c r="K53" s="10" t="n"/>
      <c r="L53" s="10" t="n"/>
      <c r="M53" s="10" t="inlineStr">
        <is>
          <t>Option already assigns to this category in Agolix</t>
        </is>
      </c>
    </row>
    <row r="54" ht="42" customHeight="1">
      <c r="A54" s="8" t="inlineStr">
        <is>
          <t>Q14</t>
        </is>
      </c>
      <c r="B54" s="31" t="n">
        <v>261784</v>
      </c>
      <c r="C54" s="31" t="n">
        <v>223965</v>
      </c>
      <c r="D54" s="8" t="inlineStr">
        <is>
          <t>option</t>
        </is>
      </c>
      <c r="E54" s="8" t="inlineStr">
        <is>
          <t>Yes</t>
        </is>
      </c>
      <c r="F54" s="8" t="inlineStr">
        <is>
          <t>Pay &amp; Entitlements</t>
        </is>
      </c>
      <c r="G54" s="8" t="inlineStr">
        <is>
          <t>Employment Contracts</t>
        </is>
      </c>
      <c r="H54" s="8" t="inlineStr">
        <is>
          <t>Do your Employment Agreements contain any or all of the below (please check all that apply):</t>
        </is>
      </c>
      <c r="I54" s="8" t="inlineStr">
        <is>
          <t>Confidential Information</t>
        </is>
      </c>
      <c r="J54" s="31" t="n">
        <v>2</v>
      </c>
      <c r="K54" s="8" t="n"/>
      <c r="L54" s="8" t="n"/>
      <c r="M54" s="8" t="inlineStr">
        <is>
          <t>Option already assigns to this category in Agolix</t>
        </is>
      </c>
    </row>
    <row r="55" ht="42" customHeight="1">
      <c r="A55" s="10" t="inlineStr">
        <is>
          <t>Q14</t>
        </is>
      </c>
      <c r="B55" s="32" t="n">
        <v>261784</v>
      </c>
      <c r="C55" s="32" t="n">
        <v>223966</v>
      </c>
      <c r="D55" s="10" t="inlineStr">
        <is>
          <t>option</t>
        </is>
      </c>
      <c r="E55" s="10" t="inlineStr">
        <is>
          <t>Yes</t>
        </is>
      </c>
      <c r="F55" s="10" t="inlineStr">
        <is>
          <t>Pay &amp; Entitlements</t>
        </is>
      </c>
      <c r="G55" s="10" t="inlineStr">
        <is>
          <t>Employment Contracts</t>
        </is>
      </c>
      <c r="H55" s="10" t="inlineStr">
        <is>
          <t>Do your Employment Agreements contain any or all of the below (please check all that apply):</t>
        </is>
      </c>
      <c r="I55" s="10" t="inlineStr">
        <is>
          <t>Intellectual Property</t>
        </is>
      </c>
      <c r="J55" s="32" t="n">
        <v>2</v>
      </c>
      <c r="K55" s="10" t="n"/>
      <c r="L55" s="10" t="n"/>
      <c r="M55" s="10" t="inlineStr">
        <is>
          <t>Option already assigns to this category in Agolix</t>
        </is>
      </c>
    </row>
    <row r="56" ht="42" customHeight="1">
      <c r="A56" s="8" t="inlineStr">
        <is>
          <t>Q14</t>
        </is>
      </c>
      <c r="B56" s="31" t="n">
        <v>261784</v>
      </c>
      <c r="C56" s="31" t="n">
        <v>223967</v>
      </c>
      <c r="D56" s="8" t="inlineStr">
        <is>
          <t>option</t>
        </is>
      </c>
      <c r="E56" s="8" t="inlineStr">
        <is>
          <t>Yes</t>
        </is>
      </c>
      <c r="F56" s="8" t="inlineStr">
        <is>
          <t>Pay &amp; Entitlements</t>
        </is>
      </c>
      <c r="G56" s="8" t="inlineStr">
        <is>
          <t>Employment Contracts</t>
        </is>
      </c>
      <c r="H56" s="8" t="inlineStr">
        <is>
          <t>Do your Employment Agreements contain any or all of the below (please check all that apply):</t>
        </is>
      </c>
      <c r="I56" s="8" t="inlineStr">
        <is>
          <t>Post employment obligations</t>
        </is>
      </c>
      <c r="J56" s="31" t="n">
        <v>2</v>
      </c>
      <c r="K56" s="8" t="n"/>
      <c r="L56" s="8" t="n"/>
      <c r="M56" s="8" t="inlineStr">
        <is>
          <t>Option already assigns to this category in Agolix</t>
        </is>
      </c>
    </row>
    <row r="57" ht="42" customHeight="1">
      <c r="A57" s="10" t="inlineStr">
        <is>
          <t>Q15</t>
        </is>
      </c>
      <c r="B57" s="32" t="n">
        <v>261786</v>
      </c>
      <c r="C57" s="10" t="n"/>
      <c r="D57" s="10" t="inlineStr">
        <is>
          <t>binary</t>
        </is>
      </c>
      <c r="E57" s="10" t="inlineStr">
        <is>
          <t>No</t>
        </is>
      </c>
      <c r="F57" s="10" t="inlineStr">
        <is>
          <t>Pay &amp; Entitlements</t>
        </is>
      </c>
      <c r="G57" s="10" t="inlineStr">
        <is>
          <t>Pay &amp; Entitlements</t>
        </is>
      </c>
      <c r="H57" s="10" t="inlineStr">
        <is>
          <t>Do you issue the Fair Work Information Statement to new staff?</t>
        </is>
      </c>
      <c r="I57" s="10" t="inlineStr">
        <is>
          <t>Yes</t>
        </is>
      </c>
      <c r="J57" s="32" t="n">
        <v>3</v>
      </c>
      <c r="K57" s="10" t="inlineStr">
        <is>
          <t>Yes</t>
        </is>
      </c>
      <c r="L57" s="10" t="inlineStr">
        <is>
          <t>No</t>
        </is>
      </c>
      <c r="M57" s="10" t="inlineStr">
        <is>
          <t>Binary Yes points (No is usually 0 :  add a No row if you want different)</t>
        </is>
      </c>
    </row>
    <row r="58" ht="34" customHeight="1">
      <c r="A58" s="8" t="inlineStr">
        <is>
          <t>Q15</t>
        </is>
      </c>
      <c r="B58" s="31" t="n">
        <v>261786</v>
      </c>
      <c r="C58" s="8" t="n"/>
      <c r="D58" s="8" t="inlineStr">
        <is>
          <t>binary</t>
        </is>
      </c>
      <c r="E58" s="8" t="inlineStr">
        <is>
          <t>No</t>
        </is>
      </c>
      <c r="F58" s="8" t="inlineStr">
        <is>
          <t>Pay &amp; Entitlements</t>
        </is>
      </c>
      <c r="G58" s="8" t="inlineStr">
        <is>
          <t>Pay &amp; Entitlements</t>
        </is>
      </c>
      <c r="H58" s="8" t="inlineStr">
        <is>
          <t>Do you issue the Fair Work Information Statement to new staff?</t>
        </is>
      </c>
      <c r="I58" s="8" t="inlineStr">
        <is>
          <t>No</t>
        </is>
      </c>
      <c r="J58" s="31" t="n">
        <v>0</v>
      </c>
      <c r="K58" s="8" t="inlineStr">
        <is>
          <t>Yes</t>
        </is>
      </c>
      <c r="L58" s="8" t="inlineStr">
        <is>
          <t>No</t>
        </is>
      </c>
      <c r="M58" s="8" t="n"/>
    </row>
    <row r="59" ht="42" customHeight="1">
      <c r="A59" s="10" t="inlineStr">
        <is>
          <t>Q16</t>
        </is>
      </c>
      <c r="B59" s="32" t="n">
        <v>261787</v>
      </c>
      <c r="C59" s="10" t="n"/>
      <c r="D59" s="10" t="inlineStr">
        <is>
          <t>binary</t>
        </is>
      </c>
      <c r="E59" s="10" t="inlineStr">
        <is>
          <t>No</t>
        </is>
      </c>
      <c r="F59" s="10" t="inlineStr">
        <is>
          <t>Pay &amp; Entitlements</t>
        </is>
      </c>
      <c r="G59" s="10" t="inlineStr">
        <is>
          <t>Pay &amp; Entitlements</t>
        </is>
      </c>
      <c r="H59" s="10" t="inlineStr">
        <is>
          <t>Do you issue the Casual Employment Information Statement to casual staff?</t>
        </is>
      </c>
      <c r="I59" s="10" t="inlineStr">
        <is>
          <t>Yes</t>
        </is>
      </c>
      <c r="J59" s="32" t="n">
        <v>3</v>
      </c>
      <c r="K59" s="10" t="inlineStr">
        <is>
          <t>Yes</t>
        </is>
      </c>
      <c r="L59" s="10" t="inlineStr">
        <is>
          <t>No</t>
        </is>
      </c>
      <c r="M59" s="10" t="inlineStr">
        <is>
          <t>Binary Yes points (No is usually 0 :  add a No row if you want different)</t>
        </is>
      </c>
    </row>
    <row r="60" ht="34" customHeight="1">
      <c r="A60" s="8" t="inlineStr">
        <is>
          <t>Q16</t>
        </is>
      </c>
      <c r="B60" s="31" t="n">
        <v>261787</v>
      </c>
      <c r="C60" s="8" t="n"/>
      <c r="D60" s="8" t="inlineStr">
        <is>
          <t>binary</t>
        </is>
      </c>
      <c r="E60" s="8" t="inlineStr">
        <is>
          <t>No</t>
        </is>
      </c>
      <c r="F60" s="8" t="inlineStr">
        <is>
          <t>Pay &amp; Entitlements</t>
        </is>
      </c>
      <c r="G60" s="8" t="inlineStr">
        <is>
          <t>Pay &amp; Entitlements</t>
        </is>
      </c>
      <c r="H60" s="8" t="inlineStr">
        <is>
          <t>Do you issue the Casual Employment Information Statement to casual staff?</t>
        </is>
      </c>
      <c r="I60" s="8" t="inlineStr">
        <is>
          <t>No</t>
        </is>
      </c>
      <c r="J60" s="31" t="n">
        <v>0</v>
      </c>
      <c r="K60" s="8" t="inlineStr">
        <is>
          <t>Yes</t>
        </is>
      </c>
      <c r="L60" s="8" t="inlineStr">
        <is>
          <t>No</t>
        </is>
      </c>
      <c r="M60" s="8" t="n"/>
    </row>
    <row r="61" ht="42" customHeight="1">
      <c r="A61" s="10" t="inlineStr">
        <is>
          <t>Q17</t>
        </is>
      </c>
      <c r="B61" s="32" t="n">
        <v>261788</v>
      </c>
      <c r="C61" s="10" t="n"/>
      <c r="D61" s="10" t="inlineStr">
        <is>
          <t>binary</t>
        </is>
      </c>
      <c r="E61" s="10" t="inlineStr">
        <is>
          <t>No</t>
        </is>
      </c>
      <c r="F61" s="10" t="inlineStr">
        <is>
          <t>Pay &amp; Entitlements</t>
        </is>
      </c>
      <c r="G61" s="10" t="inlineStr">
        <is>
          <t>Pay &amp; Entitlements</t>
        </is>
      </c>
      <c r="H61" s="10" t="inlineStr">
        <is>
          <t>Do you know the difference between an employee and a contractor, and understand the implications of 'sham contracting'?</t>
        </is>
      </c>
      <c r="I61" s="10" t="inlineStr">
        <is>
          <t>Yes</t>
        </is>
      </c>
      <c r="J61" s="32" t="n">
        <v>5</v>
      </c>
      <c r="K61" s="10" t="inlineStr">
        <is>
          <t>Yes</t>
        </is>
      </c>
      <c r="L61" s="10" t="inlineStr">
        <is>
          <t>No</t>
        </is>
      </c>
      <c r="M61" s="10" t="inlineStr">
        <is>
          <t>Binary Yes points (No is usually 0 :  add a No row if you want different)</t>
        </is>
      </c>
    </row>
    <row r="62" ht="42" customHeight="1">
      <c r="A62" s="8" t="inlineStr">
        <is>
          <t>Q17</t>
        </is>
      </c>
      <c r="B62" s="31" t="n">
        <v>261788</v>
      </c>
      <c r="C62" s="8" t="n"/>
      <c r="D62" s="8" t="inlineStr">
        <is>
          <t>binary</t>
        </is>
      </c>
      <c r="E62" s="8" t="inlineStr">
        <is>
          <t>No</t>
        </is>
      </c>
      <c r="F62" s="8" t="inlineStr">
        <is>
          <t>Pay &amp; Entitlements</t>
        </is>
      </c>
      <c r="G62" s="8" t="inlineStr">
        <is>
          <t>Pay &amp; Entitlements</t>
        </is>
      </c>
      <c r="H62" s="8" t="inlineStr">
        <is>
          <t>Do you know the difference between an employee and a contractor, and understand the implications of 'sham contracting'?</t>
        </is>
      </c>
      <c r="I62" s="8" t="inlineStr">
        <is>
          <t>No</t>
        </is>
      </c>
      <c r="J62" s="31" t="n">
        <v>0</v>
      </c>
      <c r="K62" s="8" t="inlineStr">
        <is>
          <t>Yes</t>
        </is>
      </c>
      <c r="L62" s="8" t="inlineStr">
        <is>
          <t>No</t>
        </is>
      </c>
      <c r="M62" s="8" t="n"/>
    </row>
    <row r="63" ht="42" customHeight="1">
      <c r="A63" s="10" t="inlineStr">
        <is>
          <t>Q18</t>
        </is>
      </c>
      <c r="B63" s="32" t="n">
        <v>261789</v>
      </c>
      <c r="C63" s="10" t="n"/>
      <c r="D63" s="10" t="inlineStr">
        <is>
          <t>binary</t>
        </is>
      </c>
      <c r="E63" s="10" t="inlineStr">
        <is>
          <t>No</t>
        </is>
      </c>
      <c r="F63" s="10" t="inlineStr">
        <is>
          <t>New Hires &amp; Onboarding</t>
        </is>
      </c>
      <c r="G63" s="10" t="inlineStr">
        <is>
          <t>New Hires &amp; Onboarding</t>
        </is>
      </c>
      <c r="H63" s="10" t="inlineStr">
        <is>
          <t>Do you undertake work rights / visa entitlement verification for any staff without Australian citizenship?</t>
        </is>
      </c>
      <c r="I63" s="10" t="inlineStr">
        <is>
          <t>Yes</t>
        </is>
      </c>
      <c r="J63" s="32" t="n">
        <v>3</v>
      </c>
      <c r="K63" s="10" t="inlineStr">
        <is>
          <t>Yes</t>
        </is>
      </c>
      <c r="L63" s="10" t="inlineStr">
        <is>
          <t>No</t>
        </is>
      </c>
      <c r="M63" s="10" t="inlineStr">
        <is>
          <t>Binary Yes points (No is usually 0 :  add a No row if you want different)</t>
        </is>
      </c>
    </row>
    <row r="64" ht="42" customHeight="1">
      <c r="A64" s="8" t="inlineStr">
        <is>
          <t>Q18</t>
        </is>
      </c>
      <c r="B64" s="31" t="n">
        <v>261789</v>
      </c>
      <c r="C64" s="8" t="n"/>
      <c r="D64" s="8" t="inlineStr">
        <is>
          <t>binary</t>
        </is>
      </c>
      <c r="E64" s="8" t="inlineStr">
        <is>
          <t>No</t>
        </is>
      </c>
      <c r="F64" s="8" t="inlineStr">
        <is>
          <t>New Hires &amp; Onboarding</t>
        </is>
      </c>
      <c r="G64" s="8" t="inlineStr">
        <is>
          <t>New Hires &amp; Onboarding</t>
        </is>
      </c>
      <c r="H64" s="8" t="inlineStr">
        <is>
          <t>Do you undertake work rights / visa entitlement verification for any staff without Australian citizenship?</t>
        </is>
      </c>
      <c r="I64" s="8" t="inlineStr">
        <is>
          <t>No</t>
        </is>
      </c>
      <c r="J64" s="31" t="n">
        <v>0</v>
      </c>
      <c r="K64" s="8" t="inlineStr">
        <is>
          <t>Yes</t>
        </is>
      </c>
      <c r="L64" s="8" t="inlineStr">
        <is>
          <t>No</t>
        </is>
      </c>
      <c r="M64" s="8" t="n"/>
    </row>
    <row r="65" ht="56" customHeight="1">
      <c r="A65" s="10" t="inlineStr">
        <is>
          <t>Q19</t>
        </is>
      </c>
      <c r="B65" s="32" t="n">
        <v>261790</v>
      </c>
      <c r="C65" s="10" t="n"/>
      <c r="D65" s="10" t="inlineStr">
        <is>
          <t>scale</t>
        </is>
      </c>
      <c r="E65" s="10" t="inlineStr">
        <is>
          <t>No</t>
        </is>
      </c>
      <c r="F65" s="10" t="inlineStr">
        <is>
          <t>Pay &amp; Entitlements</t>
        </is>
      </c>
      <c r="G65" s="10" t="inlineStr">
        <is>
          <t>Pay &amp; Entitlements</t>
        </is>
      </c>
      <c r="H65" s="10" t="inlineStr">
        <is>
          <t>If any of your employees are paid a flat rate or annual salary, are the arrangements you pay them better than what the employee/s would be entitled to if you paid as per the Award hourly rate and other applicable entitlements?</t>
        </is>
      </c>
      <c r="I65" s="10" t="inlineStr">
        <is>
          <t>Scale 1-10 (points = selected value)</t>
        </is>
      </c>
      <c r="J65" s="32" t="n">
        <v>10</v>
      </c>
      <c r="K65" s="10" t="inlineStr">
        <is>
          <t>I am not sure, I have never checked this</t>
        </is>
      </c>
      <c r="L65" s="10" t="inlineStr">
        <is>
          <t>We review this annually and are confident our flat rate and salaried employees are better off overall</t>
        </is>
      </c>
      <c r="M65" s="10" t="inlineStr">
        <is>
          <t>For scales, Points column = MAX points. Selected slider value = earned points.</t>
        </is>
      </c>
    </row>
    <row r="66" ht="56" customHeight="1">
      <c r="A66" s="8" t="inlineStr">
        <is>
          <t>Q20</t>
        </is>
      </c>
      <c r="B66" s="31" t="n">
        <v>261791</v>
      </c>
      <c r="C66" s="31" t="n">
        <v>223968</v>
      </c>
      <c r="D66" s="8" t="inlineStr">
        <is>
          <t>option</t>
        </is>
      </c>
      <c r="E66" s="8" t="inlineStr">
        <is>
          <t>No</t>
        </is>
      </c>
      <c r="F66" s="8" t="inlineStr">
        <is>
          <t>Pay &amp; Entitlements</t>
        </is>
      </c>
      <c r="G66" s="8" t="inlineStr">
        <is>
          <t>Pay &amp; Entitlements</t>
        </is>
      </c>
      <c r="H66" s="8" t="inlineStr">
        <is>
          <t>With your annual salaried/flat rate employees do you have an annualised salary agreement in place which shows your employees how their annual salary (or flat rate) is calculated?</t>
        </is>
      </c>
      <c r="I66" s="8" t="inlineStr">
        <is>
          <t>I am not sure what this is, so we would not be doing this</t>
        </is>
      </c>
      <c r="J66" s="31" t="n">
        <v>0</v>
      </c>
      <c r="K66" s="8" t="n"/>
      <c r="L66" s="8" t="n"/>
      <c r="M66" s="8" t="n"/>
    </row>
    <row r="67" ht="56" customHeight="1">
      <c r="A67" s="10" t="inlineStr">
        <is>
          <t>Q20</t>
        </is>
      </c>
      <c r="B67" s="32" t="n">
        <v>261791</v>
      </c>
      <c r="C67" s="32" t="n">
        <v>223969</v>
      </c>
      <c r="D67" s="10" t="inlineStr">
        <is>
          <t>option</t>
        </is>
      </c>
      <c r="E67" s="10" t="inlineStr">
        <is>
          <t>No</t>
        </is>
      </c>
      <c r="F67" s="10" t="inlineStr">
        <is>
          <t>Pay &amp; Entitlements</t>
        </is>
      </c>
      <c r="G67" s="10" t="inlineStr">
        <is>
          <t>Pay &amp; Entitlements</t>
        </is>
      </c>
      <c r="H67" s="10" t="inlineStr">
        <is>
          <t>With your annual salaried/flat rate employees do you have an annualised salary agreement in place which shows your employees how their annual salary (or flat rate) is calculated?</t>
        </is>
      </c>
      <c r="I67" s="10" t="inlineStr">
        <is>
          <t>I tell staff what they would be paid under the Award and compare it to what their annual salary is that I pay them, but that is all</t>
        </is>
      </c>
      <c r="J67" s="32" t="n">
        <v>5</v>
      </c>
      <c r="K67" s="10" t="n"/>
      <c r="L67" s="10" t="n"/>
      <c r="M67" s="10" t="n"/>
    </row>
    <row r="68" ht="56" customHeight="1">
      <c r="A68" s="8" t="inlineStr">
        <is>
          <t>Q20</t>
        </is>
      </c>
      <c r="B68" s="31" t="n">
        <v>261791</v>
      </c>
      <c r="C68" s="31" t="n">
        <v>223970</v>
      </c>
      <c r="D68" s="8" t="inlineStr">
        <is>
          <t>option</t>
        </is>
      </c>
      <c r="E68" s="8" t="inlineStr">
        <is>
          <t>No</t>
        </is>
      </c>
      <c r="F68" s="8" t="inlineStr">
        <is>
          <t>Pay &amp; Entitlements</t>
        </is>
      </c>
      <c r="G68" s="8" t="inlineStr">
        <is>
          <t>Pay &amp; Entitlements</t>
        </is>
      </c>
      <c r="H68" s="8" t="inlineStr">
        <is>
          <t>With your annual salaried/flat rate employees do you have an annualised salary agreement in place which shows your employees how their annual salary (or flat rate) is calculated?</t>
        </is>
      </c>
      <c r="I68" s="8" t="inlineStr">
        <is>
          <t>I show staff an itemised table of how I calculated their annual salary/flat rate and this shows how they are compensated more than the Award requires (and by how much)</t>
        </is>
      </c>
      <c r="J68" s="31" t="n">
        <v>10</v>
      </c>
      <c r="K68" s="8" t="n"/>
      <c r="L68" s="8" t="n"/>
      <c r="M68" s="8" t="n"/>
    </row>
    <row r="69" ht="34" customHeight="1">
      <c r="A69" s="10" t="inlineStr">
        <is>
          <t>Q21</t>
        </is>
      </c>
      <c r="B69" s="32" t="n">
        <v>261794</v>
      </c>
      <c r="C69" s="32" t="n">
        <v>223974</v>
      </c>
      <c r="D69" s="10" t="inlineStr">
        <is>
          <t>option</t>
        </is>
      </c>
      <c r="E69" s="10" t="inlineStr">
        <is>
          <t>No</t>
        </is>
      </c>
      <c r="F69" s="10" t="inlineStr">
        <is>
          <t>Pay &amp; Entitlements</t>
        </is>
      </c>
      <c r="G69" s="10" t="inlineStr">
        <is>
          <t>Record Keeping</t>
        </is>
      </c>
      <c r="H69" s="10" t="inlineStr">
        <is>
          <t>Do your staff complete timesheets?</t>
        </is>
      </c>
      <c r="I69" s="10" t="inlineStr">
        <is>
          <t>No timesheets are kept</t>
        </is>
      </c>
      <c r="J69" s="32" t="n">
        <v>0</v>
      </c>
      <c r="K69" s="10" t="n"/>
      <c r="L69" s="10" t="n"/>
      <c r="M69" s="10" t="inlineStr">
        <is>
          <t>Option already assigns to this category in Agolix</t>
        </is>
      </c>
    </row>
    <row r="70" ht="42" customHeight="1">
      <c r="A70" s="8" t="inlineStr">
        <is>
          <t>Q21</t>
        </is>
      </c>
      <c r="B70" s="31" t="n">
        <v>261794</v>
      </c>
      <c r="C70" s="31" t="n">
        <v>223975</v>
      </c>
      <c r="D70" s="8" t="inlineStr">
        <is>
          <t>option</t>
        </is>
      </c>
      <c r="E70" s="8" t="inlineStr">
        <is>
          <t>No</t>
        </is>
      </c>
      <c r="F70" s="8" t="inlineStr">
        <is>
          <t>Pay &amp; Entitlements</t>
        </is>
      </c>
      <c r="G70" s="8" t="inlineStr">
        <is>
          <t>Record Keeping</t>
        </is>
      </c>
      <c r="H70" s="8" t="inlineStr">
        <is>
          <t>Do your staff complete timesheets?</t>
        </is>
      </c>
      <c r="I70" s="8" t="inlineStr">
        <is>
          <t>Staff work according to a roster and do not work outside of rostered hours</t>
        </is>
      </c>
      <c r="J70" s="31" t="n">
        <v>5</v>
      </c>
      <c r="K70" s="8" t="n"/>
      <c r="L70" s="8" t="n"/>
      <c r="M70" s="8" t="inlineStr">
        <is>
          <t>Option already assigns to this category in Agolix</t>
        </is>
      </c>
    </row>
    <row r="71" ht="34" customHeight="1">
      <c r="A71" s="10" t="inlineStr">
        <is>
          <t>Q21</t>
        </is>
      </c>
      <c r="B71" s="32" t="n">
        <v>261794</v>
      </c>
      <c r="C71" s="32" t="n">
        <v>223976</v>
      </c>
      <c r="D71" s="10" t="inlineStr">
        <is>
          <t>option</t>
        </is>
      </c>
      <c r="E71" s="10" t="inlineStr">
        <is>
          <t>No</t>
        </is>
      </c>
      <c r="F71" s="10" t="inlineStr">
        <is>
          <t>Pay &amp; Entitlements</t>
        </is>
      </c>
      <c r="G71" s="10" t="inlineStr">
        <is>
          <t>Record Keeping</t>
        </is>
      </c>
      <c r="H71" s="10" t="inlineStr">
        <is>
          <t>Do your staff complete timesheets?</t>
        </is>
      </c>
      <c r="I71" s="10" t="inlineStr">
        <is>
          <t>Staff document their hours but not their breaks</t>
        </is>
      </c>
      <c r="J71" s="32" t="n">
        <v>5</v>
      </c>
      <c r="K71" s="10" t="n"/>
      <c r="L71" s="10" t="n"/>
      <c r="M71" s="10" t="inlineStr">
        <is>
          <t>Option already assigns to this category in Agolix</t>
        </is>
      </c>
    </row>
    <row r="72" ht="34" customHeight="1">
      <c r="A72" s="8" t="inlineStr">
        <is>
          <t>Q21</t>
        </is>
      </c>
      <c r="B72" s="31" t="n">
        <v>261794</v>
      </c>
      <c r="C72" s="31" t="n">
        <v>223977</v>
      </c>
      <c r="D72" s="8" t="inlineStr">
        <is>
          <t>option</t>
        </is>
      </c>
      <c r="E72" s="8" t="inlineStr">
        <is>
          <t>No</t>
        </is>
      </c>
      <c r="F72" s="8" t="inlineStr">
        <is>
          <t>Pay &amp; Entitlements</t>
        </is>
      </c>
      <c r="G72" s="8" t="inlineStr">
        <is>
          <t>Record Keeping</t>
        </is>
      </c>
      <c r="H72" s="8" t="inlineStr">
        <is>
          <t>Do your staff complete timesheets?</t>
        </is>
      </c>
      <c r="I72" s="8" t="inlineStr">
        <is>
          <t>Staff document their hours and their lunchbreaks in a timesheet / app</t>
        </is>
      </c>
      <c r="J72" s="31" t="n">
        <v>10</v>
      </c>
      <c r="K72" s="8" t="n"/>
      <c r="L72" s="8" t="n"/>
      <c r="M72" s="8" t="inlineStr">
        <is>
          <t>Option already assigns to this category in Agolix</t>
        </is>
      </c>
    </row>
    <row r="73" ht="42" customHeight="1">
      <c r="A73" s="10" t="inlineStr">
        <is>
          <t>Q22</t>
        </is>
      </c>
      <c r="B73" s="32" t="n">
        <v>261795</v>
      </c>
      <c r="C73" s="10" t="n"/>
      <c r="D73" s="10" t="inlineStr">
        <is>
          <t>binary</t>
        </is>
      </c>
      <c r="E73" s="10" t="inlineStr">
        <is>
          <t>No</t>
        </is>
      </c>
      <c r="F73" s="10" t="inlineStr">
        <is>
          <t>Pay &amp; Entitlements</t>
        </is>
      </c>
      <c r="G73" s="10" t="inlineStr">
        <is>
          <t>Pay &amp; Entitlements</t>
        </is>
      </c>
      <c r="H73" s="10" t="inlineStr">
        <is>
          <t>Are you issuing a payslip to each staff member within one working day after their pay is processed?</t>
        </is>
      </c>
      <c r="I73" s="10" t="inlineStr">
        <is>
          <t>Yes</t>
        </is>
      </c>
      <c r="J73" s="32" t="n">
        <v>5</v>
      </c>
      <c r="K73" s="10" t="inlineStr">
        <is>
          <t>Yes</t>
        </is>
      </c>
      <c r="L73" s="10" t="inlineStr">
        <is>
          <t>No</t>
        </is>
      </c>
      <c r="M73" s="10" t="inlineStr">
        <is>
          <t>Binary Yes points (No is usually 0 :  add a No row if you want different)</t>
        </is>
      </c>
    </row>
    <row r="74" ht="42" customHeight="1">
      <c r="A74" s="8" t="inlineStr">
        <is>
          <t>Q22</t>
        </is>
      </c>
      <c r="B74" s="31" t="n">
        <v>261795</v>
      </c>
      <c r="C74" s="8" t="n"/>
      <c r="D74" s="8" t="inlineStr">
        <is>
          <t>binary</t>
        </is>
      </c>
      <c r="E74" s="8" t="inlineStr">
        <is>
          <t>No</t>
        </is>
      </c>
      <c r="F74" s="8" t="inlineStr">
        <is>
          <t>Pay &amp; Entitlements</t>
        </is>
      </c>
      <c r="G74" s="8" t="inlineStr">
        <is>
          <t>Pay &amp; Entitlements</t>
        </is>
      </c>
      <c r="H74" s="8" t="inlineStr">
        <is>
          <t>Are you issuing a payslip to each staff member within one working day after their pay is processed?</t>
        </is>
      </c>
      <c r="I74" s="8" t="inlineStr">
        <is>
          <t>No</t>
        </is>
      </c>
      <c r="J74" s="31" t="n">
        <v>0</v>
      </c>
      <c r="K74" s="8" t="inlineStr">
        <is>
          <t>Yes</t>
        </is>
      </c>
      <c r="L74" s="8" t="inlineStr">
        <is>
          <t>No</t>
        </is>
      </c>
      <c r="M74" s="8" t="n"/>
    </row>
    <row r="75" ht="42" customHeight="1">
      <c r="A75" s="10" t="inlineStr">
        <is>
          <t>Q23</t>
        </is>
      </c>
      <c r="B75" s="32" t="n">
        <v>261796</v>
      </c>
      <c r="C75" s="10" t="n"/>
      <c r="D75" s="10" t="inlineStr">
        <is>
          <t>binary</t>
        </is>
      </c>
      <c r="E75" s="10" t="inlineStr">
        <is>
          <t>No</t>
        </is>
      </c>
      <c r="F75" s="10" t="inlineStr">
        <is>
          <t>Pay &amp; Entitlements</t>
        </is>
      </c>
      <c r="G75" s="10" t="inlineStr">
        <is>
          <t>Pay &amp; Entitlements</t>
        </is>
      </c>
      <c r="H75" s="10" t="inlineStr">
        <is>
          <t>Do your payslips separate base pay, allowances, overtime and penalty rates?</t>
        </is>
      </c>
      <c r="I75" s="10" t="inlineStr">
        <is>
          <t>Yes</t>
        </is>
      </c>
      <c r="J75" s="32" t="n">
        <v>5</v>
      </c>
      <c r="K75" s="10" t="inlineStr">
        <is>
          <t>Yes</t>
        </is>
      </c>
      <c r="L75" s="10" t="inlineStr">
        <is>
          <t>No</t>
        </is>
      </c>
      <c r="M75" s="10" t="inlineStr">
        <is>
          <t>Binary Yes points (No is usually 0 :  add a No row if you want different)</t>
        </is>
      </c>
    </row>
    <row r="76" ht="34" customHeight="1">
      <c r="A76" s="8" t="inlineStr">
        <is>
          <t>Q23</t>
        </is>
      </c>
      <c r="B76" s="31" t="n">
        <v>261796</v>
      </c>
      <c r="C76" s="8" t="n"/>
      <c r="D76" s="8" t="inlineStr">
        <is>
          <t>binary</t>
        </is>
      </c>
      <c r="E76" s="8" t="inlineStr">
        <is>
          <t>No</t>
        </is>
      </c>
      <c r="F76" s="8" t="inlineStr">
        <is>
          <t>Pay &amp; Entitlements</t>
        </is>
      </c>
      <c r="G76" s="8" t="inlineStr">
        <is>
          <t>Pay &amp; Entitlements</t>
        </is>
      </c>
      <c r="H76" s="8" t="inlineStr">
        <is>
          <t>Do your payslips separate base pay, allowances, overtime and penalty rates?</t>
        </is>
      </c>
      <c r="I76" s="8" t="inlineStr">
        <is>
          <t>No</t>
        </is>
      </c>
      <c r="J76" s="31" t="n">
        <v>0</v>
      </c>
      <c r="K76" s="8" t="inlineStr">
        <is>
          <t>Yes</t>
        </is>
      </c>
      <c r="L76" s="8" t="inlineStr">
        <is>
          <t>No</t>
        </is>
      </c>
      <c r="M76" s="8" t="n"/>
    </row>
    <row r="77" ht="42" customHeight="1">
      <c r="A77" s="10" t="inlineStr">
        <is>
          <t>Q24</t>
        </is>
      </c>
      <c r="B77" s="32" t="n">
        <v>261797</v>
      </c>
      <c r="C77" s="10" t="n"/>
      <c r="D77" s="10" t="inlineStr">
        <is>
          <t>binary</t>
        </is>
      </c>
      <c r="E77" s="10" t="inlineStr">
        <is>
          <t>No</t>
        </is>
      </c>
      <c r="F77" s="10" t="inlineStr">
        <is>
          <t>Pay &amp; Entitlements</t>
        </is>
      </c>
      <c r="G77" s="10" t="inlineStr">
        <is>
          <t>Pay &amp; Entitlements</t>
        </is>
      </c>
      <c r="H77" s="10" t="inlineStr">
        <is>
          <t>Are you confident that your pay arrangements (weekly, fortnightly, monthly) and day of pay (Mon-Fri) comply with the Award?</t>
        </is>
      </c>
      <c r="I77" s="10" t="inlineStr">
        <is>
          <t>Yes</t>
        </is>
      </c>
      <c r="J77" s="32" t="n">
        <v>3</v>
      </c>
      <c r="K77" s="10" t="inlineStr">
        <is>
          <t>Yes</t>
        </is>
      </c>
      <c r="L77" s="10" t="inlineStr">
        <is>
          <t>No</t>
        </is>
      </c>
      <c r="M77" s="10" t="inlineStr">
        <is>
          <t>Binary Yes points (No is usually 0 :  add a No row if you want different)</t>
        </is>
      </c>
    </row>
    <row r="78" ht="42" customHeight="1">
      <c r="A78" s="8" t="inlineStr">
        <is>
          <t>Q24</t>
        </is>
      </c>
      <c r="B78" s="31" t="n">
        <v>261797</v>
      </c>
      <c r="C78" s="8" t="n"/>
      <c r="D78" s="8" t="inlineStr">
        <is>
          <t>binary</t>
        </is>
      </c>
      <c r="E78" s="8" t="inlineStr">
        <is>
          <t>No</t>
        </is>
      </c>
      <c r="F78" s="8" t="inlineStr">
        <is>
          <t>Pay &amp; Entitlements</t>
        </is>
      </c>
      <c r="G78" s="8" t="inlineStr">
        <is>
          <t>Pay &amp; Entitlements</t>
        </is>
      </c>
      <c r="H78" s="8" t="inlineStr">
        <is>
          <t>Are you confident that your pay arrangements (weekly, fortnightly, monthly) and day of pay (Mon-Fri) comply with the Award?</t>
        </is>
      </c>
      <c r="I78" s="8" t="inlineStr">
        <is>
          <t>No</t>
        </is>
      </c>
      <c r="J78" s="31" t="n">
        <v>0</v>
      </c>
      <c r="K78" s="8" t="inlineStr">
        <is>
          <t>Yes</t>
        </is>
      </c>
      <c r="L78" s="8" t="inlineStr">
        <is>
          <t>No</t>
        </is>
      </c>
      <c r="M78" s="8" t="n"/>
    </row>
    <row r="79" ht="56" customHeight="1">
      <c r="A79" s="10" t="inlineStr">
        <is>
          <t>Q25</t>
        </is>
      </c>
      <c r="B79" s="32" t="n">
        <v>261798</v>
      </c>
      <c r="C79" s="32" t="n">
        <v>223978</v>
      </c>
      <c r="D79" s="10" t="inlineStr">
        <is>
          <t>option</t>
        </is>
      </c>
      <c r="E79" s="10" t="inlineStr">
        <is>
          <t>No</t>
        </is>
      </c>
      <c r="F79" s="10" t="inlineStr">
        <is>
          <t>Pay &amp; Entitlements</t>
        </is>
      </c>
      <c r="G79" s="10" t="inlineStr">
        <is>
          <t>Pay &amp; Entitlements</t>
        </is>
      </c>
      <c r="H79" s="10" t="inlineStr">
        <is>
          <t>If you make a deduction from an employees pay, do you obtain their approval in writing prior to the deduction? (Eg. in the case of an overpayment or employee repaying an amount the employer paid on their behalf)</t>
        </is>
      </c>
      <c r="I79" s="10" t="inlineStr">
        <is>
          <t>No, we don't / wouldn't obtain this prior</t>
        </is>
      </c>
      <c r="J79" s="32" t="n">
        <v>0</v>
      </c>
      <c r="K79" s="10" t="n"/>
      <c r="L79" s="10" t="n"/>
      <c r="M79" s="10" t="n"/>
    </row>
    <row r="80" ht="56" customHeight="1">
      <c r="A80" s="8" t="inlineStr">
        <is>
          <t>Q25</t>
        </is>
      </c>
      <c r="B80" s="31" t="n">
        <v>261798</v>
      </c>
      <c r="C80" s="31" t="n">
        <v>223979</v>
      </c>
      <c r="D80" s="8" t="inlineStr">
        <is>
          <t>option</t>
        </is>
      </c>
      <c r="E80" s="8" t="inlineStr">
        <is>
          <t>No</t>
        </is>
      </c>
      <c r="F80" s="8" t="inlineStr">
        <is>
          <t>Pay &amp; Entitlements</t>
        </is>
      </c>
      <c r="G80" s="8" t="inlineStr">
        <is>
          <t>Pay &amp; Entitlements</t>
        </is>
      </c>
      <c r="H80" s="8" t="inlineStr">
        <is>
          <t>If you make a deduction from an employees pay, do you obtain their approval in writing prior to the deduction? (Eg. in the case of an overpayment or employee repaying an amount the employer paid on their behalf)</t>
        </is>
      </c>
      <c r="I80" s="8" t="inlineStr">
        <is>
          <t>We tell employees but we don't have anything in writing</t>
        </is>
      </c>
      <c r="J80" s="31" t="n">
        <v>1</v>
      </c>
      <c r="K80" s="8" t="n"/>
      <c r="L80" s="8" t="n"/>
      <c r="M80" s="8" t="n"/>
    </row>
    <row r="81" ht="56" customHeight="1">
      <c r="A81" s="10" t="inlineStr">
        <is>
          <t>Q25</t>
        </is>
      </c>
      <c r="B81" s="32" t="n">
        <v>261798</v>
      </c>
      <c r="C81" s="32" t="n">
        <v>223980</v>
      </c>
      <c r="D81" s="10" t="inlineStr">
        <is>
          <t>option</t>
        </is>
      </c>
      <c r="E81" s="10" t="inlineStr">
        <is>
          <t>No</t>
        </is>
      </c>
      <c r="F81" s="10" t="inlineStr">
        <is>
          <t>Pay &amp; Entitlements</t>
        </is>
      </c>
      <c r="G81" s="10" t="inlineStr">
        <is>
          <t>Pay &amp; Entitlements</t>
        </is>
      </c>
      <c r="H81" s="10" t="inlineStr">
        <is>
          <t>If you make a deduction from an employees pay, do you obtain their approval in writing prior to the deduction? (Eg. in the case of an overpayment or employee repaying an amount the employer paid on their behalf)</t>
        </is>
      </c>
      <c r="I81" s="10" t="inlineStr">
        <is>
          <t>We get approval in writing for overpayments but not for anything else</t>
        </is>
      </c>
      <c r="J81" s="32" t="n">
        <v>4</v>
      </c>
      <c r="K81" s="10" t="n"/>
      <c r="L81" s="10" t="n"/>
      <c r="M81" s="10" t="n"/>
    </row>
    <row r="82" ht="56" customHeight="1">
      <c r="A82" s="8" t="inlineStr">
        <is>
          <t>Q25</t>
        </is>
      </c>
      <c r="B82" s="31" t="n">
        <v>261798</v>
      </c>
      <c r="C82" s="31" t="n">
        <v>223981</v>
      </c>
      <c r="D82" s="8" t="inlineStr">
        <is>
          <t>option</t>
        </is>
      </c>
      <c r="E82" s="8" t="inlineStr">
        <is>
          <t>No</t>
        </is>
      </c>
      <c r="F82" s="8" t="inlineStr">
        <is>
          <t>Pay &amp; Entitlements</t>
        </is>
      </c>
      <c r="G82" s="8" t="inlineStr">
        <is>
          <t>Pay &amp; Entitlements</t>
        </is>
      </c>
      <c r="H82" s="8" t="inlineStr">
        <is>
          <t>If you make a deduction from an employees pay, do you obtain their approval in writing prior to the deduction? (Eg. in the case of an overpayment or employee repaying an amount the employer paid on their behalf)</t>
        </is>
      </c>
      <c r="I82" s="8" t="inlineStr">
        <is>
          <t>We inform employees via email prior to any deductions but they don't need to approve it</t>
        </is>
      </c>
      <c r="J82" s="31" t="n">
        <v>3</v>
      </c>
      <c r="K82" s="8" t="n"/>
      <c r="L82" s="8" t="n"/>
      <c r="M82" s="8" t="n"/>
    </row>
    <row r="83" ht="56" customHeight="1">
      <c r="A83" s="10" t="inlineStr">
        <is>
          <t>Q25</t>
        </is>
      </c>
      <c r="B83" s="32" t="n">
        <v>261798</v>
      </c>
      <c r="C83" s="32" t="n">
        <v>223982</v>
      </c>
      <c r="D83" s="10" t="inlineStr">
        <is>
          <t>option</t>
        </is>
      </c>
      <c r="E83" s="10" t="inlineStr">
        <is>
          <t>No</t>
        </is>
      </c>
      <c r="F83" s="10" t="inlineStr">
        <is>
          <t>Pay &amp; Entitlements</t>
        </is>
      </c>
      <c r="G83" s="10" t="inlineStr">
        <is>
          <t>Pay &amp; Entitlements</t>
        </is>
      </c>
      <c r="H83" s="10" t="inlineStr">
        <is>
          <t>If you make a deduction from an employees pay, do you obtain their approval in writing prior to the deduction? (Eg. in the case of an overpayment or employee repaying an amount the employer paid on their behalf)</t>
        </is>
      </c>
      <c r="I83" s="10" t="inlineStr">
        <is>
          <t>We have employees sign / approve all deductions prior to processing</t>
        </is>
      </c>
      <c r="J83" s="32" t="n">
        <v>5</v>
      </c>
      <c r="K83" s="10" t="n"/>
      <c r="L83" s="10" t="n"/>
      <c r="M83" s="10" t="n"/>
    </row>
    <row r="84" ht="70" customHeight="1">
      <c r="A84" s="8" t="inlineStr">
        <is>
          <t>Q26</t>
        </is>
      </c>
      <c r="B84" s="31" t="n">
        <v>261799</v>
      </c>
      <c r="C84" s="8" t="n"/>
      <c r="D84" s="8" t="inlineStr">
        <is>
          <t>scale</t>
        </is>
      </c>
      <c r="E84" s="8" t="inlineStr">
        <is>
          <t>No</t>
        </is>
      </c>
      <c r="F84" s="8" t="inlineStr">
        <is>
          <t>Pay &amp; Entitlements</t>
        </is>
      </c>
      <c r="G84" s="8" t="inlineStr">
        <is>
          <t>Pay &amp; Entitlements</t>
        </is>
      </c>
      <c r="H84" s="8" t="inlineStr">
        <is>
          <t>Do you have part time employees whose hours change from week to week? Are you aware of and complying with overtime payments for these employees?</t>
        </is>
      </c>
      <c r="I84" s="8" t="inlineStr">
        <is>
          <t>Scale 0-10 (points = selected value)</t>
        </is>
      </c>
      <c r="J84" s="31" t="n">
        <v>10</v>
      </c>
      <c r="K84" s="8" t="inlineStr">
        <is>
          <t>We have part time staff whose hours change depending on their availability / our requirements from week to week</t>
        </is>
      </c>
      <c r="L84" s="8" t="inlineStr">
        <is>
          <t>All changes to part time hours are documented in variation letters and recorded</t>
        </is>
      </c>
      <c r="M84" s="8" t="inlineStr">
        <is>
          <t>For scales, Points column = MAX points. Selected slider value = earned points.</t>
        </is>
      </c>
    </row>
    <row r="85" ht="56" customHeight="1">
      <c r="A85" s="10" t="inlineStr">
        <is>
          <t>Q27</t>
        </is>
      </c>
      <c r="B85" s="32" t="n">
        <v>261800</v>
      </c>
      <c r="C85" s="10" t="n"/>
      <c r="D85" s="10" t="inlineStr">
        <is>
          <t>scale</t>
        </is>
      </c>
      <c r="E85" s="10" t="inlineStr">
        <is>
          <t>No</t>
        </is>
      </c>
      <c r="F85" s="10" t="inlineStr">
        <is>
          <t>Record Keeping</t>
        </is>
      </c>
      <c r="G85" s="10" t="inlineStr">
        <is>
          <t>Record Keeping</t>
        </is>
      </c>
      <c r="H85" s="10" t="inlineStr">
        <is>
          <t>How confident are you that your employee records are complete, including evidence of all pay deductions, variations, leave applications, licenses and legislative requirements?</t>
        </is>
      </c>
      <c r="I85" s="10" t="inlineStr">
        <is>
          <t>Scale 0-10 (points = selected value)</t>
        </is>
      </c>
      <c r="J85" s="32" t="n">
        <v>10</v>
      </c>
      <c r="K85" s="10" t="inlineStr">
        <is>
          <t>We don't keep records</t>
        </is>
      </c>
      <c r="L85" s="10" t="inlineStr">
        <is>
          <t>We have comprehensive records which are kept for 7 years</t>
        </is>
      </c>
      <c r="M85" s="10" t="inlineStr">
        <is>
          <t>For scales, Points column = MAX points. Selected slider value = earned points.</t>
        </is>
      </c>
    </row>
    <row r="86" ht="56" customHeight="1">
      <c r="A86" s="8" t="inlineStr">
        <is>
          <t>Q28</t>
        </is>
      </c>
      <c r="B86" s="31" t="n">
        <v>261801</v>
      </c>
      <c r="C86" s="8" t="n"/>
      <c r="D86" s="8" t="inlineStr">
        <is>
          <t>scale</t>
        </is>
      </c>
      <c r="E86" s="8" t="inlineStr">
        <is>
          <t>No</t>
        </is>
      </c>
      <c r="F86" s="8" t="inlineStr">
        <is>
          <t>Pay &amp; Entitlements</t>
        </is>
      </c>
      <c r="G86" s="8" t="inlineStr">
        <is>
          <t>Pay &amp; Entitlements</t>
        </is>
      </c>
      <c r="H86" s="8" t="inlineStr">
        <is>
          <t>How well do you believe you understand your obligations around excessive leave accruals, encouraging taking of leave, and leave payouts for excessive leave (not including at termination)?</t>
        </is>
      </c>
      <c r="I86" s="8" t="inlineStr">
        <is>
          <t>Scale 1-10 (points = selected value)</t>
        </is>
      </c>
      <c r="J86" s="31" t="n">
        <v>10</v>
      </c>
      <c r="K86" s="8" t="inlineStr">
        <is>
          <t>I'm not confident, this is a concern for my business</t>
        </is>
      </c>
      <c r="L86" s="8" t="inlineStr">
        <is>
          <t>We handle these requirements following the Award</t>
        </is>
      </c>
      <c r="M86" s="8" t="inlineStr">
        <is>
          <t>For scales, Points column = MAX points. Selected slider value = earned points.</t>
        </is>
      </c>
    </row>
    <row r="87" ht="42" customHeight="1">
      <c r="A87" s="10" t="inlineStr">
        <is>
          <t>Q29</t>
        </is>
      </c>
      <c r="B87" s="32" t="n">
        <v>261802</v>
      </c>
      <c r="C87" s="10" t="n"/>
      <c r="D87" s="10" t="inlineStr">
        <is>
          <t>binary</t>
        </is>
      </c>
      <c r="E87" s="10" t="inlineStr">
        <is>
          <t>No</t>
        </is>
      </c>
      <c r="F87" s="10" t="inlineStr">
        <is>
          <t>Pay &amp; Entitlements</t>
        </is>
      </c>
      <c r="G87" s="10" t="inlineStr">
        <is>
          <t>Pay &amp; Entitlements</t>
        </is>
      </c>
      <c r="H87" s="10" t="inlineStr">
        <is>
          <t>Are you paying leave loading as appropriate under the Award? If you have included this loading into a salary or hourly amount, is that clear in the contract?</t>
        </is>
      </c>
      <c r="I87" s="10" t="inlineStr">
        <is>
          <t>Yes</t>
        </is>
      </c>
      <c r="J87" s="32" t="n">
        <v>4</v>
      </c>
      <c r="K87" s="10" t="inlineStr">
        <is>
          <t>Yes</t>
        </is>
      </c>
      <c r="L87" s="10" t="inlineStr">
        <is>
          <t>No</t>
        </is>
      </c>
      <c r="M87" s="10" t="inlineStr">
        <is>
          <t>Binary Yes points (No is usually 0 :  add a No row if you want different)</t>
        </is>
      </c>
    </row>
    <row r="88" ht="42" customHeight="1">
      <c r="A88" s="8" t="inlineStr">
        <is>
          <t>Q29</t>
        </is>
      </c>
      <c r="B88" s="31" t="n">
        <v>261802</v>
      </c>
      <c r="C88" s="8" t="n"/>
      <c r="D88" s="8" t="inlineStr">
        <is>
          <t>binary</t>
        </is>
      </c>
      <c r="E88" s="8" t="inlineStr">
        <is>
          <t>No</t>
        </is>
      </c>
      <c r="F88" s="8" t="inlineStr">
        <is>
          <t>Pay &amp; Entitlements</t>
        </is>
      </c>
      <c r="G88" s="8" t="inlineStr">
        <is>
          <t>Pay &amp; Entitlements</t>
        </is>
      </c>
      <c r="H88" s="8" t="inlineStr">
        <is>
          <t>Are you paying leave loading as appropriate under the Award? If you have included this loading into a salary or hourly amount, is that clear in the contract?</t>
        </is>
      </c>
      <c r="I88" s="8" t="inlineStr">
        <is>
          <t>No</t>
        </is>
      </c>
      <c r="J88" s="31" t="n">
        <v>0</v>
      </c>
      <c r="K88" s="8" t="inlineStr">
        <is>
          <t>Yes</t>
        </is>
      </c>
      <c r="L88" s="8" t="inlineStr">
        <is>
          <t>No</t>
        </is>
      </c>
      <c r="M88" s="8" t="n"/>
    </row>
    <row r="89" ht="42" customHeight="1">
      <c r="A89" s="10" t="inlineStr">
        <is>
          <t>Q30</t>
        </is>
      </c>
      <c r="B89" s="32" t="n">
        <v>261803</v>
      </c>
      <c r="C89" s="32" t="n">
        <v>223983</v>
      </c>
      <c r="D89" s="10" t="inlineStr">
        <is>
          <t>option</t>
        </is>
      </c>
      <c r="E89" s="10" t="inlineStr">
        <is>
          <t>Yes</t>
        </is>
      </c>
      <c r="F89" s="10" t="inlineStr">
        <is>
          <t>Pay &amp; Entitlements</t>
        </is>
      </c>
      <c r="G89" s="10" t="inlineStr">
        <is>
          <t>New Hires &amp; Onboarding</t>
        </is>
      </c>
      <c r="H89" s="10" t="inlineStr">
        <is>
          <t>When new employees start with your business, what information and training is provided? Please choose all that apply.</t>
        </is>
      </c>
      <c r="I89" s="10" t="inlineStr">
        <is>
          <t>Workplace Health &amp; Safety</t>
        </is>
      </c>
      <c r="J89" s="32" t="n">
        <v>2</v>
      </c>
      <c r="K89" s="10" t="n"/>
      <c r="L89" s="10" t="n"/>
      <c r="M89" s="10" t="inlineStr">
        <is>
          <t>Option already assigns to this category in Agolix</t>
        </is>
      </c>
    </row>
    <row r="90" ht="42" customHeight="1">
      <c r="A90" s="8" t="inlineStr">
        <is>
          <t>Q30</t>
        </is>
      </c>
      <c r="B90" s="31" t="n">
        <v>261803</v>
      </c>
      <c r="C90" s="31" t="n">
        <v>223984</v>
      </c>
      <c r="D90" s="8" t="inlineStr">
        <is>
          <t>option</t>
        </is>
      </c>
      <c r="E90" s="8" t="inlineStr">
        <is>
          <t>Yes</t>
        </is>
      </c>
      <c r="F90" s="8" t="inlineStr">
        <is>
          <t>Pay &amp; Entitlements</t>
        </is>
      </c>
      <c r="G90" s="8" t="inlineStr">
        <is>
          <t>New Hires &amp; Onboarding</t>
        </is>
      </c>
      <c r="H90" s="8" t="inlineStr">
        <is>
          <t>When new employees start with your business, what information and training is provided? Please choose all that apply.</t>
        </is>
      </c>
      <c r="I90" s="8" t="inlineStr">
        <is>
          <t>Bullying &amp; Harassment</t>
        </is>
      </c>
      <c r="J90" s="31" t="n">
        <v>2</v>
      </c>
      <c r="K90" s="8" t="n"/>
      <c r="L90" s="8" t="n"/>
      <c r="M90" s="8" t="inlineStr">
        <is>
          <t>Option already assigns to this category in Agolix</t>
        </is>
      </c>
    </row>
    <row r="91" ht="42" customHeight="1">
      <c r="A91" s="10" t="inlineStr">
        <is>
          <t>Q30</t>
        </is>
      </c>
      <c r="B91" s="32" t="n">
        <v>261803</v>
      </c>
      <c r="C91" s="32" t="n">
        <v>223985</v>
      </c>
      <c r="D91" s="10" t="inlineStr">
        <is>
          <t>option</t>
        </is>
      </c>
      <c r="E91" s="10" t="inlineStr">
        <is>
          <t>Yes</t>
        </is>
      </c>
      <c r="F91" s="10" t="inlineStr">
        <is>
          <t>Pay &amp; Entitlements</t>
        </is>
      </c>
      <c r="G91" s="10" t="inlineStr">
        <is>
          <t>New Hires &amp; Onboarding</t>
        </is>
      </c>
      <c r="H91" s="10" t="inlineStr">
        <is>
          <t>When new employees start with your business, what information and training is provided? Please choose all that apply.</t>
        </is>
      </c>
      <c r="I91" s="10" t="inlineStr">
        <is>
          <t>Accessing the worksite</t>
        </is>
      </c>
      <c r="J91" s="32" t="n">
        <v>2</v>
      </c>
      <c r="K91" s="10" t="n"/>
      <c r="L91" s="10" t="n"/>
      <c r="M91" s="10" t="inlineStr">
        <is>
          <t>Option already assigns to this category in Agolix</t>
        </is>
      </c>
    </row>
    <row r="92" ht="42" customHeight="1">
      <c r="A92" s="8" t="inlineStr">
        <is>
          <t>Q30</t>
        </is>
      </c>
      <c r="B92" s="31" t="n">
        <v>261803</v>
      </c>
      <c r="C92" s="31" t="n">
        <v>223986</v>
      </c>
      <c r="D92" s="8" t="inlineStr">
        <is>
          <t>option</t>
        </is>
      </c>
      <c r="E92" s="8" t="inlineStr">
        <is>
          <t>Yes</t>
        </is>
      </c>
      <c r="F92" s="8" t="inlineStr">
        <is>
          <t>Pay &amp; Entitlements</t>
        </is>
      </c>
      <c r="G92" s="8" t="inlineStr">
        <is>
          <t>New Hires &amp; Onboarding</t>
        </is>
      </c>
      <c r="H92" s="8" t="inlineStr">
        <is>
          <t>When new employees start with your business, what information and training is provided? Please choose all that apply.</t>
        </is>
      </c>
      <c r="I92" s="8" t="inlineStr">
        <is>
          <t>Incident reporting</t>
        </is>
      </c>
      <c r="J92" s="31" t="n">
        <v>2</v>
      </c>
      <c r="K92" s="8" t="n"/>
      <c r="L92" s="8" t="n"/>
      <c r="M92" s="8" t="inlineStr">
        <is>
          <t>Option already assigns to this category in Agolix</t>
        </is>
      </c>
    </row>
    <row r="93" ht="42" customHeight="1">
      <c r="A93" s="10" t="inlineStr">
        <is>
          <t>Q30</t>
        </is>
      </c>
      <c r="B93" s="32" t="n">
        <v>261803</v>
      </c>
      <c r="C93" s="32" t="n">
        <v>223987</v>
      </c>
      <c r="D93" s="10" t="inlineStr">
        <is>
          <t>option</t>
        </is>
      </c>
      <c r="E93" s="10" t="inlineStr">
        <is>
          <t>Yes</t>
        </is>
      </c>
      <c r="F93" s="10" t="inlineStr">
        <is>
          <t>Pay &amp; Entitlements</t>
        </is>
      </c>
      <c r="G93" s="10" t="inlineStr">
        <is>
          <t>New Hires &amp; Onboarding</t>
        </is>
      </c>
      <c r="H93" s="10" t="inlineStr">
        <is>
          <t>When new employees start with your business, what information and training is provided? Please choose all that apply.</t>
        </is>
      </c>
      <c r="I93" s="10" t="inlineStr">
        <is>
          <t>Internal policies and procedures, including how to access them</t>
        </is>
      </c>
      <c r="J93" s="32" t="n">
        <v>2</v>
      </c>
      <c r="K93" s="10" t="n"/>
      <c r="L93" s="10" t="n"/>
      <c r="M93" s="10" t="inlineStr">
        <is>
          <t>Option already assigns to this category in Agolix</t>
        </is>
      </c>
    </row>
    <row r="94" ht="42" customHeight="1">
      <c r="A94" s="8" t="inlineStr">
        <is>
          <t>Q30</t>
        </is>
      </c>
      <c r="B94" s="31" t="n">
        <v>261803</v>
      </c>
      <c r="C94" s="31" t="n">
        <v>223988</v>
      </c>
      <c r="D94" s="8" t="inlineStr">
        <is>
          <t>option</t>
        </is>
      </c>
      <c r="E94" s="8" t="inlineStr">
        <is>
          <t>Yes</t>
        </is>
      </c>
      <c r="F94" s="8" t="inlineStr">
        <is>
          <t>Pay &amp; Entitlements</t>
        </is>
      </c>
      <c r="G94" s="8" t="inlineStr">
        <is>
          <t>New Hires &amp; Onboarding</t>
        </is>
      </c>
      <c r="H94" s="8" t="inlineStr">
        <is>
          <t>When new employees start with your business, what information and training is provided? Please choose all that apply.</t>
        </is>
      </c>
      <c r="I94" s="8" t="inlineStr">
        <is>
          <t>Expectations around hours</t>
        </is>
      </c>
      <c r="J94" s="31" t="n">
        <v>2</v>
      </c>
      <c r="K94" s="8" t="n"/>
      <c r="L94" s="8" t="n"/>
      <c r="M94" s="8" t="inlineStr">
        <is>
          <t>Option already assigns to this category in Agolix</t>
        </is>
      </c>
    </row>
    <row r="95" ht="42" customHeight="1">
      <c r="A95" s="10" t="inlineStr">
        <is>
          <t>Q30</t>
        </is>
      </c>
      <c r="B95" s="32" t="n">
        <v>261803</v>
      </c>
      <c r="C95" s="32" t="n">
        <v>223989</v>
      </c>
      <c r="D95" s="10" t="inlineStr">
        <is>
          <t>option</t>
        </is>
      </c>
      <c r="E95" s="10" t="inlineStr">
        <is>
          <t>Yes</t>
        </is>
      </c>
      <c r="F95" s="10" t="inlineStr">
        <is>
          <t>Pay &amp; Entitlements</t>
        </is>
      </c>
      <c r="G95" s="10" t="inlineStr">
        <is>
          <t>New Hires &amp; Onboarding</t>
        </is>
      </c>
      <c r="H95" s="10" t="inlineStr">
        <is>
          <t>When new employees start with your business, what information and training is provided? Please choose all that apply.</t>
        </is>
      </c>
      <c r="I95" s="10" t="inlineStr">
        <is>
          <t>Appropriate uniform or dress requirements</t>
        </is>
      </c>
      <c r="J95" s="32" t="n">
        <v>2</v>
      </c>
      <c r="K95" s="10" t="n"/>
      <c r="L95" s="10" t="n"/>
      <c r="M95" s="10" t="inlineStr">
        <is>
          <t>Option already assigns to this category in Agolix</t>
        </is>
      </c>
    </row>
    <row r="96" ht="42" customHeight="1">
      <c r="A96" s="8" t="inlineStr">
        <is>
          <t>Q30</t>
        </is>
      </c>
      <c r="B96" s="31" t="n">
        <v>261803</v>
      </c>
      <c r="C96" s="31" t="n">
        <v>223990</v>
      </c>
      <c r="D96" s="8" t="inlineStr">
        <is>
          <t>option</t>
        </is>
      </c>
      <c r="E96" s="8" t="inlineStr">
        <is>
          <t>Yes</t>
        </is>
      </c>
      <c r="F96" s="8" t="inlineStr">
        <is>
          <t>Pay &amp; Entitlements</t>
        </is>
      </c>
      <c r="G96" s="8" t="inlineStr">
        <is>
          <t>New Hires &amp; Onboarding</t>
        </is>
      </c>
      <c r="H96" s="8" t="inlineStr">
        <is>
          <t>When new employees start with your business, what information and training is provided? Please choose all that apply.</t>
        </is>
      </c>
      <c r="I96" s="8" t="inlineStr">
        <is>
          <t>IT Policies</t>
        </is>
      </c>
      <c r="J96" s="31" t="n">
        <v>2</v>
      </c>
      <c r="K96" s="8" t="n"/>
      <c r="L96" s="8" t="n"/>
      <c r="M96" s="8" t="inlineStr">
        <is>
          <t>Option already assigns to this category in Agolix</t>
        </is>
      </c>
    </row>
    <row r="97" ht="42" customHeight="1">
      <c r="A97" s="10" t="inlineStr">
        <is>
          <t>Q30</t>
        </is>
      </c>
      <c r="B97" s="32" t="n">
        <v>261803</v>
      </c>
      <c r="C97" s="32" t="n">
        <v>223991</v>
      </c>
      <c r="D97" s="10" t="inlineStr">
        <is>
          <t>option</t>
        </is>
      </c>
      <c r="E97" s="10" t="inlineStr">
        <is>
          <t>Yes</t>
        </is>
      </c>
      <c r="F97" s="10" t="inlineStr">
        <is>
          <t>Pay &amp; Entitlements</t>
        </is>
      </c>
      <c r="G97" s="10" t="inlineStr">
        <is>
          <t>New Hires &amp; Onboarding</t>
        </is>
      </c>
      <c r="H97" s="10" t="inlineStr">
        <is>
          <t>When new employees start with your business, what information and training is provided? Please choose all that apply.</t>
        </is>
      </c>
      <c r="I97" s="10" t="inlineStr">
        <is>
          <t>Staff introductions</t>
        </is>
      </c>
      <c r="J97" s="32" t="n">
        <v>2</v>
      </c>
      <c r="K97" s="10" t="n"/>
      <c r="L97" s="10" t="n"/>
      <c r="M97" s="10" t="inlineStr">
        <is>
          <t>Option already assigns to this category in Agolix</t>
        </is>
      </c>
    </row>
    <row r="98" ht="42" customHeight="1">
      <c r="A98" s="8" t="inlineStr">
        <is>
          <t>Q31</t>
        </is>
      </c>
      <c r="B98" s="31" t="n">
        <v>261804</v>
      </c>
      <c r="C98" s="8" t="n"/>
      <c r="D98" s="8" t="inlineStr">
        <is>
          <t>binary</t>
        </is>
      </c>
      <c r="E98" s="8" t="inlineStr">
        <is>
          <t>No</t>
        </is>
      </c>
      <c r="F98" s="8" t="inlineStr">
        <is>
          <t>Employment Contracts</t>
        </is>
      </c>
      <c r="G98" s="8" t="inlineStr">
        <is>
          <t>Employment Contracts</t>
        </is>
      </c>
      <c r="H98" s="8" t="inlineStr">
        <is>
          <t>Are variation letters issued when changes are made to employment agreements? ie - higher duties, change of hours, reporting lines.</t>
        </is>
      </c>
      <c r="I98" s="8" t="inlineStr">
        <is>
          <t>Yes</t>
        </is>
      </c>
      <c r="J98" s="31" t="n">
        <v>5</v>
      </c>
      <c r="K98" s="8" t="inlineStr">
        <is>
          <t>Yes</t>
        </is>
      </c>
      <c r="L98" s="8" t="inlineStr">
        <is>
          <t>No</t>
        </is>
      </c>
      <c r="M98" s="8" t="inlineStr">
        <is>
          <t>Binary Yes points (No is usually 0 :  add a No row if you want different)</t>
        </is>
      </c>
    </row>
    <row r="99" ht="42" customHeight="1">
      <c r="A99" s="10" t="inlineStr">
        <is>
          <t>Q31</t>
        </is>
      </c>
      <c r="B99" s="32" t="n">
        <v>261804</v>
      </c>
      <c r="C99" s="10" t="n"/>
      <c r="D99" s="10" t="inlineStr">
        <is>
          <t>binary</t>
        </is>
      </c>
      <c r="E99" s="10" t="inlineStr">
        <is>
          <t>No</t>
        </is>
      </c>
      <c r="F99" s="10" t="inlineStr">
        <is>
          <t>Employment Contracts</t>
        </is>
      </c>
      <c r="G99" s="10" t="inlineStr">
        <is>
          <t>Employment Contracts</t>
        </is>
      </c>
      <c r="H99" s="10" t="inlineStr">
        <is>
          <t>Are variation letters issued when changes are made to employment agreements? ie - higher duties, change of hours, reporting lines.</t>
        </is>
      </c>
      <c r="I99" s="10" t="inlineStr">
        <is>
          <t>No</t>
        </is>
      </c>
      <c r="J99" s="32" t="n">
        <v>0</v>
      </c>
      <c r="K99" s="10" t="inlineStr">
        <is>
          <t>Yes</t>
        </is>
      </c>
      <c r="L99" s="10" t="inlineStr">
        <is>
          <t>No</t>
        </is>
      </c>
      <c r="M99" s="10" t="n"/>
    </row>
    <row r="100" ht="70" customHeight="1">
      <c r="A100" s="8" t="inlineStr">
        <is>
          <t>Q32</t>
        </is>
      </c>
      <c r="B100" s="31" t="n">
        <v>261805</v>
      </c>
      <c r="C100" s="8" t="n"/>
      <c r="D100" s="8" t="inlineStr">
        <is>
          <t>scale</t>
        </is>
      </c>
      <c r="E100" s="8" t="inlineStr">
        <is>
          <t>No</t>
        </is>
      </c>
      <c r="F100" s="8" t="inlineStr">
        <is>
          <t>Policies &amp; Procedures</t>
        </is>
      </c>
      <c r="G100" s="8" t="inlineStr">
        <is>
          <t>Policies &amp; Procedures</t>
        </is>
      </c>
      <c r="H100" s="8" t="inlineStr">
        <is>
          <t>Policies and procedures help to ensure staff and managers know what is expected of them, how to conduct themselves in certain situations, and what happens when rules are not followed. Meaningful policies are relevant and accessible. How comprehensive do you believe your employment relations policies are within your business?</t>
        </is>
      </c>
      <c r="I100" s="8" t="inlineStr">
        <is>
          <t>Scale 0-10 (points = selected value)</t>
        </is>
      </c>
      <c r="J100" s="31" t="n">
        <v>10</v>
      </c>
      <c r="K100" s="8" t="inlineStr">
        <is>
          <t>No policies in place</t>
        </is>
      </c>
      <c r="L100" s="8" t="inlineStr">
        <is>
          <t>We have a full, comprehensive handbook, which is accessible by staff and kept up to date</t>
        </is>
      </c>
      <c r="M100" s="8" t="inlineStr">
        <is>
          <t>For scales, Points column = MAX points. Selected slider value = earned points.</t>
        </is>
      </c>
    </row>
    <row r="101" ht="42" customHeight="1">
      <c r="A101" s="10" t="inlineStr">
        <is>
          <t>Q33</t>
        </is>
      </c>
      <c r="B101" s="32" t="n">
        <v>261807</v>
      </c>
      <c r="C101" s="10" t="n"/>
      <c r="D101" s="10" t="inlineStr">
        <is>
          <t>binary</t>
        </is>
      </c>
      <c r="E101" s="10" t="inlineStr">
        <is>
          <t>No</t>
        </is>
      </c>
      <c r="F101" s="10" t="inlineStr">
        <is>
          <t>Record Keeping</t>
        </is>
      </c>
      <c r="G101" s="10" t="inlineStr">
        <is>
          <t>Record Keeping</t>
        </is>
      </c>
      <c r="H101" s="10" t="inlineStr">
        <is>
          <t>Do staff acknowledge their acceptance of policies in writing, and any changes to them?</t>
        </is>
      </c>
      <c r="I101" s="10" t="inlineStr">
        <is>
          <t>Yes</t>
        </is>
      </c>
      <c r="J101" s="32" t="n">
        <v>3</v>
      </c>
      <c r="K101" s="10" t="inlineStr">
        <is>
          <t>Yes</t>
        </is>
      </c>
      <c r="L101" s="10" t="inlineStr">
        <is>
          <t>No</t>
        </is>
      </c>
      <c r="M101" s="10" t="inlineStr">
        <is>
          <t>Binary Yes points (No is usually 0 :  add a No row if you want different)</t>
        </is>
      </c>
    </row>
    <row r="102" ht="42" customHeight="1">
      <c r="A102" s="8" t="inlineStr">
        <is>
          <t>Q33</t>
        </is>
      </c>
      <c r="B102" s="31" t="n">
        <v>261807</v>
      </c>
      <c r="C102" s="8" t="n"/>
      <c r="D102" s="8" t="inlineStr">
        <is>
          <t>binary</t>
        </is>
      </c>
      <c r="E102" s="8" t="inlineStr">
        <is>
          <t>No</t>
        </is>
      </c>
      <c r="F102" s="8" t="inlineStr">
        <is>
          <t>Record Keeping</t>
        </is>
      </c>
      <c r="G102" s="8" t="inlineStr">
        <is>
          <t>Record Keeping</t>
        </is>
      </c>
      <c r="H102" s="8" t="inlineStr">
        <is>
          <t>Do staff acknowledge their acceptance of policies in writing, and any changes to them?</t>
        </is>
      </c>
      <c r="I102" s="8" t="inlineStr">
        <is>
          <t>No</t>
        </is>
      </c>
      <c r="J102" s="31" t="n">
        <v>0</v>
      </c>
      <c r="K102" s="8" t="inlineStr">
        <is>
          <t>Yes</t>
        </is>
      </c>
      <c r="L102" s="8" t="inlineStr">
        <is>
          <t>No</t>
        </is>
      </c>
      <c r="M102" s="8" t="n"/>
    </row>
    <row r="103" ht="42" customHeight="1">
      <c r="A103" s="10" t="inlineStr">
        <is>
          <t>Q34</t>
        </is>
      </c>
      <c r="B103" s="32" t="n">
        <v>261808</v>
      </c>
      <c r="C103" s="10" t="n"/>
      <c r="D103" s="10" t="inlineStr">
        <is>
          <t>scale</t>
        </is>
      </c>
      <c r="E103" s="10" t="inlineStr">
        <is>
          <t>No</t>
        </is>
      </c>
      <c r="F103" s="10" t="inlineStr">
        <is>
          <t>Policies &amp; Procedures</t>
        </is>
      </c>
      <c r="G103" s="10" t="inlineStr">
        <is>
          <t>Policies &amp; Procedures</t>
        </is>
      </c>
      <c r="H103" s="10" t="inlineStr">
        <is>
          <t>Are policies consistently followed by staff, and enforced by management?</t>
        </is>
      </c>
      <c r="I103" s="10" t="inlineStr">
        <is>
          <t>Scale 1-10 (points = selected value)</t>
        </is>
      </c>
      <c r="J103" s="32" t="n">
        <v>10</v>
      </c>
      <c r="K103" s="10" t="inlineStr">
        <is>
          <t>Policies are rarely adhered to</t>
        </is>
      </c>
      <c r="L103" s="10" t="inlineStr">
        <is>
          <t>Policies are always followed, and managers ensure compliance</t>
        </is>
      </c>
      <c r="M103" s="10" t="inlineStr">
        <is>
          <t>For scales, Points column = MAX points. Selected slider value = earned points.</t>
        </is>
      </c>
    </row>
    <row r="104" ht="56" customHeight="1">
      <c r="A104" s="8" t="inlineStr">
        <is>
          <t>Q35</t>
        </is>
      </c>
      <c r="B104" s="31" t="n">
        <v>261809</v>
      </c>
      <c r="C104" s="8" t="n"/>
      <c r="D104" s="8" t="inlineStr">
        <is>
          <t>scale</t>
        </is>
      </c>
      <c r="E104" s="8" t="inlineStr">
        <is>
          <t>No</t>
        </is>
      </c>
      <c r="F104" s="8" t="inlineStr">
        <is>
          <t>Reviewing &amp; Managing Performance</t>
        </is>
      </c>
      <c r="G104" s="8" t="inlineStr">
        <is>
          <t>Reviewing &amp; Managing Performance</t>
        </is>
      </c>
      <c r="H104" s="8" t="inlineStr">
        <is>
          <t>How well do you feel you know the requirements around probation and qualifying periods, including terminations and extensions?</t>
        </is>
      </c>
      <c r="I104" s="8" t="inlineStr">
        <is>
          <t>Scale 1-10 (points = selected value)</t>
        </is>
      </c>
      <c r="J104" s="31" t="n">
        <v>10</v>
      </c>
      <c r="K104" s="8" t="inlineStr">
        <is>
          <t>Not familiar at all</t>
        </is>
      </c>
      <c r="L104" s="8" t="inlineStr">
        <is>
          <t>Very comfortable with how to handle probation and their relationship with qualifying periods</t>
        </is>
      </c>
      <c r="M104" s="8" t="inlineStr">
        <is>
          <t>For scales, Points column = MAX points. Selected slider value = earned points.</t>
        </is>
      </c>
    </row>
    <row r="105" ht="42" customHeight="1">
      <c r="A105" s="10" t="inlineStr">
        <is>
          <t>Q36</t>
        </is>
      </c>
      <c r="B105" s="32" t="n">
        <v>261810</v>
      </c>
      <c r="C105" s="10" t="n"/>
      <c r="D105" s="10" t="inlineStr">
        <is>
          <t>binary</t>
        </is>
      </c>
      <c r="E105" s="10" t="inlineStr">
        <is>
          <t>No</t>
        </is>
      </c>
      <c r="F105" s="10" t="inlineStr">
        <is>
          <t>Reviewing &amp; Managing Performance</t>
        </is>
      </c>
      <c r="G105" s="10" t="inlineStr">
        <is>
          <t>Reviewing &amp; Managing Performance</t>
        </is>
      </c>
      <c r="H105" s="10" t="inlineStr">
        <is>
          <t>Are formal performance reviews undertaken and documented?</t>
        </is>
      </c>
      <c r="I105" s="10" t="inlineStr">
        <is>
          <t>Yes</t>
        </is>
      </c>
      <c r="J105" s="32" t="n">
        <v>3</v>
      </c>
      <c r="K105" s="10" t="inlineStr">
        <is>
          <t>Yes</t>
        </is>
      </c>
      <c r="L105" s="10" t="inlineStr">
        <is>
          <t>No</t>
        </is>
      </c>
      <c r="M105" s="10" t="inlineStr">
        <is>
          <t>Binary Yes points (No is usually 0 :  add a No row if you want different)</t>
        </is>
      </c>
    </row>
    <row r="106" ht="42" customHeight="1">
      <c r="A106" s="8" t="inlineStr">
        <is>
          <t>Q36</t>
        </is>
      </c>
      <c r="B106" s="31" t="n">
        <v>261810</v>
      </c>
      <c r="C106" s="8" t="n"/>
      <c r="D106" s="8" t="inlineStr">
        <is>
          <t>binary</t>
        </is>
      </c>
      <c r="E106" s="8" t="inlineStr">
        <is>
          <t>No</t>
        </is>
      </c>
      <c r="F106" s="8" t="inlineStr">
        <is>
          <t>Reviewing &amp; Managing Performance</t>
        </is>
      </c>
      <c r="G106" s="8" t="inlineStr">
        <is>
          <t>Reviewing &amp; Managing Performance</t>
        </is>
      </c>
      <c r="H106" s="8" t="inlineStr">
        <is>
          <t>Are formal performance reviews undertaken and documented?</t>
        </is>
      </c>
      <c r="I106" s="8" t="inlineStr">
        <is>
          <t>No</t>
        </is>
      </c>
      <c r="J106" s="31" t="n">
        <v>0</v>
      </c>
      <c r="K106" s="8" t="inlineStr">
        <is>
          <t>Yes</t>
        </is>
      </c>
      <c r="L106" s="8" t="inlineStr">
        <is>
          <t>No</t>
        </is>
      </c>
      <c r="M106" s="8" t="n"/>
    </row>
    <row r="107" ht="42" customHeight="1">
      <c r="A107" s="10" t="inlineStr">
        <is>
          <t>Q37</t>
        </is>
      </c>
      <c r="B107" s="32" t="n">
        <v>261812</v>
      </c>
      <c r="C107" s="10" t="n"/>
      <c r="D107" s="10" t="inlineStr">
        <is>
          <t>binary</t>
        </is>
      </c>
      <c r="E107" s="10" t="inlineStr">
        <is>
          <t>No</t>
        </is>
      </c>
      <c r="F107" s="10" t="inlineStr">
        <is>
          <t>Record Keeping</t>
        </is>
      </c>
      <c r="G107" s="10" t="inlineStr">
        <is>
          <t>Record Keeping</t>
        </is>
      </c>
      <c r="H107" s="10" t="inlineStr">
        <is>
          <t>Do you maintain a record of leave entitlements, and make them accessible to employees?</t>
        </is>
      </c>
      <c r="I107" s="10" t="inlineStr">
        <is>
          <t>Yes</t>
        </is>
      </c>
      <c r="J107" s="32" t="n">
        <v>3</v>
      </c>
      <c r="K107" s="10" t="inlineStr">
        <is>
          <t>Yes</t>
        </is>
      </c>
      <c r="L107" s="10" t="inlineStr">
        <is>
          <t>No</t>
        </is>
      </c>
      <c r="M107" s="10" t="inlineStr">
        <is>
          <t>Binary Yes points (No is usually 0 :  add a No row if you want different)</t>
        </is>
      </c>
    </row>
    <row r="108" ht="42" customHeight="1">
      <c r="A108" s="8" t="inlineStr">
        <is>
          <t>Q37</t>
        </is>
      </c>
      <c r="B108" s="31" t="n">
        <v>261812</v>
      </c>
      <c r="C108" s="8" t="n"/>
      <c r="D108" s="8" t="inlineStr">
        <is>
          <t>binary</t>
        </is>
      </c>
      <c r="E108" s="8" t="inlineStr">
        <is>
          <t>No</t>
        </is>
      </c>
      <c r="F108" s="8" t="inlineStr">
        <is>
          <t>Record Keeping</t>
        </is>
      </c>
      <c r="G108" s="8" t="inlineStr">
        <is>
          <t>Record Keeping</t>
        </is>
      </c>
      <c r="H108" s="8" t="inlineStr">
        <is>
          <t>Do you maintain a record of leave entitlements, and make them accessible to employees?</t>
        </is>
      </c>
      <c r="I108" s="8" t="inlineStr">
        <is>
          <t>No</t>
        </is>
      </c>
      <c r="J108" s="31" t="n">
        <v>0</v>
      </c>
      <c r="K108" s="8" t="inlineStr">
        <is>
          <t>Yes</t>
        </is>
      </c>
      <c r="L108" s="8" t="inlineStr">
        <is>
          <t>No</t>
        </is>
      </c>
      <c r="M108" s="8" t="n"/>
    </row>
    <row r="109" ht="42" customHeight="1">
      <c r="A109" s="10" t="inlineStr">
        <is>
          <t>Q38</t>
        </is>
      </c>
      <c r="B109" s="32" t="n">
        <v>261815</v>
      </c>
      <c r="C109" s="10" t="n"/>
      <c r="D109" s="10" t="inlineStr">
        <is>
          <t>binary</t>
        </is>
      </c>
      <c r="E109" s="10" t="inlineStr">
        <is>
          <t>No</t>
        </is>
      </c>
      <c r="F109" s="10" t="inlineStr">
        <is>
          <t>Employee Exits</t>
        </is>
      </c>
      <c r="G109" s="10" t="inlineStr">
        <is>
          <t>Employee Exits</t>
        </is>
      </c>
      <c r="H109" s="10" t="inlineStr">
        <is>
          <t>Do you believe you have a good understanding of what constitutes a genuine redundancy?</t>
        </is>
      </c>
      <c r="I109" s="10" t="inlineStr">
        <is>
          <t>Yes</t>
        </is>
      </c>
      <c r="J109" s="32" t="n">
        <v>3</v>
      </c>
      <c r="K109" s="10" t="inlineStr">
        <is>
          <t>Yes</t>
        </is>
      </c>
      <c r="L109" s="10" t="inlineStr">
        <is>
          <t>No</t>
        </is>
      </c>
      <c r="M109" s="10" t="inlineStr">
        <is>
          <t>Binary Yes points (No is usually 0 :  add a No row if you want different)</t>
        </is>
      </c>
    </row>
    <row r="110" ht="42" customHeight="1">
      <c r="A110" s="8" t="inlineStr">
        <is>
          <t>Q38</t>
        </is>
      </c>
      <c r="B110" s="31" t="n">
        <v>261815</v>
      </c>
      <c r="C110" s="8" t="n"/>
      <c r="D110" s="8" t="inlineStr">
        <is>
          <t>binary</t>
        </is>
      </c>
      <c r="E110" s="8" t="inlineStr">
        <is>
          <t>No</t>
        </is>
      </c>
      <c r="F110" s="8" t="inlineStr">
        <is>
          <t>Employee Exits</t>
        </is>
      </c>
      <c r="G110" s="8" t="inlineStr">
        <is>
          <t>Employee Exits</t>
        </is>
      </c>
      <c r="H110" s="8" t="inlineStr">
        <is>
          <t>Do you believe you have a good understanding of what constitutes a genuine redundancy?</t>
        </is>
      </c>
      <c r="I110" s="8" t="inlineStr">
        <is>
          <t>No</t>
        </is>
      </c>
      <c r="J110" s="31" t="n">
        <v>0</v>
      </c>
      <c r="K110" s="8" t="inlineStr">
        <is>
          <t>Yes</t>
        </is>
      </c>
      <c r="L110" s="8" t="inlineStr">
        <is>
          <t>No</t>
        </is>
      </c>
      <c r="M110" s="8" t="n"/>
    </row>
    <row r="111" ht="42" customHeight="1">
      <c r="A111" s="10" t="inlineStr">
        <is>
          <t>Q39</t>
        </is>
      </c>
      <c r="B111" s="32" t="n">
        <v>261816</v>
      </c>
      <c r="C111" s="10" t="n"/>
      <c r="D111" s="10" t="inlineStr">
        <is>
          <t>scale</t>
        </is>
      </c>
      <c r="E111" s="10" t="inlineStr">
        <is>
          <t>No</t>
        </is>
      </c>
      <c r="F111" s="10" t="inlineStr">
        <is>
          <t>Pay &amp; Entitlements</t>
        </is>
      </c>
      <c r="G111" s="10" t="inlineStr">
        <is>
          <t>Pay &amp; Entitlements</t>
        </is>
      </c>
      <c r="H111" s="10" t="inlineStr">
        <is>
          <t>How prepared do you feel your business is to undertake workplace consultation for major changes?</t>
        </is>
      </c>
      <c r="I111" s="10" t="inlineStr">
        <is>
          <t>Scale 0-10 (points = selected value)</t>
        </is>
      </c>
      <c r="J111" s="32" t="n">
        <v>10</v>
      </c>
      <c r="K111" s="10" t="inlineStr">
        <is>
          <t>We are not prepared. This is a concern for the business</t>
        </is>
      </c>
      <c r="L111" s="10" t="inlineStr">
        <is>
          <t>We understand how to conduct a full workplace negotiation</t>
        </is>
      </c>
      <c r="M111" s="10" t="inlineStr">
        <is>
          <t>For scales, Points column = MAX points. Selected slider value = earned points.</t>
        </is>
      </c>
    </row>
    <row r="112" ht="56" customHeight="1">
      <c r="A112" s="8" t="inlineStr">
        <is>
          <t>Q40</t>
        </is>
      </c>
      <c r="B112" s="31" t="n">
        <v>261817</v>
      </c>
      <c r="C112" s="31" t="n">
        <v>224006</v>
      </c>
      <c r="D112" s="8" t="inlineStr">
        <is>
          <t>option</t>
        </is>
      </c>
      <c r="E112" s="8" t="inlineStr">
        <is>
          <t>No</t>
        </is>
      </c>
      <c r="F112" s="8" t="inlineStr">
        <is>
          <t>Pay &amp; Entitlements</t>
        </is>
      </c>
      <c r="G112" s="8" t="inlineStr">
        <is>
          <t>Employee Exits</t>
        </is>
      </c>
      <c r="H112" s="8" t="inlineStr">
        <is>
          <t>If you are a small business of under 15 employees, do you have a good understanding of how redundancies and the Small Business Dismissal Code apply to your business?</t>
        </is>
      </c>
      <c r="I112" s="8" t="inlineStr">
        <is>
          <t>This does not apply to our business as we are larger than 15 staff</t>
        </is>
      </c>
      <c r="J112" s="31" t="n">
        <v>2</v>
      </c>
      <c r="K112" s="8" t="n"/>
      <c r="L112" s="8" t="n"/>
      <c r="M112" s="8" t="inlineStr">
        <is>
          <t>Option already assigns to this category in Agolix</t>
        </is>
      </c>
    </row>
    <row r="113" ht="56" customHeight="1">
      <c r="A113" s="10" t="inlineStr">
        <is>
          <t>Q40</t>
        </is>
      </c>
      <c r="B113" s="32" t="n">
        <v>261817</v>
      </c>
      <c r="C113" s="32" t="n">
        <v>224007</v>
      </c>
      <c r="D113" s="10" t="inlineStr">
        <is>
          <t>option</t>
        </is>
      </c>
      <c r="E113" s="10" t="inlineStr">
        <is>
          <t>No</t>
        </is>
      </c>
      <c r="F113" s="10" t="inlineStr">
        <is>
          <t>Pay &amp; Entitlements</t>
        </is>
      </c>
      <c r="G113" s="10" t="inlineStr">
        <is>
          <t>Employee Exits</t>
        </is>
      </c>
      <c r="H113" s="10" t="inlineStr">
        <is>
          <t>If you are a small business of under 15 employees, do you have a good understanding of how redundancies and the Small Business Dismissal Code apply to your business?</t>
        </is>
      </c>
      <c r="I113" s="10" t="inlineStr">
        <is>
          <t>We are under 15 staff and do not have a good understanding of how to use these provisions</t>
        </is>
      </c>
      <c r="J113" s="32" t="n">
        <v>0</v>
      </c>
      <c r="K113" s="10" t="n"/>
      <c r="L113" s="10" t="n"/>
      <c r="M113" s="10" t="inlineStr">
        <is>
          <t>Option already assigns to this category in Agolix</t>
        </is>
      </c>
    </row>
    <row r="114" ht="56" customHeight="1">
      <c r="A114" s="8" t="inlineStr">
        <is>
          <t>Q40</t>
        </is>
      </c>
      <c r="B114" s="31" t="n">
        <v>261817</v>
      </c>
      <c r="C114" s="31" t="n">
        <v>224008</v>
      </c>
      <c r="D114" s="8" t="inlineStr">
        <is>
          <t>option</t>
        </is>
      </c>
      <c r="E114" s="8" t="inlineStr">
        <is>
          <t>No</t>
        </is>
      </c>
      <c r="F114" s="8" t="inlineStr">
        <is>
          <t>Pay &amp; Entitlements</t>
        </is>
      </c>
      <c r="G114" s="8" t="inlineStr">
        <is>
          <t>Employee Exits</t>
        </is>
      </c>
      <c r="H114" s="8" t="inlineStr">
        <is>
          <t>If you are a small business of under 15 employees, do you have a good understanding of how redundancies and the Small Business Dismissal Code apply to your business?</t>
        </is>
      </c>
      <c r="I114" s="8" t="inlineStr">
        <is>
          <t>We are under 15 staff and are comfortable with how these apply to our business</t>
        </is>
      </c>
      <c r="J114" s="31" t="n">
        <v>7</v>
      </c>
      <c r="K114" s="8" t="n"/>
      <c r="L114" s="8" t="n"/>
      <c r="M114" s="8" t="inlineStr">
        <is>
          <t>Option already assigns to this category in Agolix</t>
        </is>
      </c>
    </row>
    <row r="115" ht="42" customHeight="1">
      <c r="A115" s="10" t="inlineStr">
        <is>
          <t>Q41</t>
        </is>
      </c>
      <c r="B115" s="32" t="n">
        <v>261818</v>
      </c>
      <c r="C115" s="10" t="n"/>
      <c r="D115" s="10" t="inlineStr">
        <is>
          <t>binary</t>
        </is>
      </c>
      <c r="E115" s="10" t="inlineStr">
        <is>
          <t>No</t>
        </is>
      </c>
      <c r="F115" s="10" t="inlineStr">
        <is>
          <t>Workplace Health &amp; Safety</t>
        </is>
      </c>
      <c r="G115" s="10" t="inlineStr">
        <is>
          <t>Workplace Health &amp; Safety</t>
        </is>
      </c>
      <c r="H115" s="10" t="inlineStr">
        <is>
          <t>Do you have Workers Compensation Insurance?</t>
        </is>
      </c>
      <c r="I115" s="10" t="inlineStr">
        <is>
          <t>Yes</t>
        </is>
      </c>
      <c r="J115" s="32" t="n">
        <v>5</v>
      </c>
      <c r="K115" s="10" t="inlineStr">
        <is>
          <t>Yes</t>
        </is>
      </c>
      <c r="L115" s="10" t="inlineStr">
        <is>
          <t>No</t>
        </is>
      </c>
      <c r="M115" s="10" t="inlineStr">
        <is>
          <t>Binary Yes points (No is usually 0 :  add a No row if you want different)</t>
        </is>
      </c>
    </row>
    <row r="116" ht="34" customHeight="1">
      <c r="A116" s="8" t="inlineStr">
        <is>
          <t>Q41</t>
        </is>
      </c>
      <c r="B116" s="31" t="n">
        <v>261818</v>
      </c>
      <c r="C116" s="8" t="n"/>
      <c r="D116" s="8" t="inlineStr">
        <is>
          <t>binary</t>
        </is>
      </c>
      <c r="E116" s="8" t="inlineStr">
        <is>
          <t>No</t>
        </is>
      </c>
      <c r="F116" s="8" t="inlineStr">
        <is>
          <t>Workplace Health &amp; Safety</t>
        </is>
      </c>
      <c r="G116" s="8" t="inlineStr">
        <is>
          <t>Workplace Health &amp; Safety</t>
        </is>
      </c>
      <c r="H116" s="8" t="inlineStr">
        <is>
          <t>Do you have Workers Compensation Insurance?</t>
        </is>
      </c>
      <c r="I116" s="8" t="inlineStr">
        <is>
          <t>No</t>
        </is>
      </c>
      <c r="J116" s="31" t="n">
        <v>0</v>
      </c>
      <c r="K116" s="8" t="inlineStr">
        <is>
          <t>Yes</t>
        </is>
      </c>
      <c r="L116" s="8" t="inlineStr">
        <is>
          <t>No</t>
        </is>
      </c>
      <c r="M116" s="8" t="n"/>
    </row>
    <row r="117" ht="56" customHeight="1">
      <c r="A117" s="10" t="inlineStr">
        <is>
          <t>Q42</t>
        </is>
      </c>
      <c r="B117" s="32" t="n">
        <v>261819</v>
      </c>
      <c r="C117" s="10" t="n"/>
      <c r="D117" s="10" t="inlineStr">
        <is>
          <t>scale</t>
        </is>
      </c>
      <c r="E117" s="10" t="inlineStr">
        <is>
          <t>No</t>
        </is>
      </c>
      <c r="F117" s="10" t="inlineStr">
        <is>
          <t>Workplace Health &amp; Safety</t>
        </is>
      </c>
      <c r="G117" s="10" t="inlineStr">
        <is>
          <t>Workplace Health &amp; Safety</t>
        </is>
      </c>
      <c r="H117" s="10" t="inlineStr">
        <is>
          <t>How well do you understand what to do in the event of a staff injury and worker's compensation claim?</t>
        </is>
      </c>
      <c r="I117" s="10" t="inlineStr">
        <is>
          <t>Scale 1-10 (points = selected value)</t>
        </is>
      </c>
      <c r="J117" s="32" t="n">
        <v>10</v>
      </c>
      <c r="K117" s="10" t="inlineStr">
        <is>
          <t>Not at all</t>
        </is>
      </c>
      <c r="L117" s="10" t="inlineStr">
        <is>
          <t>We have return to work policies and understand our obligations around reasonable adjustments</t>
        </is>
      </c>
      <c r="M117" s="10" t="inlineStr">
        <is>
          <t>For scales, Points column = MAX points. Selected slider value = earned points.</t>
        </is>
      </c>
    </row>
    <row r="118" ht="42" customHeight="1">
      <c r="A118" s="8" t="inlineStr">
        <is>
          <t>Q43</t>
        </is>
      </c>
      <c r="B118" s="31" t="n">
        <v>261820</v>
      </c>
      <c r="C118" s="8" t="n"/>
      <c r="D118" s="8" t="inlineStr">
        <is>
          <t>binary</t>
        </is>
      </c>
      <c r="E118" s="8" t="inlineStr">
        <is>
          <t>No</t>
        </is>
      </c>
      <c r="F118" s="8" t="inlineStr">
        <is>
          <t>Workplace Health &amp; Safety</t>
        </is>
      </c>
      <c r="G118" s="8" t="inlineStr">
        <is>
          <t>Workplace Health &amp; Safety</t>
        </is>
      </c>
      <c r="H118" s="8" t="inlineStr">
        <is>
          <t>Do you have policies and procedures in place around evacuation in the event of fire or other emergency?</t>
        </is>
      </c>
      <c r="I118" s="8" t="inlineStr">
        <is>
          <t>Yes</t>
        </is>
      </c>
      <c r="J118" s="31" t="n">
        <v>3</v>
      </c>
      <c r="K118" s="8" t="inlineStr">
        <is>
          <t>Yes</t>
        </is>
      </c>
      <c r="L118" s="8" t="inlineStr">
        <is>
          <t>No</t>
        </is>
      </c>
      <c r="M118" s="8" t="inlineStr">
        <is>
          <t>Binary Yes points (No is usually 0 :  add a No row if you want different)</t>
        </is>
      </c>
    </row>
    <row r="119" ht="42" customHeight="1">
      <c r="A119" s="10" t="inlineStr">
        <is>
          <t>Q43</t>
        </is>
      </c>
      <c r="B119" s="32" t="n">
        <v>261820</v>
      </c>
      <c r="C119" s="10" t="n"/>
      <c r="D119" s="10" t="inlineStr">
        <is>
          <t>binary</t>
        </is>
      </c>
      <c r="E119" s="10" t="inlineStr">
        <is>
          <t>No</t>
        </is>
      </c>
      <c r="F119" s="10" t="inlineStr">
        <is>
          <t>Workplace Health &amp; Safety</t>
        </is>
      </c>
      <c r="G119" s="10" t="inlineStr">
        <is>
          <t>Workplace Health &amp; Safety</t>
        </is>
      </c>
      <c r="H119" s="10" t="inlineStr">
        <is>
          <t>Do you have policies and procedures in place around evacuation in the event of fire or other emergency?</t>
        </is>
      </c>
      <c r="I119" s="10" t="inlineStr">
        <is>
          <t>No</t>
        </is>
      </c>
      <c r="J119" s="32" t="n">
        <v>0</v>
      </c>
      <c r="K119" s="10" t="inlineStr">
        <is>
          <t>Yes</t>
        </is>
      </c>
      <c r="L119" s="10" t="inlineStr">
        <is>
          <t>No</t>
        </is>
      </c>
      <c r="M119" s="10" t="n"/>
    </row>
    <row r="120" ht="42" customHeight="1">
      <c r="A120" s="8" t="inlineStr">
        <is>
          <t>Q44</t>
        </is>
      </c>
      <c r="B120" s="31" t="n">
        <v>261822</v>
      </c>
      <c r="C120" s="8" t="n"/>
      <c r="D120" s="8" t="inlineStr">
        <is>
          <t>binary</t>
        </is>
      </c>
      <c r="E120" s="8" t="inlineStr">
        <is>
          <t>No</t>
        </is>
      </c>
      <c r="F120" s="8" t="inlineStr">
        <is>
          <t>Workplace Health &amp; Safety</t>
        </is>
      </c>
      <c r="G120" s="8" t="inlineStr">
        <is>
          <t>Workplace Health &amp; Safety</t>
        </is>
      </c>
      <c r="H120" s="8" t="inlineStr">
        <is>
          <t>Are there an adequate number of people training in First Aid / CPR for your business?</t>
        </is>
      </c>
      <c r="I120" s="8" t="inlineStr">
        <is>
          <t>Yes</t>
        </is>
      </c>
      <c r="J120" s="31" t="n">
        <v>3</v>
      </c>
      <c r="K120" s="8" t="inlineStr">
        <is>
          <t>Yes</t>
        </is>
      </c>
      <c r="L120" s="8" t="inlineStr">
        <is>
          <t>No</t>
        </is>
      </c>
      <c r="M120" s="8" t="inlineStr">
        <is>
          <t>Binary Yes points (No is usually 0 :  add a No row if you want different)</t>
        </is>
      </c>
    </row>
    <row r="121" ht="42" customHeight="1">
      <c r="A121" s="10" t="inlineStr">
        <is>
          <t>Q44</t>
        </is>
      </c>
      <c r="B121" s="32" t="n">
        <v>261822</v>
      </c>
      <c r="C121" s="10" t="n"/>
      <c r="D121" s="10" t="inlineStr">
        <is>
          <t>binary</t>
        </is>
      </c>
      <c r="E121" s="10" t="inlineStr">
        <is>
          <t>No</t>
        </is>
      </c>
      <c r="F121" s="10" t="inlineStr">
        <is>
          <t>Workplace Health &amp; Safety</t>
        </is>
      </c>
      <c r="G121" s="10" t="inlineStr">
        <is>
          <t>Workplace Health &amp; Safety</t>
        </is>
      </c>
      <c r="H121" s="10" t="inlineStr">
        <is>
          <t>Are there an adequate number of people training in First Aid / CPR for your business?</t>
        </is>
      </c>
      <c r="I121" s="10" t="inlineStr">
        <is>
          <t>No</t>
        </is>
      </c>
      <c r="J121" s="32" t="n">
        <v>0</v>
      </c>
      <c r="K121" s="10" t="inlineStr">
        <is>
          <t>Yes</t>
        </is>
      </c>
      <c r="L121" s="10" t="inlineStr">
        <is>
          <t>No</t>
        </is>
      </c>
      <c r="M121" s="10" t="n"/>
    </row>
    <row r="122" ht="42" customHeight="1">
      <c r="A122" s="8" t="inlineStr">
        <is>
          <t>Q45</t>
        </is>
      </c>
      <c r="B122" s="31" t="n">
        <v>261823</v>
      </c>
      <c r="C122" s="8" t="n"/>
      <c r="D122" s="8" t="inlineStr">
        <is>
          <t>binary</t>
        </is>
      </c>
      <c r="E122" s="8" t="inlineStr">
        <is>
          <t>No</t>
        </is>
      </c>
      <c r="F122" s="8" t="inlineStr">
        <is>
          <t>Pay &amp; Entitlements</t>
        </is>
      </c>
      <c r="G122" s="8" t="inlineStr">
        <is>
          <t>Pay &amp; Entitlements</t>
        </is>
      </c>
      <c r="H122" s="8" t="inlineStr">
        <is>
          <t>If you shut down over the Christmas / New Year period, are you aware of the requirements under the relevant Award/s for notice and forced leave?</t>
        </is>
      </c>
      <c r="I122" s="8" t="inlineStr">
        <is>
          <t>Yes</t>
        </is>
      </c>
      <c r="J122" s="31" t="n">
        <v>3</v>
      </c>
      <c r="K122" s="8" t="inlineStr">
        <is>
          <t>Yes</t>
        </is>
      </c>
      <c r="L122" s="8" t="inlineStr">
        <is>
          <t>No</t>
        </is>
      </c>
      <c r="M122" s="8" t="inlineStr">
        <is>
          <t>Binary Yes points (No is usually 0 :  add a No row if you want different)</t>
        </is>
      </c>
    </row>
    <row r="123" ht="42" customHeight="1">
      <c r="A123" s="10" t="inlineStr">
        <is>
          <t>Q45</t>
        </is>
      </c>
      <c r="B123" s="32" t="n">
        <v>261823</v>
      </c>
      <c r="C123" s="10" t="n"/>
      <c r="D123" s="10" t="inlineStr">
        <is>
          <t>binary</t>
        </is>
      </c>
      <c r="E123" s="10" t="inlineStr">
        <is>
          <t>No</t>
        </is>
      </c>
      <c r="F123" s="10" t="inlineStr">
        <is>
          <t>Pay &amp; Entitlements</t>
        </is>
      </c>
      <c r="G123" s="10" t="inlineStr">
        <is>
          <t>Pay &amp; Entitlements</t>
        </is>
      </c>
      <c r="H123" s="10" t="inlineStr">
        <is>
          <t>If you shut down over the Christmas / New Year period, are you aware of the requirements under the relevant Award/s for notice and forced leave?</t>
        </is>
      </c>
      <c r="I123" s="10" t="inlineStr">
        <is>
          <t>No</t>
        </is>
      </c>
      <c r="J123" s="32" t="n">
        <v>0</v>
      </c>
      <c r="K123" s="10" t="inlineStr">
        <is>
          <t>Yes</t>
        </is>
      </c>
      <c r="L123" s="10" t="inlineStr">
        <is>
          <t>No</t>
        </is>
      </c>
      <c r="M123" s="10" t="n"/>
    </row>
    <row r="124" ht="42" customHeight="1">
      <c r="A124" s="8" t="inlineStr">
        <is>
          <t>Q46</t>
        </is>
      </c>
      <c r="B124" s="31" t="n">
        <v>261824</v>
      </c>
      <c r="C124" s="8" t="n"/>
      <c r="D124" s="8" t="inlineStr">
        <is>
          <t>binary</t>
        </is>
      </c>
      <c r="E124" s="8" t="inlineStr">
        <is>
          <t>No</t>
        </is>
      </c>
      <c r="F124" s="8" t="inlineStr">
        <is>
          <t>Employee Exits</t>
        </is>
      </c>
      <c r="G124" s="8" t="inlineStr">
        <is>
          <t>Employee Exits</t>
        </is>
      </c>
      <c r="H124" s="8" t="inlineStr">
        <is>
          <t>Do you know what notice and documentation is required upon termination?</t>
        </is>
      </c>
      <c r="I124" s="8" t="inlineStr">
        <is>
          <t>Yes</t>
        </is>
      </c>
      <c r="J124" s="31" t="n">
        <v>3</v>
      </c>
      <c r="K124" s="8" t="inlineStr">
        <is>
          <t>Yes</t>
        </is>
      </c>
      <c r="L124" s="8" t="inlineStr">
        <is>
          <t>No</t>
        </is>
      </c>
      <c r="M124" s="8" t="inlineStr">
        <is>
          <t>Binary Yes points (No is usually 0 :  add a No row if you want different)</t>
        </is>
      </c>
    </row>
    <row r="125" ht="34" customHeight="1">
      <c r="A125" s="10" t="inlineStr">
        <is>
          <t>Q46</t>
        </is>
      </c>
      <c r="B125" s="32" t="n">
        <v>261824</v>
      </c>
      <c r="C125" s="10" t="n"/>
      <c r="D125" s="10" t="inlineStr">
        <is>
          <t>binary</t>
        </is>
      </c>
      <c r="E125" s="10" t="inlineStr">
        <is>
          <t>No</t>
        </is>
      </c>
      <c r="F125" s="10" t="inlineStr">
        <is>
          <t>Employee Exits</t>
        </is>
      </c>
      <c r="G125" s="10" t="inlineStr">
        <is>
          <t>Employee Exits</t>
        </is>
      </c>
      <c r="H125" s="10" t="inlineStr">
        <is>
          <t>Do you know what notice and documentation is required upon termination?</t>
        </is>
      </c>
      <c r="I125" s="10" t="inlineStr">
        <is>
          <t>No</t>
        </is>
      </c>
      <c r="J125" s="32" t="n">
        <v>0</v>
      </c>
      <c r="K125" s="10" t="inlineStr">
        <is>
          <t>Yes</t>
        </is>
      </c>
      <c r="L125" s="10" t="inlineStr">
        <is>
          <t>No</t>
        </is>
      </c>
      <c r="M125" s="10" t="n"/>
    </row>
    <row r="126" ht="42" customHeight="1">
      <c r="A126" s="8" t="inlineStr">
        <is>
          <t>Q47</t>
        </is>
      </c>
      <c r="B126" s="31" t="n">
        <v>261827</v>
      </c>
      <c r="C126" s="8" t="n"/>
      <c r="D126" s="8" t="inlineStr">
        <is>
          <t>binary</t>
        </is>
      </c>
      <c r="E126" s="8" t="inlineStr">
        <is>
          <t>No</t>
        </is>
      </c>
      <c r="F126" s="8" t="inlineStr">
        <is>
          <t>Recruitment &amp; Talent</t>
        </is>
      </c>
      <c r="G126" s="8" t="inlineStr">
        <is>
          <t>Recruitment &amp; Talent</t>
        </is>
      </c>
      <c r="H126" s="8" t="inlineStr">
        <is>
          <t>Do you review employee wages annually to ensure they are competitive and aligned with performance?</t>
        </is>
      </c>
      <c r="I126" s="8" t="inlineStr">
        <is>
          <t>Yes</t>
        </is>
      </c>
      <c r="J126" s="31" t="n">
        <v>3</v>
      </c>
      <c r="K126" s="8" t="inlineStr">
        <is>
          <t>Yes</t>
        </is>
      </c>
      <c r="L126" s="8" t="inlineStr">
        <is>
          <t>No</t>
        </is>
      </c>
      <c r="M126" s="8" t="inlineStr">
        <is>
          <t>Binary Yes points (No is usually 0 :  add a No row if you want different)</t>
        </is>
      </c>
    </row>
    <row r="127" ht="42" customHeight="1">
      <c r="A127" s="10" t="inlineStr">
        <is>
          <t>Q47</t>
        </is>
      </c>
      <c r="B127" s="32" t="n">
        <v>261827</v>
      </c>
      <c r="C127" s="10" t="n"/>
      <c r="D127" s="10" t="inlineStr">
        <is>
          <t>binary</t>
        </is>
      </c>
      <c r="E127" s="10" t="inlineStr">
        <is>
          <t>No</t>
        </is>
      </c>
      <c r="F127" s="10" t="inlineStr">
        <is>
          <t>Recruitment &amp; Talent</t>
        </is>
      </c>
      <c r="G127" s="10" t="inlineStr">
        <is>
          <t>Recruitment &amp; Talent</t>
        </is>
      </c>
      <c r="H127" s="10" t="inlineStr">
        <is>
          <t>Do you review employee wages annually to ensure they are competitive and aligned with performance?</t>
        </is>
      </c>
      <c r="I127" s="10" t="inlineStr">
        <is>
          <t>No</t>
        </is>
      </c>
      <c r="J127" s="32" t="n">
        <v>0</v>
      </c>
      <c r="K127" s="10" t="inlineStr">
        <is>
          <t>Yes</t>
        </is>
      </c>
      <c r="L127" s="10" t="inlineStr">
        <is>
          <t>No</t>
        </is>
      </c>
      <c r="M127" s="10" t="n"/>
    </row>
    <row r="128" ht="56" customHeight="1">
      <c r="A128" s="8" t="inlineStr">
        <is>
          <t>Q48</t>
        </is>
      </c>
      <c r="B128" s="31" t="n">
        <v>261829</v>
      </c>
      <c r="C128" s="8" t="n"/>
      <c r="D128" s="8" t="inlineStr">
        <is>
          <t>scale</t>
        </is>
      </c>
      <c r="E128" s="8" t="inlineStr">
        <is>
          <t>No</t>
        </is>
      </c>
      <c r="F128" s="8" t="inlineStr">
        <is>
          <t>Culture &amp; Engagement</t>
        </is>
      </c>
      <c r="G128" s="8" t="inlineStr">
        <is>
          <t>Culture &amp; Engagement</t>
        </is>
      </c>
      <c r="H128" s="8" t="inlineStr">
        <is>
          <t>How comfortable are you with your staff turnover?</t>
        </is>
      </c>
      <c r="I128" s="8" t="inlineStr">
        <is>
          <t>Scale 0-10 (points = selected value)</t>
        </is>
      </c>
      <c r="J128" s="31" t="n">
        <v>10</v>
      </c>
      <c r="K128" s="8" t="inlineStr">
        <is>
          <t>We are struggling to find and keep good staff and need help understanding the issues</t>
        </is>
      </c>
      <c r="L128" s="8" t="inlineStr">
        <is>
          <t>Our staff turnover is genuine and we have no difficulty finding replacements</t>
        </is>
      </c>
      <c r="M128" s="8" t="inlineStr">
        <is>
          <t>For scales, Points column = MAX points. Selected slider value = earned points.</t>
        </is>
      </c>
    </row>
    <row r="129" ht="42" customHeight="1">
      <c r="A129" s="10" t="inlineStr">
        <is>
          <t>Q49</t>
        </is>
      </c>
      <c r="B129" s="32" t="n">
        <v>261831</v>
      </c>
      <c r="C129" s="10" t="n"/>
      <c r="D129" s="10" t="inlineStr">
        <is>
          <t>binary</t>
        </is>
      </c>
      <c r="E129" s="10" t="inlineStr">
        <is>
          <t>No</t>
        </is>
      </c>
      <c r="F129" s="10" t="inlineStr">
        <is>
          <t>Culture &amp; Engagement</t>
        </is>
      </c>
      <c r="G129" s="10" t="inlineStr">
        <is>
          <t>Culture &amp; Engagement</t>
        </is>
      </c>
      <c r="H129" s="10" t="inlineStr">
        <is>
          <t>Do you have social functions and / or celebrate events (ie birthdays, business success)?</t>
        </is>
      </c>
      <c r="I129" s="10" t="inlineStr">
        <is>
          <t>Yes</t>
        </is>
      </c>
      <c r="J129" s="32" t="n">
        <v>3</v>
      </c>
      <c r="K129" s="10" t="inlineStr">
        <is>
          <t>Yes</t>
        </is>
      </c>
      <c r="L129" s="10" t="inlineStr">
        <is>
          <t>No</t>
        </is>
      </c>
      <c r="M129" s="10" t="inlineStr">
        <is>
          <t>Binary Yes points (No is usually 0 :  add a No row if you want different)</t>
        </is>
      </c>
    </row>
    <row r="130" ht="42" customHeight="1">
      <c r="A130" s="8" t="inlineStr">
        <is>
          <t>Q49</t>
        </is>
      </c>
      <c r="B130" s="31" t="n">
        <v>261831</v>
      </c>
      <c r="C130" s="8" t="n"/>
      <c r="D130" s="8" t="inlineStr">
        <is>
          <t>binary</t>
        </is>
      </c>
      <c r="E130" s="8" t="inlineStr">
        <is>
          <t>No</t>
        </is>
      </c>
      <c r="F130" s="8" t="inlineStr">
        <is>
          <t>Culture &amp; Engagement</t>
        </is>
      </c>
      <c r="G130" s="8" t="inlineStr">
        <is>
          <t>Culture &amp; Engagement</t>
        </is>
      </c>
      <c r="H130" s="8" t="inlineStr">
        <is>
          <t>Do you have social functions and / or celebrate events (ie birthdays, business success)?</t>
        </is>
      </c>
      <c r="I130" s="8" t="inlineStr">
        <is>
          <t>No</t>
        </is>
      </c>
      <c r="J130" s="31" t="n">
        <v>0</v>
      </c>
      <c r="K130" s="8" t="inlineStr">
        <is>
          <t>Yes</t>
        </is>
      </c>
      <c r="L130" s="8" t="inlineStr">
        <is>
          <t>No</t>
        </is>
      </c>
      <c r="M130" s="8" t="n"/>
    </row>
    <row r="131" ht="56" customHeight="1">
      <c r="A131" s="10" t="inlineStr">
        <is>
          <t>Q50</t>
        </is>
      </c>
      <c r="B131" s="32" t="n">
        <v>261832</v>
      </c>
      <c r="C131" s="10" t="n"/>
      <c r="D131" s="10" t="inlineStr">
        <is>
          <t>scale</t>
        </is>
      </c>
      <c r="E131" s="10" t="inlineStr">
        <is>
          <t>No</t>
        </is>
      </c>
      <c r="F131" s="10" t="inlineStr">
        <is>
          <t>Culture &amp; Engagement</t>
        </is>
      </c>
      <c r="G131" s="10" t="inlineStr">
        <is>
          <t>Culture &amp; Engagement</t>
        </is>
      </c>
      <c r="H131" s="10" t="inlineStr">
        <is>
          <t>How would you rate your business in terms of employee wellbeing and culture?</t>
        </is>
      </c>
      <c r="I131" s="10" t="inlineStr">
        <is>
          <t>Scale 1-10 (points = selected value)</t>
        </is>
      </c>
      <c r="J131" s="32" t="n">
        <v>10</v>
      </c>
      <c r="K131" s="10" t="inlineStr">
        <is>
          <t>We focus mostly on compliance</t>
        </is>
      </c>
      <c r="L131" s="10" t="inlineStr">
        <is>
          <t>We focus heavily on wellbeing, engagement, and professional development</t>
        </is>
      </c>
      <c r="M131" s="10" t="inlineStr">
        <is>
          <t>For scales, Points column = MAX points. Selected slider value = earned points.</t>
        </is>
      </c>
    </row>
    <row r="132" ht="42" customHeight="1">
      <c r="A132" s="8" t="inlineStr">
        <is>
          <t>Q51</t>
        </is>
      </c>
      <c r="B132" s="31" t="n">
        <v>261834</v>
      </c>
      <c r="C132" s="8" t="n"/>
      <c r="D132" s="8" t="inlineStr">
        <is>
          <t>scale</t>
        </is>
      </c>
      <c r="E132" s="8" t="inlineStr">
        <is>
          <t>No</t>
        </is>
      </c>
      <c r="F132" s="8" t="inlineStr">
        <is>
          <t>Pay &amp; Entitlements</t>
        </is>
      </c>
      <c r="G132" s="8" t="inlineStr">
        <is>
          <t>Pay &amp; Entitlements</t>
        </is>
      </c>
      <c r="H132" s="8" t="inlineStr">
        <is>
          <t>Do you know what an Individual Flexibility Arrangement is under the relevant Award, and how to implement one?</t>
        </is>
      </c>
      <c r="I132" s="8" t="inlineStr">
        <is>
          <t>Scale 1-5 (points = selected value)</t>
        </is>
      </c>
      <c r="J132" s="31" t="n">
        <v>5</v>
      </c>
      <c r="K132" s="8" t="inlineStr">
        <is>
          <t>We would not be comfortable implementing an IFA</t>
        </is>
      </c>
      <c r="L132" s="8" t="inlineStr">
        <is>
          <t>We have IFAs in place and are confident they are correct</t>
        </is>
      </c>
      <c r="M132" s="8" t="inlineStr">
        <is>
          <t>For scales, Points column = MAX points. Selected slider value = earned points.</t>
        </is>
      </c>
    </row>
    <row r="133" ht="42" customHeight="1">
      <c r="A133" s="10" t="inlineStr">
        <is>
          <t>Q52</t>
        </is>
      </c>
      <c r="B133" s="32" t="n">
        <v>261835</v>
      </c>
      <c r="C133" s="10" t="n"/>
      <c r="D133" s="10" t="inlineStr">
        <is>
          <t>binary</t>
        </is>
      </c>
      <c r="E133" s="10" t="inlineStr">
        <is>
          <t>No</t>
        </is>
      </c>
      <c r="F133" s="10" t="inlineStr">
        <is>
          <t>Pay &amp; Entitlements</t>
        </is>
      </c>
      <c r="G133" s="10" t="inlineStr">
        <is>
          <t>Pay &amp; Entitlements</t>
        </is>
      </c>
      <c r="H133" s="10" t="inlineStr">
        <is>
          <t>Do you know what is considered a General Protection under the Fair Work Act, and how to handle a claim?</t>
        </is>
      </c>
      <c r="I133" s="10" t="inlineStr">
        <is>
          <t>Yes</t>
        </is>
      </c>
      <c r="J133" s="32" t="n">
        <v>5</v>
      </c>
      <c r="K133" s="10" t="inlineStr">
        <is>
          <t>Yes</t>
        </is>
      </c>
      <c r="L133" s="10" t="inlineStr">
        <is>
          <t>No</t>
        </is>
      </c>
      <c r="M133" s="10" t="inlineStr">
        <is>
          <t>Binary Yes points (No is usually 0 :  add a No row if you want different)</t>
        </is>
      </c>
    </row>
    <row r="134" ht="42" customHeight="1">
      <c r="A134" s="8" t="inlineStr">
        <is>
          <t>Q52</t>
        </is>
      </c>
      <c r="B134" s="31" t="n">
        <v>261835</v>
      </c>
      <c r="C134" s="8" t="n"/>
      <c r="D134" s="8" t="inlineStr">
        <is>
          <t>binary</t>
        </is>
      </c>
      <c r="E134" s="8" t="inlineStr">
        <is>
          <t>No</t>
        </is>
      </c>
      <c r="F134" s="8" t="inlineStr">
        <is>
          <t>Pay &amp; Entitlements</t>
        </is>
      </c>
      <c r="G134" s="8" t="inlineStr">
        <is>
          <t>Pay &amp; Entitlements</t>
        </is>
      </c>
      <c r="H134" s="8" t="inlineStr">
        <is>
          <t>Do you know what is considered a General Protection under the Fair Work Act, and how to handle a claim?</t>
        </is>
      </c>
      <c r="I134" s="8" t="inlineStr">
        <is>
          <t>No</t>
        </is>
      </c>
      <c r="J134" s="31" t="n">
        <v>0</v>
      </c>
      <c r="K134" s="8" t="inlineStr">
        <is>
          <t>Yes</t>
        </is>
      </c>
      <c r="L134" s="8" t="inlineStr">
        <is>
          <t>No</t>
        </is>
      </c>
      <c r="M134" s="8" t="n"/>
    </row>
    <row r="135" ht="56" customHeight="1">
      <c r="A135" s="10" t="inlineStr">
        <is>
          <t>Q53</t>
        </is>
      </c>
      <c r="B135" s="32" t="n">
        <v>261836</v>
      </c>
      <c r="C135" s="10" t="n"/>
      <c r="D135" s="10" t="inlineStr">
        <is>
          <t>scale</t>
        </is>
      </c>
      <c r="E135" s="10" t="inlineStr">
        <is>
          <t>No</t>
        </is>
      </c>
      <c r="F135" s="10" t="inlineStr">
        <is>
          <t>Reviewing &amp; Managing Performance</t>
        </is>
      </c>
      <c r="G135" s="10" t="inlineStr">
        <is>
          <t>Reviewing &amp; Managing Performance</t>
        </is>
      </c>
      <c r="H135" s="10" t="inlineStr">
        <is>
          <t>How confident are you in addressing serious misconduct, such as theft, fraud, assault, intoxication in the workplace, sexual harassment or blatant breach of health and safety rules?</t>
        </is>
      </c>
      <c r="I135" s="10" t="inlineStr">
        <is>
          <t>Scale 1-10 (points = selected value)</t>
        </is>
      </c>
      <c r="J135" s="32" t="n">
        <v>10</v>
      </c>
      <c r="K135" s="10" t="inlineStr">
        <is>
          <t>We would not be comfortable addressing these issues</t>
        </is>
      </c>
      <c r="L135" s="10" t="inlineStr">
        <is>
          <t>We are confident that we could handle these situations appropriately</t>
        </is>
      </c>
      <c r="M135" s="10" t="inlineStr">
        <is>
          <t>For scales, Points column = MAX points. Selected slider value = earned points.</t>
        </is>
      </c>
    </row>
    <row r="136" ht="56" customHeight="1">
      <c r="A136" s="8" t="inlineStr">
        <is>
          <t>Q54</t>
        </is>
      </c>
      <c r="B136" s="31" t="n">
        <v>261837</v>
      </c>
      <c r="C136" s="8" t="n"/>
      <c r="D136" s="8" t="inlineStr">
        <is>
          <t>scale</t>
        </is>
      </c>
      <c r="E136" s="8" t="inlineStr">
        <is>
          <t>No</t>
        </is>
      </c>
      <c r="F136" s="8" t="inlineStr">
        <is>
          <t>Reviewing &amp; Managing Performance</t>
        </is>
      </c>
      <c r="G136" s="8" t="inlineStr">
        <is>
          <t>Reviewing &amp; Managing Performance</t>
        </is>
      </c>
      <c r="H136" s="8" t="inlineStr">
        <is>
          <t>How confident are you in addressing performance management issues, including a Performance Improvement Plan (PIP)?</t>
        </is>
      </c>
      <c r="I136" s="8" t="inlineStr">
        <is>
          <t>Scale 1-10 (points = selected value)</t>
        </is>
      </c>
      <c r="J136" s="31" t="n">
        <v>10</v>
      </c>
      <c r="K136" s="8" t="inlineStr">
        <is>
          <t>I've never undertaken a performance management process or wouldn't know how</t>
        </is>
      </c>
      <c r="L136" s="8" t="inlineStr">
        <is>
          <t>I am confident that our processes are fair, reasonable and clear</t>
        </is>
      </c>
      <c r="M136" s="8" t="inlineStr">
        <is>
          <t>For scales, Points column = MAX points. Selected slider value = earned points.</t>
        </is>
      </c>
    </row>
    <row r="137" ht="56" customHeight="1">
      <c r="A137" s="10" t="inlineStr">
        <is>
          <t>Q55</t>
        </is>
      </c>
      <c r="B137" s="32" t="n">
        <v>261838</v>
      </c>
      <c r="C137" s="10" t="n"/>
      <c r="D137" s="10" t="inlineStr">
        <is>
          <t>scale</t>
        </is>
      </c>
      <c r="E137" s="10" t="inlineStr">
        <is>
          <t>No</t>
        </is>
      </c>
      <c r="F137" s="10" t="inlineStr">
        <is>
          <t>Reviewing &amp; Managing Performance</t>
        </is>
      </c>
      <c r="G137" s="10" t="inlineStr">
        <is>
          <t>Reviewing &amp; Managing Performance</t>
        </is>
      </c>
      <c r="H137" s="10" t="inlineStr">
        <is>
          <t>How confident are you managing conduct issues, such as regular lateness, bad language, poor presentation or misuse of company equipment?</t>
        </is>
      </c>
      <c r="I137" s="10" t="inlineStr">
        <is>
          <t>Scale 1-10 (points = selected value)</t>
        </is>
      </c>
      <c r="J137" s="32" t="n">
        <v>10</v>
      </c>
      <c r="K137" s="10" t="inlineStr">
        <is>
          <t>We would not be comfortable holding these conversations</t>
        </is>
      </c>
      <c r="L137" s="10" t="inlineStr">
        <is>
          <t>We have transparent policies and procedures in place and know how to follow them</t>
        </is>
      </c>
      <c r="M137" s="10" t="inlineStr">
        <is>
          <t>For scales, Points column = MAX points. Selected slider value = earned points.</t>
        </is>
      </c>
    </row>
    <row r="138" ht="42" customHeight="1">
      <c r="A138" s="8" t="inlineStr">
        <is>
          <t>Q56</t>
        </is>
      </c>
      <c r="B138" s="31" t="n">
        <v>261840</v>
      </c>
      <c r="C138" s="8" t="n"/>
      <c r="D138" s="8" t="inlineStr">
        <is>
          <t>binary</t>
        </is>
      </c>
      <c r="E138" s="8" t="inlineStr">
        <is>
          <t>No</t>
        </is>
      </c>
      <c r="F138" s="8" t="inlineStr">
        <is>
          <t>Policies &amp; Procedures</t>
        </is>
      </c>
      <c r="G138" s="8" t="inlineStr">
        <is>
          <t>Policies &amp; Procedures</t>
        </is>
      </c>
      <c r="H138" s="8" t="inlineStr">
        <is>
          <t>Would you know what to do in the event of a sexual harassment claim at work, or at a work function?</t>
        </is>
      </c>
      <c r="I138" s="8" t="inlineStr">
        <is>
          <t>Yes</t>
        </is>
      </c>
      <c r="J138" s="31" t="n">
        <v>5</v>
      </c>
      <c r="K138" s="8" t="inlineStr">
        <is>
          <t>Yes</t>
        </is>
      </c>
      <c r="L138" s="8" t="inlineStr">
        <is>
          <t>No</t>
        </is>
      </c>
      <c r="M138" s="8" t="inlineStr">
        <is>
          <t>Binary Yes points (No is usually 0 :  add a No row if you want different)</t>
        </is>
      </c>
    </row>
    <row r="139" ht="42" customHeight="1">
      <c r="A139" s="10" t="inlineStr">
        <is>
          <t>Q56</t>
        </is>
      </c>
      <c r="B139" s="32" t="n">
        <v>261840</v>
      </c>
      <c r="C139" s="10" t="n"/>
      <c r="D139" s="10" t="inlineStr">
        <is>
          <t>binary</t>
        </is>
      </c>
      <c r="E139" s="10" t="inlineStr">
        <is>
          <t>No</t>
        </is>
      </c>
      <c r="F139" s="10" t="inlineStr">
        <is>
          <t>Policies &amp; Procedures</t>
        </is>
      </c>
      <c r="G139" s="10" t="inlineStr">
        <is>
          <t>Policies &amp; Procedures</t>
        </is>
      </c>
      <c r="H139" s="10" t="inlineStr">
        <is>
          <t>Would you know what to do in the event of a sexual harassment claim at work, or at a work function?</t>
        </is>
      </c>
      <c r="I139" s="10" t="inlineStr">
        <is>
          <t>No</t>
        </is>
      </c>
      <c r="J139" s="32" t="n">
        <v>0</v>
      </c>
      <c r="K139" s="10" t="inlineStr">
        <is>
          <t>Yes</t>
        </is>
      </c>
      <c r="L139" s="10" t="inlineStr">
        <is>
          <t>No</t>
        </is>
      </c>
      <c r="M139" s="10" t="n"/>
    </row>
    <row r="140" ht="42" customHeight="1">
      <c r="A140" s="8" t="inlineStr">
        <is>
          <t>Q57</t>
        </is>
      </c>
      <c r="B140" s="31" t="n">
        <v>261842</v>
      </c>
      <c r="C140" s="8" t="n"/>
      <c r="D140" s="8" t="inlineStr">
        <is>
          <t>scale</t>
        </is>
      </c>
      <c r="E140" s="8" t="inlineStr">
        <is>
          <t>No</t>
        </is>
      </c>
      <c r="F140" s="8" t="inlineStr">
        <is>
          <t>Policies &amp; Procedures</t>
        </is>
      </c>
      <c r="G140" s="8" t="inlineStr">
        <is>
          <t>Policies &amp; Procedures</t>
        </is>
      </c>
      <c r="H140" s="8" t="inlineStr">
        <is>
          <t>Do you have a good understanding of Family and Domestic Violence Leave provisions, and what you can do to assist staff experiencing domestic violence?</t>
        </is>
      </c>
      <c r="I140" s="8" t="inlineStr">
        <is>
          <t>Scale 1-10 (points = selected value)</t>
        </is>
      </c>
      <c r="J140" s="31" t="n">
        <v>10</v>
      </c>
      <c r="K140" s="8" t="inlineStr">
        <is>
          <t>No, it would be useful to understand this better</t>
        </is>
      </c>
      <c r="L140" s="8" t="inlineStr">
        <is>
          <t>We have useful policies, training and support practices in place</t>
        </is>
      </c>
      <c r="M140" s="8" t="inlineStr">
        <is>
          <t>For scales, Points column = MAX points. Selected slider value = earned points.</t>
        </is>
      </c>
    </row>
    <row r="141" ht="56" customHeight="1">
      <c r="A141" s="10" t="inlineStr">
        <is>
          <t>Q58</t>
        </is>
      </c>
      <c r="B141" s="32" t="n">
        <v>261843</v>
      </c>
      <c r="C141" s="10" t="n"/>
      <c r="D141" s="10" t="inlineStr">
        <is>
          <t>scale</t>
        </is>
      </c>
      <c r="E141" s="10" t="inlineStr">
        <is>
          <t>No</t>
        </is>
      </c>
      <c r="F141" s="10" t="inlineStr">
        <is>
          <t>Pay &amp; Entitlements</t>
        </is>
      </c>
      <c r="G141" s="10" t="inlineStr">
        <is>
          <t>Pay &amp; Entitlements</t>
        </is>
      </c>
      <c r="H141" s="10" t="inlineStr">
        <is>
          <t>Are you aware if there is a state Portable Long Service Leave (PLSL) requirement for your industry, and how to use it? Are you confident you can calculate long service leave for staff whether they are affected by PLSL or not?</t>
        </is>
      </c>
      <c r="I141" s="10" t="inlineStr">
        <is>
          <t>Scale 1-10 (points = selected value)</t>
        </is>
      </c>
      <c r="J141" s="32" t="n">
        <v>10</v>
      </c>
      <c r="K141" s="10" t="inlineStr">
        <is>
          <t>I don't know what this is or how to do LSL calculations</t>
        </is>
      </c>
      <c r="L141" s="10" t="inlineStr">
        <is>
          <t>We are registered for PLSL where required, and know how to do a calculation</t>
        </is>
      </c>
      <c r="M141" s="10" t="inlineStr">
        <is>
          <t>For scales, Points column = MAX points. Selected slider value = earned points.</t>
        </is>
      </c>
    </row>
    <row r="142" ht="42" customHeight="1">
      <c r="A142" s="8" t="inlineStr">
        <is>
          <t>Q59</t>
        </is>
      </c>
      <c r="B142" s="31" t="n">
        <v>261845</v>
      </c>
      <c r="C142" s="31" t="n">
        <v>224009</v>
      </c>
      <c r="D142" s="8" t="inlineStr">
        <is>
          <t>option</t>
        </is>
      </c>
      <c r="E142" s="8" t="inlineStr">
        <is>
          <t>Yes</t>
        </is>
      </c>
      <c r="F142" s="8" t="inlineStr">
        <is>
          <t>Pay &amp; Entitlements</t>
        </is>
      </c>
      <c r="G142" s="8" t="inlineStr">
        <is>
          <t>Training &amp; Development</t>
        </is>
      </c>
      <c r="H142" s="8" t="inlineStr">
        <is>
          <t>How does your business approach training and development? Please select all that apply.</t>
        </is>
      </c>
      <c r="I142" s="8" t="inlineStr">
        <is>
          <t>We train staff when they first commence, but not very much thereafter</t>
        </is>
      </c>
      <c r="J142" s="31" t="n">
        <v>2</v>
      </c>
      <c r="K142" s="8" t="n"/>
      <c r="L142" s="8" t="n"/>
      <c r="M142" s="8" t="inlineStr">
        <is>
          <t>Option already assigns to this category in Agolix</t>
        </is>
      </c>
    </row>
    <row r="143" ht="42" customHeight="1">
      <c r="A143" s="10" t="inlineStr">
        <is>
          <t>Q59</t>
        </is>
      </c>
      <c r="B143" s="32" t="n">
        <v>261845</v>
      </c>
      <c r="C143" s="32" t="n">
        <v>224010</v>
      </c>
      <c r="D143" s="10" t="inlineStr">
        <is>
          <t>option</t>
        </is>
      </c>
      <c r="E143" s="10" t="inlineStr">
        <is>
          <t>Yes</t>
        </is>
      </c>
      <c r="F143" s="10" t="inlineStr">
        <is>
          <t>Pay &amp; Entitlements</t>
        </is>
      </c>
      <c r="G143" s="10" t="inlineStr">
        <is>
          <t>Training &amp; Development</t>
        </is>
      </c>
      <c r="H143" s="10" t="inlineStr">
        <is>
          <t>How does your business approach training and development? Please select all that apply.</t>
        </is>
      </c>
      <c r="I143" s="10" t="inlineStr">
        <is>
          <t>We offer training as required for new systems / processes, based primarily around roles</t>
        </is>
      </c>
      <c r="J143" s="32" t="n">
        <v>5</v>
      </c>
      <c r="K143" s="10" t="n"/>
      <c r="L143" s="10" t="n"/>
      <c r="M143" s="10" t="inlineStr">
        <is>
          <t>Option already assigns to this category in Agolix</t>
        </is>
      </c>
    </row>
    <row r="144" ht="42" customHeight="1">
      <c r="A144" s="8" t="inlineStr">
        <is>
          <t>Q59</t>
        </is>
      </c>
      <c r="B144" s="31" t="n">
        <v>261845</v>
      </c>
      <c r="C144" s="31" t="n">
        <v>224011</v>
      </c>
      <c r="D144" s="8" t="inlineStr">
        <is>
          <t>option</t>
        </is>
      </c>
      <c r="E144" s="8" t="inlineStr">
        <is>
          <t>Yes</t>
        </is>
      </c>
      <c r="F144" s="8" t="inlineStr">
        <is>
          <t>Pay &amp; Entitlements</t>
        </is>
      </c>
      <c r="G144" s="8" t="inlineStr">
        <is>
          <t>Training &amp; Development</t>
        </is>
      </c>
      <c r="H144" s="8" t="inlineStr">
        <is>
          <t>How does your business approach training and development? Please select all that apply.</t>
        </is>
      </c>
      <c r="I144" s="8" t="inlineStr">
        <is>
          <t>We offer training based around skill requirements and succession planning, with a view to embedding flexible skills across functions</t>
        </is>
      </c>
      <c r="J144" s="31" t="n">
        <v>10</v>
      </c>
      <c r="K144" s="8" t="n"/>
      <c r="L144" s="8" t="n"/>
      <c r="M144" s="8" t="inlineStr">
        <is>
          <t>Option already assigns to this category in Agolix</t>
        </is>
      </c>
    </row>
    <row r="145" ht="42" customHeight="1">
      <c r="A145" s="10" t="inlineStr">
        <is>
          <t>Q60</t>
        </is>
      </c>
      <c r="B145" s="32" t="n">
        <v>261846</v>
      </c>
      <c r="C145" s="32" t="n">
        <v>224013</v>
      </c>
      <c r="D145" s="10" t="inlineStr">
        <is>
          <t>option</t>
        </is>
      </c>
      <c r="E145" s="10" t="inlineStr">
        <is>
          <t>Yes</t>
        </is>
      </c>
      <c r="F145" s="10" t="inlineStr">
        <is>
          <t>Pay &amp; Entitlements</t>
        </is>
      </c>
      <c r="G145" s="10" t="inlineStr">
        <is>
          <t>Workplace Health &amp; Safety</t>
        </is>
      </c>
      <c r="H145" s="10" t="inlineStr">
        <is>
          <t>Do you participate in campaigns and initiatives to encourage awareness of health and safety, mental health, domestic violence and other important issues?</t>
        </is>
      </c>
      <c r="I145" s="10" t="inlineStr">
        <is>
          <t>National Safe Work Month</t>
        </is>
      </c>
      <c r="J145" s="32" t="n">
        <v>3</v>
      </c>
      <c r="K145" s="10" t="n"/>
      <c r="L145" s="10" t="n"/>
      <c r="M145" s="10" t="inlineStr">
        <is>
          <t>Option already assigns to this category in Agolix</t>
        </is>
      </c>
    </row>
    <row r="146" ht="42" customHeight="1">
      <c r="A146" s="8" t="inlineStr">
        <is>
          <t>Q60</t>
        </is>
      </c>
      <c r="B146" s="31" t="n">
        <v>261846</v>
      </c>
      <c r="C146" s="31" t="n">
        <v>224014</v>
      </c>
      <c r="D146" s="8" t="inlineStr">
        <is>
          <t>option</t>
        </is>
      </c>
      <c r="E146" s="8" t="inlineStr">
        <is>
          <t>Yes</t>
        </is>
      </c>
      <c r="F146" s="8" t="inlineStr">
        <is>
          <t>Pay &amp; Entitlements</t>
        </is>
      </c>
      <c r="G146" s="8" t="inlineStr">
        <is>
          <t>Workplace Health &amp; Safety</t>
        </is>
      </c>
      <c r="H146" s="8" t="inlineStr">
        <is>
          <t>Do you participate in campaigns and initiatives to encourage awareness of health and safety, mental health, domestic violence and other important issues?</t>
        </is>
      </c>
      <c r="I146" s="8" t="inlineStr">
        <is>
          <t>RUOK? Day</t>
        </is>
      </c>
      <c r="J146" s="31" t="n">
        <v>3</v>
      </c>
      <c r="K146" s="8" t="n"/>
      <c r="L146" s="8" t="n"/>
      <c r="M146" s="8" t="inlineStr">
        <is>
          <t>Option already assigns to this category in Agolix</t>
        </is>
      </c>
    </row>
    <row r="147" ht="42" customHeight="1">
      <c r="A147" s="10" t="inlineStr">
        <is>
          <t>Q60</t>
        </is>
      </c>
      <c r="B147" s="32" t="n">
        <v>261846</v>
      </c>
      <c r="C147" s="32" t="n">
        <v>224015</v>
      </c>
      <c r="D147" s="10" t="inlineStr">
        <is>
          <t>option</t>
        </is>
      </c>
      <c r="E147" s="10" t="inlineStr">
        <is>
          <t>Yes</t>
        </is>
      </c>
      <c r="F147" s="10" t="inlineStr">
        <is>
          <t>Pay &amp; Entitlements</t>
        </is>
      </c>
      <c r="G147" s="10" t="inlineStr">
        <is>
          <t>Workplace Health &amp; Safety</t>
        </is>
      </c>
      <c r="H147" s="10" t="inlineStr">
        <is>
          <t>Do you participate in campaigns and initiatives to encourage awareness of health and safety, mental health, domestic violence and other important issues?</t>
        </is>
      </c>
      <c r="I147" s="10" t="inlineStr">
        <is>
          <t>Mental Health Week</t>
        </is>
      </c>
      <c r="J147" s="32" t="n">
        <v>3</v>
      </c>
      <c r="K147" s="10" t="n"/>
      <c r="L147" s="10" t="n"/>
      <c r="M147" s="10" t="inlineStr">
        <is>
          <t>Option already assigns to this category in Agolix</t>
        </is>
      </c>
    </row>
    <row r="148" ht="42" customHeight="1">
      <c r="A148" s="8" t="inlineStr">
        <is>
          <t>Q60</t>
        </is>
      </c>
      <c r="B148" s="31" t="n">
        <v>261846</v>
      </c>
      <c r="C148" s="31" t="n">
        <v>224018</v>
      </c>
      <c r="D148" s="8" t="inlineStr">
        <is>
          <t>option</t>
        </is>
      </c>
      <c r="E148" s="8" t="inlineStr">
        <is>
          <t>Yes</t>
        </is>
      </c>
      <c r="F148" s="8" t="inlineStr">
        <is>
          <t>Pay &amp; Entitlements</t>
        </is>
      </c>
      <c r="G148" s="8" t="inlineStr">
        <is>
          <t>Workplace Health &amp; Safety</t>
        </is>
      </c>
      <c r="H148" s="8" t="inlineStr">
        <is>
          <t>Do you participate in campaigns and initiatives to encourage awareness of health and safety, mental health, domestic violence and other important issues?</t>
        </is>
      </c>
      <c r="I148" s="8" t="inlineStr">
        <is>
          <t>Domestic Violence Awareness Month</t>
        </is>
      </c>
      <c r="J148" s="31" t="n">
        <v>3</v>
      </c>
      <c r="K148" s="8" t="n"/>
      <c r="L148" s="8" t="n"/>
      <c r="M148" s="8" t="inlineStr">
        <is>
          <t>Option already assigns to this category in Agolix</t>
        </is>
      </c>
    </row>
    <row r="149" ht="42" customHeight="1">
      <c r="A149" s="10" t="inlineStr">
        <is>
          <t>Q60</t>
        </is>
      </c>
      <c r="B149" s="32" t="n">
        <v>261846</v>
      </c>
      <c r="C149" s="32" t="n">
        <v>224019</v>
      </c>
      <c r="D149" s="10" t="inlineStr">
        <is>
          <t>option</t>
        </is>
      </c>
      <c r="E149" s="10" t="inlineStr">
        <is>
          <t>Yes</t>
        </is>
      </c>
      <c r="F149" s="10" t="inlineStr">
        <is>
          <t>Pay &amp; Entitlements</t>
        </is>
      </c>
      <c r="G149" s="10" t="inlineStr">
        <is>
          <t>Workplace Health &amp; Safety</t>
        </is>
      </c>
      <c r="H149" s="10" t="inlineStr">
        <is>
          <t>Do you participate in campaigns and initiatives to encourage awareness of health and safety, mental health, domestic violence and other important issues?</t>
        </is>
      </c>
      <c r="I149" s="10" t="inlineStr">
        <is>
          <t>Dry July</t>
        </is>
      </c>
      <c r="J149" s="32" t="n">
        <v>3</v>
      </c>
      <c r="K149" s="10" t="n"/>
      <c r="L149" s="10" t="n"/>
      <c r="M149" s="10" t="inlineStr">
        <is>
          <t>Option already assigns to this category in Agolix</t>
        </is>
      </c>
    </row>
    <row r="150" ht="56" customHeight="1">
      <c r="A150" s="8" t="inlineStr">
        <is>
          <t>Q61</t>
        </is>
      </c>
      <c r="B150" s="31" t="n">
        <v>261847</v>
      </c>
      <c r="C150" s="8" t="n"/>
      <c r="D150" s="8" t="inlineStr">
        <is>
          <t>scale</t>
        </is>
      </c>
      <c r="E150" s="8" t="inlineStr">
        <is>
          <t>No</t>
        </is>
      </c>
      <c r="F150" s="8" t="inlineStr">
        <is>
          <t>Workplace Health &amp; Safety</t>
        </is>
      </c>
      <c r="G150" s="8" t="inlineStr">
        <is>
          <t>Workplace Health &amp; Safety</t>
        </is>
      </c>
      <c r="H150" s="8" t="inlineStr">
        <is>
          <t>How well would your business respond to the inappropriate use of alcohol or drugs in the workplace? Do you have policies, procedures and training in place to address these concerns?</t>
        </is>
      </c>
      <c r="I150" s="8" t="inlineStr">
        <is>
          <t>Scale 1-10 (points = selected value)</t>
        </is>
      </c>
      <c r="J150" s="31" t="n">
        <v>10</v>
      </c>
      <c r="K150" s="8" t="inlineStr">
        <is>
          <t>We don't have anything in place</t>
        </is>
      </c>
      <c r="L150" s="8" t="inlineStr">
        <is>
          <t>We have policies and training in place to address these concerns</t>
        </is>
      </c>
      <c r="M150" s="8" t="inlineStr">
        <is>
          <t>For scales, Points column = MAX points. Selected slider value = earned points.</t>
        </is>
      </c>
    </row>
    <row r="151" ht="56" customHeight="1">
      <c r="A151" s="10" t="inlineStr">
        <is>
          <t>Q62</t>
        </is>
      </c>
      <c r="B151" s="32" t="n">
        <v>261848</v>
      </c>
      <c r="C151" s="10" t="n"/>
      <c r="D151" s="10" t="inlineStr">
        <is>
          <t>scale</t>
        </is>
      </c>
      <c r="E151" s="10" t="inlineStr">
        <is>
          <t>No</t>
        </is>
      </c>
      <c r="F151" s="10" t="inlineStr">
        <is>
          <t>Workplace Health &amp; Safety</t>
        </is>
      </c>
      <c r="G151" s="10" t="inlineStr">
        <is>
          <t>Workplace Health &amp; Safety</t>
        </is>
      </c>
      <c r="H151" s="10" t="inlineStr">
        <is>
          <t>Do your staff have access to an Employee Assistance Program (EAP)? How equipped do you believe your business is to handle a mental health concern in the workplace?</t>
        </is>
      </c>
      <c r="I151" s="10" t="inlineStr">
        <is>
          <t>Scale 1-10 (points = selected value)</t>
        </is>
      </c>
      <c r="J151" s="32" t="n">
        <v>10</v>
      </c>
      <c r="K151" s="10" t="inlineStr">
        <is>
          <t>We don't have anything in place</t>
        </is>
      </c>
      <c r="L151" s="10" t="inlineStr">
        <is>
          <t>Management are trained in Mental Health First Aid and staff have access to an EAP</t>
        </is>
      </c>
      <c r="M151" s="10" t="inlineStr">
        <is>
          <t>For scales, Points column = MAX points. Selected slider value = earned points.</t>
        </is>
      </c>
    </row>
    <row r="152" ht="42" customHeight="1">
      <c r="A152" s="8" t="inlineStr">
        <is>
          <t>Q63</t>
        </is>
      </c>
      <c r="B152" s="31" t="n">
        <v>261850</v>
      </c>
      <c r="C152" s="8" t="n"/>
      <c r="D152" s="8" t="inlineStr">
        <is>
          <t>binary</t>
        </is>
      </c>
      <c r="E152" s="8" t="inlineStr">
        <is>
          <t>No</t>
        </is>
      </c>
      <c r="F152" s="8" t="inlineStr">
        <is>
          <t>Pay &amp; Entitlements</t>
        </is>
      </c>
      <c r="G152" s="8" t="inlineStr">
        <is>
          <t>Pay &amp; Entitlements</t>
        </is>
      </c>
      <c r="H152" s="8" t="inlineStr">
        <is>
          <t>Do you understand the difference between an unfair dismissal claim and adverse action?</t>
        </is>
      </c>
      <c r="I152" s="8" t="inlineStr">
        <is>
          <t>Yes</t>
        </is>
      </c>
      <c r="J152" s="31" t="n">
        <v>4</v>
      </c>
      <c r="K152" s="8" t="inlineStr">
        <is>
          <t>Yes</t>
        </is>
      </c>
      <c r="L152" s="8" t="inlineStr">
        <is>
          <t>No</t>
        </is>
      </c>
      <c r="M152" s="8" t="inlineStr">
        <is>
          <t>Binary Yes points (No is usually 0 :  add a No row if you want different)</t>
        </is>
      </c>
    </row>
    <row r="153" ht="42" customHeight="1">
      <c r="A153" s="10" t="inlineStr">
        <is>
          <t>Q63</t>
        </is>
      </c>
      <c r="B153" s="32" t="n">
        <v>261850</v>
      </c>
      <c r="C153" s="10" t="n"/>
      <c r="D153" s="10" t="inlineStr">
        <is>
          <t>binary</t>
        </is>
      </c>
      <c r="E153" s="10" t="inlineStr">
        <is>
          <t>No</t>
        </is>
      </c>
      <c r="F153" s="10" t="inlineStr">
        <is>
          <t>Pay &amp; Entitlements</t>
        </is>
      </c>
      <c r="G153" s="10" t="inlineStr">
        <is>
          <t>Pay &amp; Entitlements</t>
        </is>
      </c>
      <c r="H153" s="10" t="inlineStr">
        <is>
          <t>Do you understand the difference between an unfair dismissal claim and adverse action?</t>
        </is>
      </c>
      <c r="I153" s="10" t="inlineStr">
        <is>
          <t>No</t>
        </is>
      </c>
      <c r="J153" s="32" t="n">
        <v>0</v>
      </c>
      <c r="K153" s="10" t="inlineStr">
        <is>
          <t>Yes</t>
        </is>
      </c>
      <c r="L153" s="10" t="inlineStr">
        <is>
          <t>No</t>
        </is>
      </c>
      <c r="M153" s="10" t="n"/>
    </row>
    <row r="154" ht="42" customHeight="1">
      <c r="A154" s="8" t="inlineStr">
        <is>
          <t>Q64</t>
        </is>
      </c>
      <c r="B154" s="31" t="n">
        <v>261851</v>
      </c>
      <c r="C154" s="8" t="n"/>
      <c r="D154" s="8" t="inlineStr">
        <is>
          <t>scale</t>
        </is>
      </c>
      <c r="E154" s="8" t="inlineStr">
        <is>
          <t>No</t>
        </is>
      </c>
      <c r="F154" s="8" t="inlineStr">
        <is>
          <t>Pay &amp; Entitlements</t>
        </is>
      </c>
      <c r="G154" s="8" t="inlineStr">
        <is>
          <t>Pay &amp; Entitlements</t>
        </is>
      </c>
      <c r="H154" s="8" t="inlineStr">
        <is>
          <t>How confident are you that you could appropriately address an unfair dismissal claim?</t>
        </is>
      </c>
      <c r="I154" s="8" t="inlineStr">
        <is>
          <t>Scale 1-10 (points = selected value)</t>
        </is>
      </c>
      <c r="J154" s="31" t="n">
        <v>10</v>
      </c>
      <c r="K154" s="8" t="inlineStr">
        <is>
          <t>Not at all confident</t>
        </is>
      </c>
      <c r="L154" s="8" t="inlineStr">
        <is>
          <t>We are confident that we could handle these situations appropriately</t>
        </is>
      </c>
      <c r="M154" s="8" t="inlineStr">
        <is>
          <t>For scales, Points column = MAX points. Selected slider value = earned points.</t>
        </is>
      </c>
    </row>
    <row r="155" ht="70" customHeight="1">
      <c r="A155" s="10" t="inlineStr">
        <is>
          <t>Q65</t>
        </is>
      </c>
      <c r="B155" s="32" t="n">
        <v>261852</v>
      </c>
      <c r="C155" s="10" t="n"/>
      <c r="D155" s="10" t="inlineStr">
        <is>
          <t>narrative</t>
        </is>
      </c>
      <c r="E155" s="10" t="inlineStr">
        <is>
          <t>No</t>
        </is>
      </c>
      <c r="F155" s="10" t="inlineStr">
        <is>
          <t>Pay &amp; Entitlements</t>
        </is>
      </c>
      <c r="G155" s="10" t="n"/>
      <c r="H155" s="10" t="inlineStr">
        <is>
          <t>You have completed your HR Health Check. Prior to submitting your results, please take a moment to let us know any feedback you have about this assessment, or if it made you consider any areas of your HR performance that you hadn't previously. (Optional)</t>
        </is>
      </c>
      <c r="I155" s="10" t="inlineStr">
        <is>
          <t>(optional feedback :  do not score)</t>
        </is>
      </c>
      <c r="J155" s="32" t="n">
        <v>0</v>
      </c>
      <c r="K155" s="10" t="n"/>
      <c r="L155" s="10" t="n"/>
      <c r="M155" s="10" t="inlineStr">
        <is>
          <t>Keep Points=0 / leave Category blank so it does not affect scores</t>
        </is>
      </c>
    </row>
  </sheetData>
  <mergeCells count="3">
    <mergeCell ref="A3:M3"/>
    <mergeCell ref="A2:M2"/>
    <mergeCell ref="A1:M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2026-10-10T04:29:37Z</dcterms:created>
  <dcterms:modified xmlns:dcterms="http://purl.org/dc/terms/" xmlns:xsi="http://www.w3.org/2001/XMLSchema-instance" xsi:type="dcterms:W3CDTF">2026-10-10T04:30:11Z</dcterms:modified>
</cp:coreProperties>
</file>